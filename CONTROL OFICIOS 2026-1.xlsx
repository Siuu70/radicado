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cho\Documents\radicado\"/>
    </mc:Choice>
  </mc:AlternateContent>
  <xr:revisionPtr revIDLastSave="0" documentId="13_ncr:1_{676C17F5-8181-4C3E-BA8E-EE7FFD3B240B}" xr6:coauthVersionLast="47" xr6:coauthVersionMax="47" xr10:uidLastSave="{00000000-0000-0000-0000-000000000000}"/>
  <bookViews>
    <workbookView xWindow="5565" yWindow="1980" windowWidth="21600" windowHeight="13155" tabRatio="599" xr2:uid="{C40AF5DC-6521-4BAD-9766-FD6C2173BCC1}"/>
  </bookViews>
  <sheets>
    <sheet name="2025" sheetId="3" r:id="rId1"/>
    <sheet name="FESTIVOS" sheetId="4" r:id="rId2"/>
  </sheets>
  <definedNames>
    <definedName name="_xlnm._FilterDatabase" localSheetId="0" hidden="1">'2025'!$A$1:$Q$1009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9" i="3" l="1"/>
  <c r="L1008" i="3"/>
  <c r="L1007" i="3"/>
  <c r="L1006" i="3"/>
  <c r="L1005" i="3"/>
  <c r="L1004" i="3"/>
  <c r="L1003" i="3"/>
  <c r="L1002" i="3"/>
  <c r="L1001" i="3"/>
  <c r="L1000" i="3"/>
  <c r="L999" i="3"/>
  <c r="L998" i="3"/>
  <c r="L994" i="3"/>
  <c r="L995" i="3"/>
  <c r="L996" i="3"/>
  <c r="L997" i="3"/>
  <c r="L992" i="3"/>
  <c r="L993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796" i="3"/>
  <c r="J797" i="3"/>
  <c r="J798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861" i="3"/>
  <c r="K861" i="3" s="1"/>
  <c r="L862" i="3"/>
  <c r="K862" i="3" s="1"/>
  <c r="L863" i="3"/>
  <c r="K863" i="3" s="1"/>
  <c r="L864" i="3"/>
  <c r="K864" i="3" s="1"/>
  <c r="L865" i="3"/>
  <c r="K865" i="3" s="1"/>
  <c r="L866" i="3"/>
  <c r="K866" i="3" s="1"/>
  <c r="L867" i="3"/>
  <c r="K867" i="3" s="1"/>
  <c r="L868" i="3"/>
  <c r="K868" i="3" s="1"/>
  <c r="L869" i="3"/>
  <c r="K869" i="3" s="1"/>
  <c r="L870" i="3"/>
  <c r="K870" i="3" s="1"/>
  <c r="L871" i="3"/>
  <c r="K871" i="3" s="1"/>
  <c r="L872" i="3"/>
  <c r="K872" i="3" s="1"/>
  <c r="L873" i="3"/>
  <c r="K873" i="3" s="1"/>
  <c r="L874" i="3"/>
  <c r="K874" i="3" s="1"/>
  <c r="L875" i="3"/>
  <c r="K875" i="3" s="1"/>
  <c r="L876" i="3"/>
  <c r="K876" i="3" s="1"/>
  <c r="L877" i="3"/>
  <c r="K877" i="3" s="1"/>
  <c r="L878" i="3"/>
  <c r="K878" i="3" s="1"/>
  <c r="L879" i="3"/>
  <c r="K879" i="3" s="1"/>
  <c r="L880" i="3"/>
  <c r="K880" i="3" s="1"/>
  <c r="L881" i="3"/>
  <c r="K881" i="3" s="1"/>
  <c r="L882" i="3"/>
  <c r="K882" i="3" s="1"/>
  <c r="L883" i="3"/>
  <c r="K883" i="3" s="1"/>
  <c r="L884" i="3"/>
  <c r="K884" i="3" s="1"/>
  <c r="L885" i="3"/>
  <c r="K885" i="3" s="1"/>
  <c r="L886" i="3"/>
  <c r="K886" i="3" s="1"/>
  <c r="L887" i="3"/>
  <c r="K887" i="3" s="1"/>
  <c r="L888" i="3"/>
  <c r="K888" i="3" s="1"/>
  <c r="L889" i="3"/>
  <c r="K889" i="3" s="1"/>
  <c r="L890" i="3"/>
  <c r="K890" i="3" s="1"/>
  <c r="L891" i="3"/>
  <c r="K891" i="3" s="1"/>
  <c r="L860" i="3"/>
  <c r="K860" i="3" s="1"/>
  <c r="L854" i="3"/>
  <c r="K854" i="3" s="1"/>
  <c r="L855" i="3"/>
  <c r="K855" i="3" s="1"/>
  <c r="L856" i="3"/>
  <c r="K856" i="3" s="1"/>
  <c r="L857" i="3"/>
  <c r="K857" i="3" s="1"/>
  <c r="L858" i="3"/>
  <c r="K858" i="3" s="1"/>
  <c r="L859" i="3"/>
  <c r="K859" i="3" s="1"/>
  <c r="J823" i="3"/>
  <c r="L823" i="3" s="1"/>
  <c r="K823" i="3" s="1"/>
  <c r="O823" i="3" s="1"/>
  <c r="J824" i="3"/>
  <c r="L824" i="3" s="1"/>
  <c r="K824" i="3" s="1"/>
  <c r="O824" i="3" s="1"/>
  <c r="J825" i="3"/>
  <c r="L825" i="3" s="1"/>
  <c r="K825" i="3" s="1"/>
  <c r="O825" i="3" s="1"/>
  <c r="J826" i="3"/>
  <c r="L826" i="3" s="1"/>
  <c r="K826" i="3" s="1"/>
  <c r="O826" i="3" s="1"/>
  <c r="J827" i="3"/>
  <c r="L827" i="3" s="1"/>
  <c r="K827" i="3" s="1"/>
  <c r="O827" i="3" s="1"/>
  <c r="J828" i="3"/>
  <c r="L828" i="3" s="1"/>
  <c r="K828" i="3" s="1"/>
  <c r="O828" i="3" s="1"/>
  <c r="J829" i="3"/>
  <c r="L829" i="3" s="1"/>
  <c r="K829" i="3" s="1"/>
  <c r="O829" i="3" s="1"/>
  <c r="J830" i="3"/>
  <c r="L830" i="3" s="1"/>
  <c r="K830" i="3" s="1"/>
  <c r="J831" i="3"/>
  <c r="L831" i="3" s="1"/>
  <c r="K831" i="3" s="1"/>
  <c r="J832" i="3"/>
  <c r="L832" i="3" s="1"/>
  <c r="K832" i="3" s="1"/>
  <c r="J833" i="3"/>
  <c r="L833" i="3" s="1"/>
  <c r="K833" i="3" s="1"/>
  <c r="J834" i="3"/>
  <c r="L834" i="3" s="1"/>
  <c r="K834" i="3" s="1"/>
  <c r="J835" i="3"/>
  <c r="L835" i="3" s="1"/>
  <c r="K835" i="3" s="1"/>
  <c r="J836" i="3"/>
  <c r="L836" i="3" s="1"/>
  <c r="K836" i="3" s="1"/>
  <c r="J837" i="3"/>
  <c r="L837" i="3" s="1"/>
  <c r="K837" i="3" s="1"/>
  <c r="J838" i="3"/>
  <c r="L838" i="3" s="1"/>
  <c r="K838" i="3" s="1"/>
  <c r="J839" i="3"/>
  <c r="L839" i="3" s="1"/>
  <c r="K839" i="3" s="1"/>
  <c r="O839" i="3" s="1"/>
  <c r="J840" i="3"/>
  <c r="L840" i="3" s="1"/>
  <c r="K840" i="3" s="1"/>
  <c r="O840" i="3" s="1"/>
  <c r="J841" i="3"/>
  <c r="L841" i="3" s="1"/>
  <c r="K841" i="3" s="1"/>
  <c r="O841" i="3" s="1"/>
  <c r="J842" i="3"/>
  <c r="L842" i="3" s="1"/>
  <c r="K842" i="3" s="1"/>
  <c r="O842" i="3" s="1"/>
  <c r="J843" i="3"/>
  <c r="L843" i="3" s="1"/>
  <c r="K843" i="3" s="1"/>
  <c r="O843" i="3" s="1"/>
  <c r="J844" i="3"/>
  <c r="L844" i="3" s="1"/>
  <c r="K844" i="3" s="1"/>
  <c r="O844" i="3" s="1"/>
  <c r="J845" i="3"/>
  <c r="L845" i="3" s="1"/>
  <c r="K845" i="3" s="1"/>
  <c r="O845" i="3" s="1"/>
  <c r="J846" i="3"/>
  <c r="L846" i="3" s="1"/>
  <c r="K846" i="3" s="1"/>
  <c r="O846" i="3" s="1"/>
  <c r="J847" i="3"/>
  <c r="L847" i="3" s="1"/>
  <c r="K847" i="3" s="1"/>
  <c r="O847" i="3" s="1"/>
  <c r="J848" i="3"/>
  <c r="L848" i="3" s="1"/>
  <c r="K848" i="3" s="1"/>
  <c r="O848" i="3" s="1"/>
  <c r="J849" i="3"/>
  <c r="L849" i="3" s="1"/>
  <c r="K849" i="3" s="1"/>
  <c r="O849" i="3" s="1"/>
  <c r="J850" i="3"/>
  <c r="L850" i="3" s="1"/>
  <c r="K850" i="3" s="1"/>
  <c r="O850" i="3" s="1"/>
  <c r="J851" i="3"/>
  <c r="L851" i="3" s="1"/>
  <c r="K851" i="3" s="1"/>
  <c r="O851" i="3" s="1"/>
  <c r="J852" i="3"/>
  <c r="L852" i="3" s="1"/>
  <c r="K852" i="3" s="1"/>
  <c r="O852" i="3" s="1"/>
  <c r="J853" i="3"/>
  <c r="L853" i="3" s="1"/>
  <c r="K853" i="3" s="1"/>
  <c r="O853" i="3" s="1"/>
  <c r="K1009" i="3" l="1"/>
  <c r="K1008" i="3"/>
  <c r="K1007" i="3"/>
  <c r="K1006" i="3"/>
  <c r="K1005" i="3"/>
  <c r="K1004" i="3"/>
  <c r="K1003" i="3"/>
  <c r="K1002" i="3"/>
  <c r="K1001" i="3"/>
  <c r="K1000" i="3"/>
  <c r="K999" i="3"/>
  <c r="K998" i="3"/>
  <c r="K994" i="3"/>
  <c r="K995" i="3"/>
  <c r="K996" i="3"/>
  <c r="K997" i="3"/>
  <c r="K992" i="3"/>
  <c r="K993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8" i="3"/>
  <c r="K959" i="3"/>
  <c r="K961" i="3"/>
  <c r="K962" i="3"/>
  <c r="K964" i="3"/>
  <c r="K966" i="3"/>
  <c r="K968" i="3"/>
  <c r="K970" i="3"/>
  <c r="K971" i="3"/>
  <c r="K973" i="3"/>
  <c r="K977" i="3"/>
  <c r="K978" i="3"/>
  <c r="K980" i="3"/>
  <c r="K983" i="3"/>
  <c r="K987" i="3"/>
  <c r="K988" i="3"/>
  <c r="K990" i="3"/>
  <c r="K957" i="3"/>
  <c r="K960" i="3"/>
  <c r="K963" i="3"/>
  <c r="K965" i="3"/>
  <c r="K967" i="3"/>
  <c r="K969" i="3"/>
  <c r="K972" i="3"/>
  <c r="K975" i="3"/>
  <c r="K976" i="3"/>
  <c r="K979" i="3"/>
  <c r="K981" i="3"/>
  <c r="K982" i="3"/>
  <c r="K984" i="3"/>
  <c r="K985" i="3"/>
  <c r="K986" i="3"/>
  <c r="K989" i="3"/>
  <c r="K991" i="3"/>
  <c r="L797" i="3"/>
  <c r="L798" i="3"/>
  <c r="K796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O830" i="3"/>
  <c r="O831" i="3"/>
  <c r="O832" i="3"/>
  <c r="O833" i="3"/>
  <c r="O834" i="3"/>
  <c r="O835" i="3"/>
  <c r="O836" i="3"/>
  <c r="O837" i="3"/>
  <c r="J795" i="3"/>
  <c r="L795" i="3" s="1"/>
  <c r="K795" i="3" s="1"/>
  <c r="O795" i="3" s="1"/>
  <c r="J799" i="3"/>
  <c r="L799" i="3" s="1"/>
  <c r="K799" i="3" s="1"/>
  <c r="O799" i="3" s="1"/>
  <c r="J800" i="3"/>
  <c r="L800" i="3" s="1"/>
  <c r="K800" i="3" s="1"/>
  <c r="O800" i="3" s="1"/>
  <c r="J801" i="3"/>
  <c r="L801" i="3" s="1"/>
  <c r="K801" i="3" s="1"/>
  <c r="O801" i="3" s="1"/>
  <c r="J802" i="3"/>
  <c r="L802" i="3" s="1"/>
  <c r="K802" i="3" s="1"/>
  <c r="O802" i="3" s="1"/>
  <c r="J803" i="3"/>
  <c r="L803" i="3" s="1"/>
  <c r="K803" i="3" s="1"/>
  <c r="O803" i="3" s="1"/>
  <c r="J804" i="3"/>
  <c r="L804" i="3" s="1"/>
  <c r="K804" i="3" s="1"/>
  <c r="O804" i="3" s="1"/>
  <c r="J805" i="3"/>
  <c r="L805" i="3" s="1"/>
  <c r="K805" i="3" s="1"/>
  <c r="O805" i="3" s="1"/>
  <c r="J806" i="3"/>
  <c r="L806" i="3" s="1"/>
  <c r="K806" i="3" s="1"/>
  <c r="O806" i="3" s="1"/>
  <c r="J807" i="3"/>
  <c r="L807" i="3" s="1"/>
  <c r="K807" i="3" s="1"/>
  <c r="O807" i="3" s="1"/>
  <c r="J808" i="3"/>
  <c r="L808" i="3" s="1"/>
  <c r="K808" i="3" s="1"/>
  <c r="O808" i="3" s="1"/>
  <c r="J809" i="3"/>
  <c r="L809" i="3" s="1"/>
  <c r="K809" i="3" s="1"/>
  <c r="O809" i="3" s="1"/>
  <c r="J810" i="3"/>
  <c r="L810" i="3" s="1"/>
  <c r="K810" i="3" s="1"/>
  <c r="O810" i="3" s="1"/>
  <c r="J811" i="3"/>
  <c r="L811" i="3" s="1"/>
  <c r="K811" i="3" s="1"/>
  <c r="O811" i="3" s="1"/>
  <c r="J812" i="3"/>
  <c r="L812" i="3" s="1"/>
  <c r="K812" i="3" s="1"/>
  <c r="O812" i="3" s="1"/>
  <c r="J813" i="3"/>
  <c r="L813" i="3" s="1"/>
  <c r="K813" i="3" s="1"/>
  <c r="O813" i="3" s="1"/>
  <c r="J814" i="3"/>
  <c r="L814" i="3" s="1"/>
  <c r="K814" i="3" s="1"/>
  <c r="O814" i="3" s="1"/>
  <c r="J815" i="3"/>
  <c r="L815" i="3" s="1"/>
  <c r="K815" i="3" s="1"/>
  <c r="O815" i="3" s="1"/>
  <c r="J816" i="3"/>
  <c r="L816" i="3" s="1"/>
  <c r="K816" i="3" s="1"/>
  <c r="O816" i="3" s="1"/>
  <c r="J817" i="3"/>
  <c r="L817" i="3" s="1"/>
  <c r="K817" i="3" s="1"/>
  <c r="O817" i="3" s="1"/>
  <c r="J818" i="3"/>
  <c r="L818" i="3" s="1"/>
  <c r="K818" i="3" s="1"/>
  <c r="O818" i="3" s="1"/>
  <c r="J819" i="3"/>
  <c r="L819" i="3" s="1"/>
  <c r="K819" i="3" s="1"/>
  <c r="O819" i="3" s="1"/>
  <c r="J820" i="3"/>
  <c r="L820" i="3" s="1"/>
  <c r="K820" i="3" s="1"/>
  <c r="O820" i="3" s="1"/>
  <c r="J821" i="3"/>
  <c r="L821" i="3" s="1"/>
  <c r="K821" i="3" s="1"/>
  <c r="O821" i="3" s="1"/>
  <c r="J822" i="3"/>
  <c r="L822" i="3" s="1"/>
  <c r="K822" i="3" s="1"/>
  <c r="O822" i="3" s="1"/>
  <c r="K797" i="3" l="1"/>
  <c r="K798" i="3"/>
  <c r="O796" i="3"/>
  <c r="J784" i="3"/>
  <c r="L784" i="3" s="1"/>
  <c r="K784" i="3" s="1"/>
  <c r="O784" i="3" s="1"/>
  <c r="J785" i="3"/>
  <c r="L785" i="3" s="1"/>
  <c r="K785" i="3" s="1"/>
  <c r="O785" i="3" s="1"/>
  <c r="J786" i="3"/>
  <c r="L786" i="3" s="1"/>
  <c r="K786" i="3" s="1"/>
  <c r="O786" i="3" s="1"/>
  <c r="J787" i="3"/>
  <c r="L787" i="3" s="1"/>
  <c r="K787" i="3" s="1"/>
  <c r="O787" i="3" s="1"/>
  <c r="J788" i="3"/>
  <c r="L788" i="3" s="1"/>
  <c r="K788" i="3" s="1"/>
  <c r="O788" i="3" s="1"/>
  <c r="J789" i="3"/>
  <c r="L789" i="3" s="1"/>
  <c r="K789" i="3" s="1"/>
  <c r="O789" i="3" s="1"/>
  <c r="J790" i="3"/>
  <c r="L790" i="3" s="1"/>
  <c r="K790" i="3" s="1"/>
  <c r="O790" i="3" s="1"/>
  <c r="J791" i="3"/>
  <c r="L791" i="3" s="1"/>
  <c r="K791" i="3" s="1"/>
  <c r="O791" i="3" s="1"/>
  <c r="J792" i="3"/>
  <c r="L792" i="3" s="1"/>
  <c r="K792" i="3" s="1"/>
  <c r="O792" i="3" s="1"/>
  <c r="J793" i="3"/>
  <c r="L793" i="3" s="1"/>
  <c r="K793" i="3" s="1"/>
  <c r="O793" i="3" s="1"/>
  <c r="J794" i="3"/>
  <c r="L794" i="3" s="1"/>
  <c r="K794" i="3" s="1"/>
  <c r="O794" i="3" s="1"/>
  <c r="J741" i="3"/>
  <c r="L741" i="3" s="1"/>
  <c r="K741" i="3" s="1"/>
  <c r="J781" i="3"/>
  <c r="L781" i="3" s="1"/>
  <c r="K781" i="3" s="1"/>
  <c r="O781" i="3" s="1"/>
  <c r="J782" i="3"/>
  <c r="L782" i="3" s="1"/>
  <c r="K782" i="3" s="1"/>
  <c r="O782" i="3" s="1"/>
  <c r="J783" i="3"/>
  <c r="L783" i="3" s="1"/>
  <c r="K783" i="3" s="1"/>
  <c r="O783" i="3" s="1"/>
  <c r="J693" i="3"/>
  <c r="L693" i="3" s="1"/>
  <c r="K693" i="3" s="1"/>
  <c r="J694" i="3"/>
  <c r="L694" i="3" s="1"/>
  <c r="K694" i="3" s="1"/>
  <c r="J695" i="3"/>
  <c r="L695" i="3" s="1"/>
  <c r="K695" i="3" s="1"/>
  <c r="J696" i="3"/>
  <c r="L696" i="3" s="1"/>
  <c r="K696" i="3" s="1"/>
  <c r="J697" i="3"/>
  <c r="L697" i="3" s="1"/>
  <c r="K697" i="3" s="1"/>
  <c r="J698" i="3"/>
  <c r="L698" i="3" s="1"/>
  <c r="K698" i="3" s="1"/>
  <c r="J699" i="3"/>
  <c r="L699" i="3" s="1"/>
  <c r="K699" i="3" s="1"/>
  <c r="J700" i="3"/>
  <c r="L700" i="3" s="1"/>
  <c r="K700" i="3" s="1"/>
  <c r="J701" i="3"/>
  <c r="L701" i="3" s="1"/>
  <c r="K701" i="3" s="1"/>
  <c r="J702" i="3"/>
  <c r="L702" i="3" s="1"/>
  <c r="K702" i="3" s="1"/>
  <c r="J703" i="3"/>
  <c r="L703" i="3" s="1"/>
  <c r="K703" i="3" s="1"/>
  <c r="J704" i="3"/>
  <c r="L704" i="3" s="1"/>
  <c r="K704" i="3" s="1"/>
  <c r="J705" i="3"/>
  <c r="L705" i="3" s="1"/>
  <c r="K705" i="3" s="1"/>
  <c r="J706" i="3"/>
  <c r="L706" i="3" s="1"/>
  <c r="K706" i="3" s="1"/>
  <c r="J707" i="3"/>
  <c r="L707" i="3" s="1"/>
  <c r="K707" i="3" s="1"/>
  <c r="J708" i="3"/>
  <c r="L708" i="3" s="1"/>
  <c r="K708" i="3" s="1"/>
  <c r="J709" i="3"/>
  <c r="L709" i="3" s="1"/>
  <c r="K709" i="3" s="1"/>
  <c r="J710" i="3"/>
  <c r="L710" i="3" s="1"/>
  <c r="K710" i="3" s="1"/>
  <c r="J711" i="3"/>
  <c r="L711" i="3" s="1"/>
  <c r="K711" i="3" s="1"/>
  <c r="J712" i="3"/>
  <c r="L712" i="3" s="1"/>
  <c r="K712" i="3" s="1"/>
  <c r="J713" i="3"/>
  <c r="L713" i="3" s="1"/>
  <c r="K713" i="3" s="1"/>
  <c r="J714" i="3"/>
  <c r="L714" i="3" s="1"/>
  <c r="K714" i="3" s="1"/>
  <c r="J715" i="3"/>
  <c r="L715" i="3" s="1"/>
  <c r="K715" i="3" s="1"/>
  <c r="J716" i="3"/>
  <c r="L716" i="3" s="1"/>
  <c r="K716" i="3" s="1"/>
  <c r="J717" i="3"/>
  <c r="L717" i="3" s="1"/>
  <c r="K717" i="3" s="1"/>
  <c r="J718" i="3"/>
  <c r="L718" i="3" s="1"/>
  <c r="K718" i="3" s="1"/>
  <c r="J719" i="3"/>
  <c r="L719" i="3" s="1"/>
  <c r="K719" i="3" s="1"/>
  <c r="J720" i="3"/>
  <c r="L720" i="3" s="1"/>
  <c r="K720" i="3" s="1"/>
  <c r="J721" i="3"/>
  <c r="L721" i="3" s="1"/>
  <c r="K721" i="3" s="1"/>
  <c r="J722" i="3"/>
  <c r="L722" i="3" s="1"/>
  <c r="K722" i="3" s="1"/>
  <c r="J723" i="3"/>
  <c r="L723" i="3" s="1"/>
  <c r="K723" i="3" s="1"/>
  <c r="J724" i="3"/>
  <c r="L724" i="3" s="1"/>
  <c r="K724" i="3" s="1"/>
  <c r="J725" i="3"/>
  <c r="L725" i="3" s="1"/>
  <c r="K725" i="3" s="1"/>
  <c r="J726" i="3"/>
  <c r="L726" i="3" s="1"/>
  <c r="K726" i="3" s="1"/>
  <c r="J727" i="3"/>
  <c r="L727" i="3" s="1"/>
  <c r="K727" i="3" s="1"/>
  <c r="J728" i="3"/>
  <c r="L728" i="3" s="1"/>
  <c r="K728" i="3" s="1"/>
  <c r="J729" i="3"/>
  <c r="L729" i="3" s="1"/>
  <c r="K729" i="3" s="1"/>
  <c r="J730" i="3"/>
  <c r="L730" i="3" s="1"/>
  <c r="K730" i="3" s="1"/>
  <c r="J731" i="3"/>
  <c r="L731" i="3" s="1"/>
  <c r="K731" i="3" s="1"/>
  <c r="J732" i="3"/>
  <c r="L732" i="3" s="1"/>
  <c r="K732" i="3" s="1"/>
  <c r="J733" i="3"/>
  <c r="L733" i="3" s="1"/>
  <c r="K733" i="3" s="1"/>
  <c r="J734" i="3"/>
  <c r="L734" i="3" s="1"/>
  <c r="K734" i="3" s="1"/>
  <c r="J735" i="3"/>
  <c r="L735" i="3" s="1"/>
  <c r="K735" i="3" s="1"/>
  <c r="J736" i="3"/>
  <c r="L736" i="3" s="1"/>
  <c r="K736" i="3" s="1"/>
  <c r="J737" i="3"/>
  <c r="L737" i="3" s="1"/>
  <c r="K737" i="3" s="1"/>
  <c r="J738" i="3"/>
  <c r="L738" i="3" s="1"/>
  <c r="K738" i="3" s="1"/>
  <c r="J739" i="3"/>
  <c r="L739" i="3" s="1"/>
  <c r="K739" i="3" s="1"/>
  <c r="J740" i="3"/>
  <c r="L740" i="3" s="1"/>
  <c r="K740" i="3" s="1"/>
  <c r="J742" i="3"/>
  <c r="L742" i="3" s="1"/>
  <c r="K742" i="3" s="1"/>
  <c r="J743" i="3"/>
  <c r="L743" i="3" s="1"/>
  <c r="K743" i="3" s="1"/>
  <c r="J744" i="3"/>
  <c r="L744" i="3" s="1"/>
  <c r="K744" i="3" s="1"/>
  <c r="J745" i="3"/>
  <c r="L745" i="3" s="1"/>
  <c r="K745" i="3" s="1"/>
  <c r="J746" i="3"/>
  <c r="L746" i="3" s="1"/>
  <c r="K746" i="3" s="1"/>
  <c r="J747" i="3"/>
  <c r="L747" i="3" s="1"/>
  <c r="K747" i="3" s="1"/>
  <c r="J748" i="3"/>
  <c r="L748" i="3" s="1"/>
  <c r="K748" i="3" s="1"/>
  <c r="J749" i="3"/>
  <c r="L749" i="3" s="1"/>
  <c r="K749" i="3" s="1"/>
  <c r="J750" i="3"/>
  <c r="L750" i="3" s="1"/>
  <c r="K750" i="3" s="1"/>
  <c r="J751" i="3"/>
  <c r="L751" i="3" s="1"/>
  <c r="K751" i="3" s="1"/>
  <c r="J752" i="3"/>
  <c r="L752" i="3" s="1"/>
  <c r="K752" i="3" s="1"/>
  <c r="J753" i="3"/>
  <c r="L753" i="3" s="1"/>
  <c r="K753" i="3" s="1"/>
  <c r="J754" i="3"/>
  <c r="L754" i="3" s="1"/>
  <c r="K754" i="3" s="1"/>
  <c r="J755" i="3"/>
  <c r="L755" i="3" s="1"/>
  <c r="K755" i="3" s="1"/>
  <c r="J756" i="3"/>
  <c r="L756" i="3" s="1"/>
  <c r="K756" i="3" s="1"/>
  <c r="J757" i="3"/>
  <c r="L757" i="3" s="1"/>
  <c r="K757" i="3" s="1"/>
  <c r="J758" i="3"/>
  <c r="L758" i="3" s="1"/>
  <c r="K758" i="3" s="1"/>
  <c r="J759" i="3"/>
  <c r="L759" i="3" s="1"/>
  <c r="K759" i="3" s="1"/>
  <c r="J760" i="3"/>
  <c r="L760" i="3" s="1"/>
  <c r="K760" i="3" s="1"/>
  <c r="J761" i="3"/>
  <c r="L761" i="3" s="1"/>
  <c r="K761" i="3" s="1"/>
  <c r="J762" i="3"/>
  <c r="L762" i="3" s="1"/>
  <c r="K762" i="3" s="1"/>
  <c r="J763" i="3"/>
  <c r="L763" i="3" s="1"/>
  <c r="K763" i="3" s="1"/>
  <c r="J764" i="3"/>
  <c r="L764" i="3" s="1"/>
  <c r="K764" i="3" s="1"/>
  <c r="J765" i="3"/>
  <c r="L765" i="3" s="1"/>
  <c r="K765" i="3" s="1"/>
  <c r="J766" i="3"/>
  <c r="L766" i="3" s="1"/>
  <c r="K766" i="3" s="1"/>
  <c r="J767" i="3"/>
  <c r="L767" i="3" s="1"/>
  <c r="K767" i="3" s="1"/>
  <c r="O767" i="3" s="1"/>
  <c r="J768" i="3"/>
  <c r="L768" i="3" s="1"/>
  <c r="K768" i="3" s="1"/>
  <c r="O768" i="3" s="1"/>
  <c r="J769" i="3"/>
  <c r="L769" i="3" s="1"/>
  <c r="K769" i="3" s="1"/>
  <c r="O769" i="3" s="1"/>
  <c r="J770" i="3"/>
  <c r="L770" i="3" s="1"/>
  <c r="K770" i="3" s="1"/>
  <c r="O770" i="3" s="1"/>
  <c r="J771" i="3"/>
  <c r="L771" i="3" s="1"/>
  <c r="K771" i="3" s="1"/>
  <c r="O771" i="3" s="1"/>
  <c r="J772" i="3"/>
  <c r="L772" i="3" s="1"/>
  <c r="K772" i="3" s="1"/>
  <c r="O772" i="3" s="1"/>
  <c r="J773" i="3"/>
  <c r="L773" i="3" s="1"/>
  <c r="K773" i="3" s="1"/>
  <c r="O773" i="3" s="1"/>
  <c r="J774" i="3"/>
  <c r="J775" i="3"/>
  <c r="L775" i="3" s="1"/>
  <c r="K775" i="3" s="1"/>
  <c r="O775" i="3" s="1"/>
  <c r="J776" i="3"/>
  <c r="L776" i="3" s="1"/>
  <c r="K776" i="3" s="1"/>
  <c r="O776" i="3" s="1"/>
  <c r="J777" i="3"/>
  <c r="L777" i="3" s="1"/>
  <c r="K777" i="3" s="1"/>
  <c r="O777" i="3" s="1"/>
  <c r="J778" i="3"/>
  <c r="L778" i="3" s="1"/>
  <c r="K778" i="3" s="1"/>
  <c r="O778" i="3" s="1"/>
  <c r="J779" i="3"/>
  <c r="L779" i="3" s="1"/>
  <c r="K779" i="3" s="1"/>
  <c r="O779" i="3" s="1"/>
  <c r="J780" i="3"/>
  <c r="L780" i="3" s="1"/>
  <c r="K780" i="3" s="1"/>
  <c r="O780" i="3" s="1"/>
  <c r="O797" i="3" l="1"/>
  <c r="O798" i="3"/>
  <c r="L774" i="3"/>
  <c r="K774" i="3" s="1"/>
  <c r="O774" i="3" s="1"/>
  <c r="O741" i="3"/>
  <c r="O742" i="3"/>
  <c r="O743" i="3"/>
  <c r="O747" i="3"/>
  <c r="O749" i="3"/>
  <c r="O750" i="3"/>
  <c r="O752" i="3"/>
  <c r="O756" i="3"/>
  <c r="O757" i="3"/>
  <c r="O758" i="3"/>
  <c r="O759" i="3"/>
  <c r="O760" i="3"/>
  <c r="N761" i="3"/>
  <c r="N763" i="3"/>
  <c r="O740" i="3" l="1"/>
  <c r="N740" i="3"/>
  <c r="O751" i="3"/>
  <c r="N751" i="3"/>
  <c r="N756" i="3"/>
  <c r="N750" i="3"/>
  <c r="N757" i="3"/>
  <c r="N747" i="3"/>
  <c r="N759" i="3"/>
  <c r="N760" i="3"/>
  <c r="N758" i="3"/>
  <c r="O765" i="3"/>
  <c r="N765" i="3"/>
  <c r="O764" i="3"/>
  <c r="N764" i="3"/>
  <c r="O766" i="3"/>
  <c r="N766" i="3"/>
  <c r="O762" i="3"/>
  <c r="N762" i="3"/>
  <c r="N749" i="3"/>
  <c r="N743" i="3"/>
  <c r="N742" i="3"/>
  <c r="N741" i="3"/>
  <c r="N739" i="3"/>
  <c r="O739" i="3"/>
  <c r="N752" i="3"/>
  <c r="O738" i="3"/>
  <c r="N738" i="3"/>
  <c r="N736" i="3"/>
  <c r="O736" i="3"/>
  <c r="O761" i="3"/>
  <c r="O763" i="3"/>
  <c r="N753" i="3"/>
  <c r="O753" i="3"/>
  <c r="N755" i="3"/>
  <c r="O755" i="3"/>
  <c r="N754" i="3"/>
  <c r="O754" i="3"/>
  <c r="J692" i="3"/>
  <c r="N744" i="3" l="1"/>
  <c r="O744" i="3"/>
  <c r="O746" i="3"/>
  <c r="N746" i="3"/>
  <c r="N745" i="3"/>
  <c r="O745" i="3"/>
  <c r="N748" i="3"/>
  <c r="O748" i="3"/>
  <c r="N737" i="3" l="1"/>
  <c r="O737" i="3"/>
  <c r="N733" i="3"/>
  <c r="O733" i="3"/>
  <c r="N728" i="3"/>
  <c r="O728" i="3"/>
  <c r="N727" i="3"/>
  <c r="O727" i="3"/>
  <c r="N726" i="3"/>
  <c r="O726" i="3"/>
  <c r="N731" i="3"/>
  <c r="O731" i="3"/>
  <c r="N725" i="3"/>
  <c r="O725" i="3"/>
  <c r="N729" i="3"/>
  <c r="O729" i="3"/>
  <c r="N724" i="3"/>
  <c r="O724" i="3"/>
  <c r="N734" i="3"/>
  <c r="O734" i="3"/>
  <c r="N735" i="3"/>
  <c r="O735" i="3"/>
  <c r="N723" i="3"/>
  <c r="O723" i="3"/>
  <c r="N730" i="3"/>
  <c r="O730" i="3"/>
  <c r="N732" i="3"/>
  <c r="O732" i="3"/>
  <c r="L688" i="3"/>
  <c r="K688" i="3" s="1"/>
  <c r="L689" i="3"/>
  <c r="K689" i="3" s="1"/>
  <c r="L690" i="3"/>
  <c r="K690" i="3" s="1"/>
  <c r="L691" i="3"/>
  <c r="K691" i="3" s="1"/>
  <c r="L692" i="3"/>
  <c r="K692" i="3" s="1"/>
  <c r="N715" i="3" l="1"/>
  <c r="O715" i="3"/>
  <c r="N704" i="3"/>
  <c r="O704" i="3"/>
  <c r="N719" i="3"/>
  <c r="O719" i="3"/>
  <c r="N706" i="3"/>
  <c r="O706" i="3"/>
  <c r="N703" i="3"/>
  <c r="O703" i="3"/>
  <c r="N718" i="3"/>
  <c r="O718" i="3"/>
  <c r="N716" i="3"/>
  <c r="O716" i="3"/>
  <c r="N702" i="3"/>
  <c r="O702" i="3"/>
  <c r="N717" i="3"/>
  <c r="O717" i="3"/>
  <c r="N694" i="3"/>
  <c r="O694" i="3"/>
  <c r="N695" i="3"/>
  <c r="O695" i="3"/>
  <c r="N713" i="3"/>
  <c r="O713" i="3"/>
  <c r="N721" i="3"/>
  <c r="O721" i="3"/>
  <c r="N707" i="3"/>
  <c r="O707" i="3"/>
  <c r="N697" i="3"/>
  <c r="O697" i="3"/>
  <c r="N712" i="3"/>
  <c r="O712" i="3"/>
  <c r="N722" i="3"/>
  <c r="O722" i="3"/>
  <c r="N688" i="3"/>
  <c r="O688" i="3"/>
  <c r="N696" i="3"/>
  <c r="O696" i="3"/>
  <c r="N711" i="3"/>
  <c r="O711" i="3"/>
  <c r="N705" i="3"/>
  <c r="O705" i="3"/>
  <c r="N699" i="3"/>
  <c r="O699" i="3"/>
  <c r="N700" i="3"/>
  <c r="O700" i="3"/>
  <c r="N710" i="3"/>
  <c r="O710" i="3"/>
  <c r="N693" i="3"/>
  <c r="O693" i="3"/>
  <c r="N692" i="3"/>
  <c r="O692" i="3"/>
  <c r="N691" i="3"/>
  <c r="O691" i="3"/>
  <c r="N701" i="3"/>
  <c r="O701" i="3"/>
  <c r="N709" i="3"/>
  <c r="O709" i="3"/>
  <c r="N689" i="3"/>
  <c r="O689" i="3"/>
  <c r="N720" i="3"/>
  <c r="O720" i="3"/>
  <c r="N698" i="3"/>
  <c r="O698" i="3"/>
  <c r="N690" i="3"/>
  <c r="O690" i="3"/>
  <c r="N708" i="3"/>
  <c r="O708" i="3"/>
  <c r="N714" i="3"/>
  <c r="O714" i="3"/>
  <c r="L687" i="3"/>
  <c r="K687" i="3" s="1"/>
  <c r="O687" i="3" s="1"/>
  <c r="L686" i="3"/>
  <c r="K686" i="3" s="1"/>
  <c r="N686" i="3" s="1"/>
  <c r="L685" i="3"/>
  <c r="K685" i="3" s="1"/>
  <c r="N685" i="3" s="1"/>
  <c r="L684" i="3"/>
  <c r="K684" i="3" s="1"/>
  <c r="N684" i="3" s="1"/>
  <c r="J683" i="3"/>
  <c r="L683" i="3" s="1"/>
  <c r="K683" i="3" s="1"/>
  <c r="N683" i="3" s="1"/>
  <c r="J681" i="3"/>
  <c r="L681" i="3" s="1"/>
  <c r="K681" i="3" s="1"/>
  <c r="O681" i="3" s="1"/>
  <c r="J682" i="3"/>
  <c r="L682" i="3" s="1"/>
  <c r="K682" i="3" s="1"/>
  <c r="O682" i="3" s="1"/>
  <c r="J679" i="3"/>
  <c r="L679" i="3" s="1"/>
  <c r="K679" i="3" s="1"/>
  <c r="N679" i="3" s="1"/>
  <c r="J680" i="3"/>
  <c r="L680" i="3" s="1"/>
  <c r="K680" i="3" s="1"/>
  <c r="N680" i="3" s="1"/>
  <c r="J677" i="3"/>
  <c r="L677" i="3" s="1"/>
  <c r="K677" i="3" s="1"/>
  <c r="O677" i="3" s="1"/>
  <c r="J678" i="3"/>
  <c r="L678" i="3" s="1"/>
  <c r="K678" i="3" s="1"/>
  <c r="N678" i="3" s="1"/>
  <c r="J676" i="3"/>
  <c r="L676" i="3" s="1"/>
  <c r="K676" i="3" s="1"/>
  <c r="O676" i="3" s="1"/>
  <c r="J675" i="3"/>
  <c r="L675" i="3" s="1"/>
  <c r="K675" i="3" s="1"/>
  <c r="N675" i="3" s="1"/>
  <c r="J674" i="3"/>
  <c r="L674" i="3" s="1"/>
  <c r="K674" i="3" s="1"/>
  <c r="N674" i="3" s="1"/>
  <c r="J673" i="3"/>
  <c r="L673" i="3" s="1"/>
  <c r="K673" i="3" s="1"/>
  <c r="N673" i="3" s="1"/>
  <c r="L672" i="3"/>
  <c r="K672" i="3" s="1"/>
  <c r="N672" i="3" s="1"/>
  <c r="L671" i="3"/>
  <c r="K671" i="3" s="1"/>
  <c r="O671" i="3" s="1"/>
  <c r="L670" i="3"/>
  <c r="K670" i="3" s="1"/>
  <c r="O670" i="3" s="1"/>
  <c r="L669" i="3"/>
  <c r="K669" i="3" s="1"/>
  <c r="O669" i="3" s="1"/>
  <c r="L306" i="3"/>
  <c r="K306" i="3" s="1"/>
  <c r="L365" i="3"/>
  <c r="K365" i="3" s="1"/>
  <c r="L383" i="3"/>
  <c r="K383" i="3" s="1"/>
  <c r="L408" i="3"/>
  <c r="K408" i="3" s="1"/>
  <c r="L457" i="3"/>
  <c r="K457" i="3" s="1"/>
  <c r="L491" i="3"/>
  <c r="K491" i="3" s="1"/>
  <c r="L496" i="3"/>
  <c r="K496" i="3" s="1"/>
  <c r="L664" i="3"/>
  <c r="K664" i="3" s="1"/>
  <c r="N664" i="3" s="1"/>
  <c r="L665" i="3"/>
  <c r="K665" i="3" s="1"/>
  <c r="O665" i="3" s="1"/>
  <c r="L666" i="3"/>
  <c r="K666" i="3" s="1"/>
  <c r="N666" i="3" s="1"/>
  <c r="L667" i="3"/>
  <c r="K667" i="3" s="1"/>
  <c r="N667" i="3" s="1"/>
  <c r="L668" i="3"/>
  <c r="K668" i="3" s="1"/>
  <c r="N668" i="3" s="1"/>
  <c r="J366" i="3"/>
  <c r="L366" i="3" s="1"/>
  <c r="K366" i="3" s="1"/>
  <c r="J407" i="3"/>
  <c r="L407" i="3" s="1"/>
  <c r="K407" i="3" s="1"/>
  <c r="N687" i="3" l="1"/>
  <c r="O685" i="3"/>
  <c r="O683" i="3"/>
  <c r="O686" i="3"/>
  <c r="O684" i="3"/>
  <c r="O678" i="3"/>
  <c r="O673" i="3"/>
  <c r="N670" i="3"/>
  <c r="N682" i="3"/>
  <c r="O667" i="3"/>
  <c r="N669" i="3"/>
  <c r="N681" i="3"/>
  <c r="N677" i="3"/>
  <c r="O679" i="3"/>
  <c r="O666" i="3"/>
  <c r="O664" i="3"/>
  <c r="N676" i="3"/>
  <c r="O675" i="3"/>
  <c r="N671" i="3"/>
  <c r="N665" i="3"/>
  <c r="O680" i="3"/>
  <c r="O674" i="3"/>
  <c r="O668" i="3"/>
  <c r="O672" i="3"/>
  <c r="J311" i="3"/>
  <c r="L311" i="3" s="1"/>
  <c r="K311" i="3" s="1"/>
  <c r="J312" i="3"/>
  <c r="J313" i="3"/>
  <c r="L313" i="3" s="1"/>
  <c r="K313" i="3" s="1"/>
  <c r="J314" i="3"/>
  <c r="L314" i="3" s="1"/>
  <c r="K314" i="3" s="1"/>
  <c r="J315" i="3"/>
  <c r="L315" i="3" s="1"/>
  <c r="K315" i="3" s="1"/>
  <c r="J316" i="3"/>
  <c r="L316" i="3" s="1"/>
  <c r="K316" i="3" s="1"/>
  <c r="J317" i="3"/>
  <c r="L317" i="3" s="1"/>
  <c r="K317" i="3" s="1"/>
  <c r="J318" i="3"/>
  <c r="J319" i="3"/>
  <c r="J320" i="3"/>
  <c r="L320" i="3" s="1"/>
  <c r="K320" i="3" s="1"/>
  <c r="J321" i="3"/>
  <c r="L321" i="3" s="1"/>
  <c r="K321" i="3" s="1"/>
  <c r="J322" i="3"/>
  <c r="L322" i="3" s="1"/>
  <c r="K322" i="3" s="1"/>
  <c r="J323" i="3"/>
  <c r="L323" i="3" s="1"/>
  <c r="K323" i="3" s="1"/>
  <c r="J324" i="3"/>
  <c r="L324" i="3" s="1"/>
  <c r="K324" i="3" s="1"/>
  <c r="J325" i="3"/>
  <c r="L325" i="3" s="1"/>
  <c r="K325" i="3" s="1"/>
  <c r="J326" i="3"/>
  <c r="L326" i="3" s="1"/>
  <c r="K326" i="3" s="1"/>
  <c r="J327" i="3"/>
  <c r="L327" i="3" s="1"/>
  <c r="K327" i="3" s="1"/>
  <c r="J328" i="3"/>
  <c r="L328" i="3" s="1"/>
  <c r="K328" i="3" s="1"/>
  <c r="J329" i="3"/>
  <c r="L329" i="3" s="1"/>
  <c r="K329" i="3" s="1"/>
  <c r="J330" i="3"/>
  <c r="L330" i="3" s="1"/>
  <c r="K330" i="3" s="1"/>
  <c r="J331" i="3"/>
  <c r="L331" i="3" s="1"/>
  <c r="K331" i="3" s="1"/>
  <c r="J332" i="3"/>
  <c r="L332" i="3" s="1"/>
  <c r="K332" i="3" s="1"/>
  <c r="J333" i="3"/>
  <c r="L333" i="3" s="1"/>
  <c r="K333" i="3" s="1"/>
  <c r="J334" i="3"/>
  <c r="L334" i="3" s="1"/>
  <c r="K334" i="3" s="1"/>
  <c r="J335" i="3"/>
  <c r="L335" i="3" s="1"/>
  <c r="K335" i="3" s="1"/>
  <c r="J336" i="3"/>
  <c r="J337" i="3"/>
  <c r="L337" i="3" s="1"/>
  <c r="K337" i="3" s="1"/>
  <c r="J338" i="3"/>
  <c r="J339" i="3"/>
  <c r="L339" i="3" s="1"/>
  <c r="K339" i="3" s="1"/>
  <c r="J340" i="3"/>
  <c r="L340" i="3" s="1"/>
  <c r="K340" i="3" s="1"/>
  <c r="J341" i="3"/>
  <c r="L341" i="3" s="1"/>
  <c r="K341" i="3" s="1"/>
  <c r="J342" i="3"/>
  <c r="J343" i="3"/>
  <c r="L343" i="3" s="1"/>
  <c r="K343" i="3" s="1"/>
  <c r="J344" i="3"/>
  <c r="L344" i="3" s="1"/>
  <c r="K344" i="3" s="1"/>
  <c r="J345" i="3"/>
  <c r="L345" i="3" s="1"/>
  <c r="K345" i="3" s="1"/>
  <c r="J346" i="3"/>
  <c r="L346" i="3" s="1"/>
  <c r="K346" i="3" s="1"/>
  <c r="J347" i="3"/>
  <c r="L347" i="3" s="1"/>
  <c r="K347" i="3" s="1"/>
  <c r="J348" i="3"/>
  <c r="L348" i="3" s="1"/>
  <c r="K348" i="3" s="1"/>
  <c r="J349" i="3"/>
  <c r="L349" i="3" s="1"/>
  <c r="K349" i="3" s="1"/>
  <c r="J350" i="3"/>
  <c r="L350" i="3" s="1"/>
  <c r="K350" i="3" s="1"/>
  <c r="J351" i="3"/>
  <c r="L351" i="3" s="1"/>
  <c r="K351" i="3" s="1"/>
  <c r="J352" i="3"/>
  <c r="L352" i="3" s="1"/>
  <c r="K352" i="3" s="1"/>
  <c r="J353" i="3"/>
  <c r="L353" i="3" s="1"/>
  <c r="K353" i="3" s="1"/>
  <c r="J354" i="3"/>
  <c r="J355" i="3"/>
  <c r="L355" i="3" s="1"/>
  <c r="K355" i="3" s="1"/>
  <c r="J356" i="3"/>
  <c r="L356" i="3" s="1"/>
  <c r="K356" i="3" s="1"/>
  <c r="J357" i="3"/>
  <c r="L357" i="3" s="1"/>
  <c r="K357" i="3" s="1"/>
  <c r="J358" i="3"/>
  <c r="J359" i="3"/>
  <c r="L359" i="3" s="1"/>
  <c r="K359" i="3" s="1"/>
  <c r="J360" i="3"/>
  <c r="L360" i="3" s="1"/>
  <c r="K360" i="3" s="1"/>
  <c r="J361" i="3"/>
  <c r="J362" i="3"/>
  <c r="L362" i="3" s="1"/>
  <c r="K362" i="3" s="1"/>
  <c r="J363" i="3"/>
  <c r="L363" i="3" s="1"/>
  <c r="K363" i="3" s="1"/>
  <c r="J364" i="3"/>
  <c r="L364" i="3" s="1"/>
  <c r="K364" i="3" s="1"/>
  <c r="J367" i="3"/>
  <c r="J368" i="3"/>
  <c r="L368" i="3" s="1"/>
  <c r="K368" i="3" s="1"/>
  <c r="J369" i="3"/>
  <c r="J370" i="3"/>
  <c r="J371" i="3"/>
  <c r="L371" i="3" s="1"/>
  <c r="K371" i="3" s="1"/>
  <c r="J372" i="3"/>
  <c r="L372" i="3" s="1"/>
  <c r="K372" i="3" s="1"/>
  <c r="J373" i="3"/>
  <c r="L373" i="3" s="1"/>
  <c r="K373" i="3" s="1"/>
  <c r="J374" i="3"/>
  <c r="L374" i="3" s="1"/>
  <c r="K374" i="3" s="1"/>
  <c r="J375" i="3"/>
  <c r="L375" i="3" s="1"/>
  <c r="K375" i="3" s="1"/>
  <c r="J376" i="3"/>
  <c r="L376" i="3" s="1"/>
  <c r="K376" i="3" s="1"/>
  <c r="J377" i="3"/>
  <c r="L377" i="3" s="1"/>
  <c r="K377" i="3" s="1"/>
  <c r="J378" i="3"/>
  <c r="J379" i="3"/>
  <c r="L379" i="3" s="1"/>
  <c r="K379" i="3" s="1"/>
  <c r="J380" i="3"/>
  <c r="L380" i="3" s="1"/>
  <c r="K380" i="3" s="1"/>
  <c r="J381" i="3"/>
  <c r="L381" i="3" s="1"/>
  <c r="K381" i="3" s="1"/>
  <c r="J382" i="3"/>
  <c r="L382" i="3" s="1"/>
  <c r="K382" i="3" s="1"/>
  <c r="J384" i="3"/>
  <c r="L384" i="3" s="1"/>
  <c r="K384" i="3" s="1"/>
  <c r="J385" i="3"/>
  <c r="J386" i="3"/>
  <c r="J387" i="3"/>
  <c r="J388" i="3"/>
  <c r="L388" i="3" s="1"/>
  <c r="K388" i="3" s="1"/>
  <c r="J389" i="3"/>
  <c r="L389" i="3" s="1"/>
  <c r="K389" i="3" s="1"/>
  <c r="J390" i="3"/>
  <c r="J391" i="3"/>
  <c r="L391" i="3" s="1"/>
  <c r="K391" i="3" s="1"/>
  <c r="J392" i="3"/>
  <c r="J393" i="3"/>
  <c r="L393" i="3" s="1"/>
  <c r="K393" i="3" s="1"/>
  <c r="J394" i="3"/>
  <c r="J395" i="3"/>
  <c r="L395" i="3" s="1"/>
  <c r="K395" i="3" s="1"/>
  <c r="J396" i="3"/>
  <c r="L396" i="3" s="1"/>
  <c r="K396" i="3" s="1"/>
  <c r="J397" i="3"/>
  <c r="L397" i="3" s="1"/>
  <c r="K397" i="3" s="1"/>
  <c r="J398" i="3"/>
  <c r="L398" i="3" s="1"/>
  <c r="K398" i="3" s="1"/>
  <c r="J399" i="3"/>
  <c r="L399" i="3" s="1"/>
  <c r="K399" i="3" s="1"/>
  <c r="J400" i="3"/>
  <c r="L400" i="3" s="1"/>
  <c r="K400" i="3" s="1"/>
  <c r="J401" i="3"/>
  <c r="L401" i="3" s="1"/>
  <c r="K401" i="3" s="1"/>
  <c r="J402" i="3"/>
  <c r="L402" i="3" s="1"/>
  <c r="K402" i="3" s="1"/>
  <c r="J403" i="3"/>
  <c r="L403" i="3" s="1"/>
  <c r="K403" i="3" s="1"/>
  <c r="J404" i="3"/>
  <c r="L404" i="3" s="1"/>
  <c r="K404" i="3" s="1"/>
  <c r="J405" i="3"/>
  <c r="L405" i="3" s="1"/>
  <c r="K405" i="3" s="1"/>
  <c r="J406" i="3"/>
  <c r="L406" i="3" s="1"/>
  <c r="K406" i="3" s="1"/>
  <c r="J409" i="3"/>
  <c r="L409" i="3" s="1"/>
  <c r="K409" i="3" s="1"/>
  <c r="J410" i="3"/>
  <c r="L410" i="3" s="1"/>
  <c r="K410" i="3" s="1"/>
  <c r="J411" i="3"/>
  <c r="L411" i="3" s="1"/>
  <c r="K411" i="3" s="1"/>
  <c r="J412" i="3"/>
  <c r="L412" i="3" s="1"/>
  <c r="K412" i="3" s="1"/>
  <c r="J413" i="3"/>
  <c r="L413" i="3" s="1"/>
  <c r="K413" i="3" s="1"/>
  <c r="J414" i="3"/>
  <c r="J415" i="3"/>
  <c r="L415" i="3" s="1"/>
  <c r="K415" i="3" s="1"/>
  <c r="J416" i="3"/>
  <c r="L416" i="3" s="1"/>
  <c r="K416" i="3" s="1"/>
  <c r="J417" i="3"/>
  <c r="L417" i="3" s="1"/>
  <c r="K417" i="3" s="1"/>
  <c r="J418" i="3"/>
  <c r="L418" i="3" s="1"/>
  <c r="K418" i="3" s="1"/>
  <c r="J419" i="3"/>
  <c r="L419" i="3" s="1"/>
  <c r="K419" i="3" s="1"/>
  <c r="J420" i="3"/>
  <c r="L420" i="3" s="1"/>
  <c r="K420" i="3" s="1"/>
  <c r="J421" i="3"/>
  <c r="L421" i="3" s="1"/>
  <c r="K421" i="3" s="1"/>
  <c r="J422" i="3"/>
  <c r="L422" i="3" s="1"/>
  <c r="K422" i="3" s="1"/>
  <c r="J423" i="3"/>
  <c r="L423" i="3" s="1"/>
  <c r="K423" i="3" s="1"/>
  <c r="J424" i="3"/>
  <c r="L424" i="3" s="1"/>
  <c r="K424" i="3" s="1"/>
  <c r="J425" i="3"/>
  <c r="L425" i="3" s="1"/>
  <c r="K425" i="3" s="1"/>
  <c r="J426" i="3"/>
  <c r="J427" i="3"/>
  <c r="J428" i="3"/>
  <c r="L428" i="3" s="1"/>
  <c r="K428" i="3" s="1"/>
  <c r="J429" i="3"/>
  <c r="L429" i="3" s="1"/>
  <c r="K429" i="3" s="1"/>
  <c r="J430" i="3"/>
  <c r="L430" i="3" s="1"/>
  <c r="K430" i="3" s="1"/>
  <c r="J431" i="3"/>
  <c r="L431" i="3" s="1"/>
  <c r="K431" i="3" s="1"/>
  <c r="J432" i="3"/>
  <c r="L432" i="3" s="1"/>
  <c r="K432" i="3" s="1"/>
  <c r="J433" i="3"/>
  <c r="J434" i="3"/>
  <c r="L434" i="3" s="1"/>
  <c r="K434" i="3" s="1"/>
  <c r="J435" i="3"/>
  <c r="L435" i="3" s="1"/>
  <c r="K435" i="3" s="1"/>
  <c r="J436" i="3"/>
  <c r="L436" i="3" s="1"/>
  <c r="K436" i="3" s="1"/>
  <c r="J437" i="3"/>
  <c r="L437" i="3" s="1"/>
  <c r="K437" i="3" s="1"/>
  <c r="J438" i="3"/>
  <c r="L438" i="3" s="1"/>
  <c r="K438" i="3" s="1"/>
  <c r="J439" i="3"/>
  <c r="L439" i="3" s="1"/>
  <c r="K439" i="3" s="1"/>
  <c r="J440" i="3"/>
  <c r="L440" i="3" s="1"/>
  <c r="K440" i="3" s="1"/>
  <c r="J441" i="3"/>
  <c r="L441" i="3" s="1"/>
  <c r="K441" i="3" s="1"/>
  <c r="J442" i="3"/>
  <c r="L442" i="3" s="1"/>
  <c r="K442" i="3" s="1"/>
  <c r="J443" i="3"/>
  <c r="J444" i="3"/>
  <c r="L444" i="3" s="1"/>
  <c r="K444" i="3" s="1"/>
  <c r="J445" i="3"/>
  <c r="L445" i="3" s="1"/>
  <c r="K445" i="3" s="1"/>
  <c r="J446" i="3"/>
  <c r="J447" i="3"/>
  <c r="L447" i="3" s="1"/>
  <c r="K447" i="3" s="1"/>
  <c r="J448" i="3"/>
  <c r="J449" i="3"/>
  <c r="J450" i="3"/>
  <c r="J451" i="3"/>
  <c r="L451" i="3" s="1"/>
  <c r="K451" i="3" s="1"/>
  <c r="J452" i="3"/>
  <c r="L452" i="3" s="1"/>
  <c r="K452" i="3" s="1"/>
  <c r="J453" i="3"/>
  <c r="J454" i="3"/>
  <c r="J455" i="3"/>
  <c r="L455" i="3" s="1"/>
  <c r="K455" i="3" s="1"/>
  <c r="J456" i="3"/>
  <c r="N457" i="3"/>
  <c r="J458" i="3"/>
  <c r="L458" i="3" s="1"/>
  <c r="K458" i="3" s="1"/>
  <c r="J459" i="3"/>
  <c r="L459" i="3" s="1"/>
  <c r="K459" i="3" s="1"/>
  <c r="J460" i="3"/>
  <c r="J461" i="3"/>
  <c r="L461" i="3" s="1"/>
  <c r="K461" i="3" s="1"/>
  <c r="J462" i="3"/>
  <c r="L462" i="3" s="1"/>
  <c r="K462" i="3" s="1"/>
  <c r="J463" i="3"/>
  <c r="J464" i="3"/>
  <c r="J465" i="3"/>
  <c r="L465" i="3" s="1"/>
  <c r="K465" i="3" s="1"/>
  <c r="J466" i="3"/>
  <c r="J467" i="3"/>
  <c r="J468" i="3"/>
  <c r="J469" i="3"/>
  <c r="J470" i="3"/>
  <c r="J471" i="3"/>
  <c r="J472" i="3"/>
  <c r="J473" i="3"/>
  <c r="J474" i="3"/>
  <c r="L474" i="3" s="1"/>
  <c r="K474" i="3" s="1"/>
  <c r="J475" i="3"/>
  <c r="J476" i="3"/>
  <c r="J477" i="3"/>
  <c r="L477" i="3" s="1"/>
  <c r="K477" i="3" s="1"/>
  <c r="J478" i="3"/>
  <c r="J479" i="3"/>
  <c r="L479" i="3" s="1"/>
  <c r="K479" i="3" s="1"/>
  <c r="J480" i="3"/>
  <c r="J481" i="3"/>
  <c r="L481" i="3" s="1"/>
  <c r="K481" i="3" s="1"/>
  <c r="J482" i="3"/>
  <c r="L482" i="3" s="1"/>
  <c r="K482" i="3" s="1"/>
  <c r="J483" i="3"/>
  <c r="L483" i="3" s="1"/>
  <c r="K483" i="3" s="1"/>
  <c r="J484" i="3"/>
  <c r="J485" i="3"/>
  <c r="L485" i="3" s="1"/>
  <c r="K485" i="3" s="1"/>
  <c r="J486" i="3"/>
  <c r="L486" i="3" s="1"/>
  <c r="K486" i="3" s="1"/>
  <c r="J487" i="3"/>
  <c r="L487" i="3" s="1"/>
  <c r="K487" i="3" s="1"/>
  <c r="J488" i="3"/>
  <c r="J489" i="3"/>
  <c r="J490" i="3"/>
  <c r="J492" i="3"/>
  <c r="L492" i="3" s="1"/>
  <c r="K492" i="3" s="1"/>
  <c r="J493" i="3"/>
  <c r="L493" i="3" s="1"/>
  <c r="K493" i="3" s="1"/>
  <c r="J494" i="3"/>
  <c r="L494" i="3" s="1"/>
  <c r="K494" i="3" s="1"/>
  <c r="J495" i="3"/>
  <c r="L495" i="3" s="1"/>
  <c r="K495" i="3" s="1"/>
  <c r="O496" i="3"/>
  <c r="J497" i="3"/>
  <c r="J498" i="3"/>
  <c r="J499" i="3"/>
  <c r="L499" i="3" s="1"/>
  <c r="K499" i="3" s="1"/>
  <c r="J500" i="3"/>
  <c r="L500" i="3" s="1"/>
  <c r="K500" i="3" s="1"/>
  <c r="J501" i="3"/>
  <c r="J502" i="3"/>
  <c r="L502" i="3" s="1"/>
  <c r="K502" i="3" s="1"/>
  <c r="J503" i="3"/>
  <c r="L503" i="3" s="1"/>
  <c r="K503" i="3" s="1"/>
  <c r="J504" i="3"/>
  <c r="J505" i="3"/>
  <c r="L505" i="3" s="1"/>
  <c r="K505" i="3" s="1"/>
  <c r="J506" i="3"/>
  <c r="L506" i="3" s="1"/>
  <c r="K506" i="3" s="1"/>
  <c r="J507" i="3"/>
  <c r="L507" i="3" s="1"/>
  <c r="K507" i="3" s="1"/>
  <c r="J508" i="3"/>
  <c r="J509" i="3"/>
  <c r="L509" i="3" s="1"/>
  <c r="K509" i="3" s="1"/>
  <c r="J510" i="3"/>
  <c r="J511" i="3"/>
  <c r="J512" i="3"/>
  <c r="J513" i="3"/>
  <c r="L513" i="3" s="1"/>
  <c r="K513" i="3" s="1"/>
  <c r="J514" i="3"/>
  <c r="J515" i="3"/>
  <c r="J516" i="3"/>
  <c r="L516" i="3" s="1"/>
  <c r="K516" i="3" s="1"/>
  <c r="J517" i="3"/>
  <c r="L517" i="3" s="1"/>
  <c r="K517" i="3" s="1"/>
  <c r="J518" i="3"/>
  <c r="L518" i="3" s="1"/>
  <c r="K518" i="3" s="1"/>
  <c r="J519" i="3"/>
  <c r="L519" i="3" s="1"/>
  <c r="K519" i="3" s="1"/>
  <c r="J520" i="3"/>
  <c r="L520" i="3" s="1"/>
  <c r="K520" i="3" s="1"/>
  <c r="J521" i="3"/>
  <c r="J522" i="3"/>
  <c r="J523" i="3"/>
  <c r="L523" i="3" s="1"/>
  <c r="K523" i="3" s="1"/>
  <c r="J524" i="3"/>
  <c r="J525" i="3"/>
  <c r="L525" i="3" s="1"/>
  <c r="K525" i="3" s="1"/>
  <c r="J526" i="3"/>
  <c r="J527" i="3"/>
  <c r="L527" i="3" s="1"/>
  <c r="K527" i="3" s="1"/>
  <c r="J528" i="3"/>
  <c r="J529" i="3"/>
  <c r="J530" i="3"/>
  <c r="J531" i="3"/>
  <c r="L531" i="3" s="1"/>
  <c r="K531" i="3" s="1"/>
  <c r="J532" i="3"/>
  <c r="J533" i="3"/>
  <c r="J534" i="3"/>
  <c r="L534" i="3" s="1"/>
  <c r="K534" i="3" s="1"/>
  <c r="J535" i="3"/>
  <c r="J536" i="3"/>
  <c r="L536" i="3" s="1"/>
  <c r="K536" i="3" s="1"/>
  <c r="J537" i="3"/>
  <c r="J538" i="3"/>
  <c r="J539" i="3"/>
  <c r="L539" i="3" s="1"/>
  <c r="K539" i="3" s="1"/>
  <c r="J540" i="3"/>
  <c r="J541" i="3"/>
  <c r="J542" i="3"/>
  <c r="J543" i="3"/>
  <c r="J544" i="3"/>
  <c r="J545" i="3"/>
  <c r="J546" i="3"/>
  <c r="L546" i="3" s="1"/>
  <c r="K546" i="3" s="1"/>
  <c r="J547" i="3"/>
  <c r="J548" i="3"/>
  <c r="L548" i="3" s="1"/>
  <c r="K548" i="3" s="1"/>
  <c r="J549" i="3"/>
  <c r="L549" i="3" s="1"/>
  <c r="K549" i="3" s="1"/>
  <c r="J550" i="3"/>
  <c r="J551" i="3"/>
  <c r="L551" i="3" s="1"/>
  <c r="K551" i="3" s="1"/>
  <c r="J552" i="3"/>
  <c r="J553" i="3"/>
  <c r="J554" i="3"/>
  <c r="L554" i="3" s="1"/>
  <c r="K554" i="3" s="1"/>
  <c r="J555" i="3"/>
  <c r="L555" i="3" s="1"/>
  <c r="K555" i="3" s="1"/>
  <c r="J556" i="3"/>
  <c r="J557" i="3"/>
  <c r="J558" i="3"/>
  <c r="L558" i="3" s="1"/>
  <c r="K558" i="3" s="1"/>
  <c r="J559" i="3"/>
  <c r="J560" i="3"/>
  <c r="J561" i="3"/>
  <c r="J562" i="3"/>
  <c r="J563" i="3"/>
  <c r="L563" i="3" s="1"/>
  <c r="K563" i="3" s="1"/>
  <c r="J564" i="3"/>
  <c r="L564" i="3" s="1"/>
  <c r="K564" i="3" s="1"/>
  <c r="J565" i="3"/>
  <c r="J566" i="3"/>
  <c r="L566" i="3" s="1"/>
  <c r="K566" i="3" s="1"/>
  <c r="J567" i="3"/>
  <c r="J568" i="3"/>
  <c r="J569" i="3"/>
  <c r="J570" i="3"/>
  <c r="L570" i="3" s="1"/>
  <c r="K570" i="3" s="1"/>
  <c r="J571" i="3"/>
  <c r="J572" i="3"/>
  <c r="J573" i="3"/>
  <c r="L573" i="3" s="1"/>
  <c r="K573" i="3" s="1"/>
  <c r="J574" i="3"/>
  <c r="J575" i="3"/>
  <c r="J576" i="3"/>
  <c r="J577" i="3"/>
  <c r="J578" i="3"/>
  <c r="L578" i="3" s="1"/>
  <c r="K578" i="3" s="1"/>
  <c r="J579" i="3"/>
  <c r="L579" i="3" s="1"/>
  <c r="K579" i="3" s="1"/>
  <c r="J580" i="3"/>
  <c r="J581" i="3"/>
  <c r="L581" i="3" s="1"/>
  <c r="K581" i="3" s="1"/>
  <c r="J582" i="3"/>
  <c r="L582" i="3" s="1"/>
  <c r="K582" i="3" s="1"/>
  <c r="J583" i="3"/>
  <c r="J584" i="3"/>
  <c r="J585" i="3"/>
  <c r="L585" i="3" s="1"/>
  <c r="K585" i="3" s="1"/>
  <c r="J586" i="3"/>
  <c r="J587" i="3"/>
  <c r="J588" i="3"/>
  <c r="J589" i="3"/>
  <c r="J590" i="3"/>
  <c r="L590" i="3" s="1"/>
  <c r="K590" i="3" s="1"/>
  <c r="J591" i="3"/>
  <c r="J592" i="3"/>
  <c r="J593" i="3"/>
  <c r="L593" i="3" s="1"/>
  <c r="K593" i="3" s="1"/>
  <c r="J594" i="3"/>
  <c r="J595" i="3"/>
  <c r="J596" i="3"/>
  <c r="L596" i="3" s="1"/>
  <c r="K596" i="3" s="1"/>
  <c r="J597" i="3"/>
  <c r="L597" i="3" s="1"/>
  <c r="K597" i="3" s="1"/>
  <c r="J598" i="3"/>
  <c r="L598" i="3" s="1"/>
  <c r="K598" i="3" s="1"/>
  <c r="J599" i="3"/>
  <c r="J600" i="3"/>
  <c r="L600" i="3" s="1"/>
  <c r="K600" i="3" s="1"/>
  <c r="J601" i="3"/>
  <c r="J602" i="3"/>
  <c r="J603" i="3"/>
  <c r="L603" i="3" s="1"/>
  <c r="K603" i="3" s="1"/>
  <c r="J604" i="3"/>
  <c r="L604" i="3" s="1"/>
  <c r="K604" i="3" s="1"/>
  <c r="J605" i="3"/>
  <c r="J606" i="3"/>
  <c r="L606" i="3" s="1"/>
  <c r="K606" i="3" s="1"/>
  <c r="J607" i="3"/>
  <c r="L607" i="3" s="1"/>
  <c r="K607" i="3" s="1"/>
  <c r="J608" i="3"/>
  <c r="J609" i="3"/>
  <c r="J610" i="3"/>
  <c r="J611" i="3"/>
  <c r="L611" i="3" s="1"/>
  <c r="K611" i="3" s="1"/>
  <c r="J612" i="3"/>
  <c r="L612" i="3" s="1"/>
  <c r="K612" i="3" s="1"/>
  <c r="J613" i="3"/>
  <c r="L613" i="3" s="1"/>
  <c r="K613" i="3" s="1"/>
  <c r="J614" i="3"/>
  <c r="L614" i="3" s="1"/>
  <c r="K614" i="3" s="1"/>
  <c r="J615" i="3"/>
  <c r="L615" i="3" s="1"/>
  <c r="K615" i="3" s="1"/>
  <c r="J616" i="3"/>
  <c r="J617" i="3"/>
  <c r="J618" i="3"/>
  <c r="J619" i="3"/>
  <c r="L619" i="3" s="1"/>
  <c r="K619" i="3" s="1"/>
  <c r="J620" i="3"/>
  <c r="L620" i="3" s="1"/>
  <c r="K620" i="3" s="1"/>
  <c r="J621" i="3"/>
  <c r="J622" i="3"/>
  <c r="L622" i="3" s="1"/>
  <c r="K622" i="3" s="1"/>
  <c r="J623" i="3"/>
  <c r="L623" i="3" s="1"/>
  <c r="K623" i="3" s="1"/>
  <c r="J624" i="3"/>
  <c r="J625" i="3"/>
  <c r="L625" i="3" s="1"/>
  <c r="K625" i="3" s="1"/>
  <c r="J626" i="3"/>
  <c r="J627" i="3"/>
  <c r="J628" i="3"/>
  <c r="L628" i="3" s="1"/>
  <c r="K628" i="3" s="1"/>
  <c r="J629" i="3"/>
  <c r="J630" i="3"/>
  <c r="J631" i="3"/>
  <c r="L631" i="3" s="1"/>
  <c r="K631" i="3" s="1"/>
  <c r="J632" i="3"/>
  <c r="L632" i="3" s="1"/>
  <c r="K632" i="3" s="1"/>
  <c r="J633" i="3"/>
  <c r="J634" i="3"/>
  <c r="L634" i="3" s="1"/>
  <c r="K634" i="3" s="1"/>
  <c r="J635" i="3"/>
  <c r="L635" i="3" s="1"/>
  <c r="K635" i="3" s="1"/>
  <c r="J636" i="3"/>
  <c r="L636" i="3" s="1"/>
  <c r="K636" i="3" s="1"/>
  <c r="J637" i="3"/>
  <c r="J638" i="3"/>
  <c r="J639" i="3"/>
  <c r="J640" i="3"/>
  <c r="J641" i="3"/>
  <c r="J642" i="3"/>
  <c r="L642" i="3" s="1"/>
  <c r="K642" i="3" s="1"/>
  <c r="J643" i="3"/>
  <c r="J644" i="3"/>
  <c r="L644" i="3" s="1"/>
  <c r="K644" i="3" s="1"/>
  <c r="J645" i="3"/>
  <c r="L645" i="3" s="1"/>
  <c r="K645" i="3" s="1"/>
  <c r="J646" i="3"/>
  <c r="L646" i="3" s="1"/>
  <c r="K646" i="3" s="1"/>
  <c r="J647" i="3"/>
  <c r="J648" i="3"/>
  <c r="J649" i="3"/>
  <c r="J650" i="3"/>
  <c r="J651" i="3"/>
  <c r="L651" i="3" s="1"/>
  <c r="K651" i="3" s="1"/>
  <c r="J652" i="3"/>
  <c r="L652" i="3" s="1"/>
  <c r="K652" i="3" s="1"/>
  <c r="J653" i="3"/>
  <c r="J654" i="3"/>
  <c r="J655" i="3"/>
  <c r="L655" i="3" s="1"/>
  <c r="K655" i="3" s="1"/>
  <c r="J656" i="3"/>
  <c r="J657" i="3"/>
  <c r="J658" i="3"/>
  <c r="L658" i="3" s="1"/>
  <c r="K658" i="3" s="1"/>
  <c r="J659" i="3"/>
  <c r="J660" i="3"/>
  <c r="L660" i="3" s="1"/>
  <c r="K660" i="3" s="1"/>
  <c r="J661" i="3"/>
  <c r="L661" i="3" s="1"/>
  <c r="K661" i="3" s="1"/>
  <c r="J662" i="3"/>
  <c r="J663" i="3"/>
  <c r="J310" i="3"/>
  <c r="L310" i="3" s="1"/>
  <c r="K310" i="3" s="1"/>
  <c r="N658" i="3" l="1"/>
  <c r="O658" i="3"/>
  <c r="N634" i="3"/>
  <c r="O634" i="3"/>
  <c r="N652" i="3"/>
  <c r="O652" i="3"/>
  <c r="N660" i="3"/>
  <c r="O660" i="3"/>
  <c r="N636" i="3"/>
  <c r="O636" i="3"/>
  <c r="N646" i="3"/>
  <c r="O646" i="3"/>
  <c r="N645" i="3"/>
  <c r="O645" i="3"/>
  <c r="N651" i="3"/>
  <c r="O651" i="3"/>
  <c r="O661" i="3"/>
  <c r="N661" i="3"/>
  <c r="O635" i="3"/>
  <c r="N635" i="3"/>
  <c r="N644" i="3"/>
  <c r="O644" i="3"/>
  <c r="N632" i="3"/>
  <c r="O632" i="3"/>
  <c r="N655" i="3"/>
  <c r="O655" i="3"/>
  <c r="N642" i="3"/>
  <c r="O642" i="3"/>
  <c r="L662" i="3"/>
  <c r="K662" i="3" s="1"/>
  <c r="R350" i="3"/>
  <c r="L663" i="3"/>
  <c r="K663" i="3" s="1"/>
  <c r="L591" i="3"/>
  <c r="K591" i="3" s="1"/>
  <c r="O591" i="3" s="1"/>
  <c r="L650" i="3"/>
  <c r="K650" i="3" s="1"/>
  <c r="L626" i="3"/>
  <c r="K626" i="3" s="1"/>
  <c r="O626" i="3" s="1"/>
  <c r="L433" i="3"/>
  <c r="K433" i="3" s="1"/>
  <c r="O433" i="3" s="1"/>
  <c r="L370" i="3"/>
  <c r="K370" i="3" s="1"/>
  <c r="N370" i="3" s="1"/>
  <c r="L577" i="3"/>
  <c r="K577" i="3" s="1"/>
  <c r="N577" i="3" s="1"/>
  <c r="L541" i="3"/>
  <c r="K541" i="3" s="1"/>
  <c r="O541" i="3" s="1"/>
  <c r="L468" i="3"/>
  <c r="K468" i="3" s="1"/>
  <c r="O468" i="3" s="1"/>
  <c r="L624" i="3"/>
  <c r="K624" i="3" s="1"/>
  <c r="O624" i="3" s="1"/>
  <c r="L540" i="3"/>
  <c r="K540" i="3" s="1"/>
  <c r="N540" i="3" s="1"/>
  <c r="L467" i="3"/>
  <c r="K467" i="3" s="1"/>
  <c r="O467" i="3" s="1"/>
  <c r="L659" i="3"/>
  <c r="K659" i="3" s="1"/>
  <c r="L647" i="3"/>
  <c r="K647" i="3" s="1"/>
  <c r="L599" i="3"/>
  <c r="K599" i="3" s="1"/>
  <c r="N599" i="3" s="1"/>
  <c r="L587" i="3"/>
  <c r="K587" i="3" s="1"/>
  <c r="O587" i="3" s="1"/>
  <c r="L575" i="3"/>
  <c r="K575" i="3" s="1"/>
  <c r="N575" i="3" s="1"/>
  <c r="L490" i="3"/>
  <c r="K490" i="3" s="1"/>
  <c r="O490" i="3" s="1"/>
  <c r="L454" i="3"/>
  <c r="K454" i="3" s="1"/>
  <c r="N454" i="3" s="1"/>
  <c r="L342" i="3"/>
  <c r="K342" i="3" s="1"/>
  <c r="N342" i="3" s="1"/>
  <c r="L318" i="3"/>
  <c r="K318" i="3" s="1"/>
  <c r="N318" i="3" s="1"/>
  <c r="L610" i="3"/>
  <c r="K610" i="3" s="1"/>
  <c r="O610" i="3" s="1"/>
  <c r="L586" i="3"/>
  <c r="K586" i="3" s="1"/>
  <c r="N586" i="3" s="1"/>
  <c r="L562" i="3"/>
  <c r="K562" i="3" s="1"/>
  <c r="N562" i="3" s="1"/>
  <c r="L538" i="3"/>
  <c r="K538" i="3" s="1"/>
  <c r="N538" i="3" s="1"/>
  <c r="L514" i="3"/>
  <c r="K514" i="3" s="1"/>
  <c r="O514" i="3" s="1"/>
  <c r="L453" i="3"/>
  <c r="K453" i="3" s="1"/>
  <c r="O453" i="3" s="1"/>
  <c r="L633" i="3"/>
  <c r="K633" i="3" s="1"/>
  <c r="L561" i="3"/>
  <c r="K561" i="3" s="1"/>
  <c r="O561" i="3" s="1"/>
  <c r="L608" i="3"/>
  <c r="K608" i="3" s="1"/>
  <c r="N608" i="3" s="1"/>
  <c r="L524" i="3"/>
  <c r="K524" i="3" s="1"/>
  <c r="N524" i="3" s="1"/>
  <c r="L512" i="3"/>
  <c r="K512" i="3" s="1"/>
  <c r="N512" i="3" s="1"/>
  <c r="L427" i="3"/>
  <c r="K427" i="3" s="1"/>
  <c r="N427" i="3" s="1"/>
  <c r="L450" i="3"/>
  <c r="K450" i="3" s="1"/>
  <c r="O450" i="3" s="1"/>
  <c r="L426" i="3"/>
  <c r="K426" i="3" s="1"/>
  <c r="O426" i="3" s="1"/>
  <c r="L361" i="3"/>
  <c r="K361" i="3" s="1"/>
  <c r="N361" i="3" s="1"/>
  <c r="L594" i="3"/>
  <c r="K594" i="3" s="1"/>
  <c r="O594" i="3" s="1"/>
  <c r="L387" i="3"/>
  <c r="K387" i="3" s="1"/>
  <c r="O387" i="3" s="1"/>
  <c r="L470" i="3"/>
  <c r="K470" i="3" s="1"/>
  <c r="O470" i="3" s="1"/>
  <c r="L446" i="3"/>
  <c r="K446" i="3" s="1"/>
  <c r="N446" i="3" s="1"/>
  <c r="L638" i="3"/>
  <c r="K638" i="3" s="1"/>
  <c r="L530" i="3"/>
  <c r="K530" i="3" s="1"/>
  <c r="O530" i="3" s="1"/>
  <c r="L469" i="3"/>
  <c r="K469" i="3" s="1"/>
  <c r="O469" i="3" s="1"/>
  <c r="L589" i="3"/>
  <c r="K589" i="3" s="1"/>
  <c r="O589" i="3" s="1"/>
  <c r="L553" i="3"/>
  <c r="K553" i="3" s="1"/>
  <c r="O553" i="3" s="1"/>
  <c r="L480" i="3"/>
  <c r="K480" i="3" s="1"/>
  <c r="O480" i="3" s="1"/>
  <c r="L456" i="3"/>
  <c r="K456" i="3" s="1"/>
  <c r="N456" i="3" s="1"/>
  <c r="L504" i="3"/>
  <c r="K504" i="3" s="1"/>
  <c r="N504" i="3" s="1"/>
  <c r="L443" i="3"/>
  <c r="K443" i="3" s="1"/>
  <c r="N443" i="3" s="1"/>
  <c r="L354" i="3"/>
  <c r="K354" i="3" s="1"/>
  <c r="O354" i="3" s="1"/>
  <c r="L319" i="3"/>
  <c r="K319" i="3" s="1"/>
  <c r="N319" i="3" s="1"/>
  <c r="L466" i="3"/>
  <c r="K466" i="3" s="1"/>
  <c r="N466" i="3" s="1"/>
  <c r="L574" i="3"/>
  <c r="K574" i="3" s="1"/>
  <c r="O574" i="3" s="1"/>
  <c r="L550" i="3"/>
  <c r="K550" i="3" s="1"/>
  <c r="O550" i="3" s="1"/>
  <c r="L526" i="3"/>
  <c r="K526" i="3" s="1"/>
  <c r="O526" i="3" s="1"/>
  <c r="L378" i="3"/>
  <c r="K378" i="3" s="1"/>
  <c r="O378" i="3" s="1"/>
  <c r="L657" i="3"/>
  <c r="K657" i="3" s="1"/>
  <c r="L621" i="3"/>
  <c r="K621" i="3" s="1"/>
  <c r="N621" i="3" s="1"/>
  <c r="L609" i="3"/>
  <c r="K609" i="3" s="1"/>
  <c r="O609" i="3" s="1"/>
  <c r="L501" i="3"/>
  <c r="K501" i="3" s="1"/>
  <c r="O501" i="3" s="1"/>
  <c r="L488" i="3"/>
  <c r="K488" i="3" s="1"/>
  <c r="N488" i="3" s="1"/>
  <c r="L476" i="3"/>
  <c r="K476" i="3" s="1"/>
  <c r="N476" i="3" s="1"/>
  <c r="L464" i="3"/>
  <c r="K464" i="3" s="1"/>
  <c r="O464" i="3" s="1"/>
  <c r="L656" i="3"/>
  <c r="K656" i="3" s="1"/>
  <c r="L584" i="3"/>
  <c r="K584" i="3" s="1"/>
  <c r="O584" i="3" s="1"/>
  <c r="L475" i="3"/>
  <c r="K475" i="3" s="1"/>
  <c r="O475" i="3" s="1"/>
  <c r="L463" i="3"/>
  <c r="K463" i="3" s="1"/>
  <c r="N463" i="3" s="1"/>
  <c r="L583" i="3"/>
  <c r="K583" i="3" s="1"/>
  <c r="O583" i="3" s="1"/>
  <c r="L559" i="3"/>
  <c r="K559" i="3" s="1"/>
  <c r="N559" i="3" s="1"/>
  <c r="L547" i="3"/>
  <c r="K547" i="3" s="1"/>
  <c r="O547" i="3" s="1"/>
  <c r="L535" i="3"/>
  <c r="K535" i="3" s="1"/>
  <c r="O535" i="3" s="1"/>
  <c r="L414" i="3"/>
  <c r="K414" i="3" s="1"/>
  <c r="O414" i="3" s="1"/>
  <c r="L654" i="3"/>
  <c r="K654" i="3" s="1"/>
  <c r="L630" i="3"/>
  <c r="K630" i="3" s="1"/>
  <c r="O630" i="3" s="1"/>
  <c r="L618" i="3"/>
  <c r="K618" i="3" s="1"/>
  <c r="N618" i="3" s="1"/>
  <c r="L510" i="3"/>
  <c r="K510" i="3" s="1"/>
  <c r="O510" i="3" s="1"/>
  <c r="L473" i="3"/>
  <c r="K473" i="3" s="1"/>
  <c r="O473" i="3" s="1"/>
  <c r="L653" i="3"/>
  <c r="K653" i="3" s="1"/>
  <c r="L641" i="3"/>
  <c r="K641" i="3" s="1"/>
  <c r="L629" i="3"/>
  <c r="K629" i="3" s="1"/>
  <c r="O629" i="3" s="1"/>
  <c r="L617" i="3"/>
  <c r="K617" i="3" s="1"/>
  <c r="O617" i="3" s="1"/>
  <c r="L605" i="3"/>
  <c r="K605" i="3" s="1"/>
  <c r="N605" i="3" s="1"/>
  <c r="L569" i="3"/>
  <c r="K569" i="3" s="1"/>
  <c r="O569" i="3" s="1"/>
  <c r="L557" i="3"/>
  <c r="K557" i="3" s="1"/>
  <c r="O557" i="3" s="1"/>
  <c r="L545" i="3"/>
  <c r="K545" i="3" s="1"/>
  <c r="N545" i="3" s="1"/>
  <c r="L533" i="3"/>
  <c r="K533" i="3" s="1"/>
  <c r="O533" i="3" s="1"/>
  <c r="L521" i="3"/>
  <c r="K521" i="3" s="1"/>
  <c r="O521" i="3" s="1"/>
  <c r="L497" i="3"/>
  <c r="K497" i="3" s="1"/>
  <c r="O497" i="3" s="1"/>
  <c r="L484" i="3"/>
  <c r="K484" i="3" s="1"/>
  <c r="O484" i="3" s="1"/>
  <c r="L472" i="3"/>
  <c r="K472" i="3" s="1"/>
  <c r="N472" i="3" s="1"/>
  <c r="L460" i="3"/>
  <c r="K460" i="3" s="1"/>
  <c r="O460" i="3" s="1"/>
  <c r="L448" i="3"/>
  <c r="K448" i="3" s="1"/>
  <c r="N448" i="3" s="1"/>
  <c r="L386" i="3"/>
  <c r="K386" i="3" s="1"/>
  <c r="N386" i="3" s="1"/>
  <c r="L336" i="3"/>
  <c r="K336" i="3" s="1"/>
  <c r="N336" i="3" s="1"/>
  <c r="L312" i="3"/>
  <c r="K312" i="3" s="1"/>
  <c r="N312" i="3" s="1"/>
  <c r="L639" i="3"/>
  <c r="K639" i="3" s="1"/>
  <c r="L627" i="3"/>
  <c r="K627" i="3" s="1"/>
  <c r="O627" i="3" s="1"/>
  <c r="L567" i="3"/>
  <c r="K567" i="3" s="1"/>
  <c r="N567" i="3" s="1"/>
  <c r="L543" i="3"/>
  <c r="K543" i="3" s="1"/>
  <c r="O543" i="3" s="1"/>
  <c r="L602" i="3"/>
  <c r="K602" i="3" s="1"/>
  <c r="N602" i="3" s="1"/>
  <c r="L542" i="3"/>
  <c r="K542" i="3" s="1"/>
  <c r="O542" i="3" s="1"/>
  <c r="L649" i="3"/>
  <c r="K649" i="3" s="1"/>
  <c r="L637" i="3"/>
  <c r="K637" i="3" s="1"/>
  <c r="L601" i="3"/>
  <c r="K601" i="3" s="1"/>
  <c r="O601" i="3" s="1"/>
  <c r="L565" i="3"/>
  <c r="K565" i="3" s="1"/>
  <c r="O565" i="3" s="1"/>
  <c r="L529" i="3"/>
  <c r="K529" i="3" s="1"/>
  <c r="N529" i="3" s="1"/>
  <c r="L394" i="3"/>
  <c r="K394" i="3" s="1"/>
  <c r="N394" i="3" s="1"/>
  <c r="L369" i="3"/>
  <c r="K369" i="3" s="1"/>
  <c r="N369" i="3" s="1"/>
  <c r="L648" i="3"/>
  <c r="K648" i="3" s="1"/>
  <c r="L588" i="3"/>
  <c r="K588" i="3" s="1"/>
  <c r="O588" i="3" s="1"/>
  <c r="L576" i="3"/>
  <c r="K576" i="3" s="1"/>
  <c r="L552" i="3"/>
  <c r="K552" i="3" s="1"/>
  <c r="N552" i="3" s="1"/>
  <c r="L528" i="3"/>
  <c r="K528" i="3" s="1"/>
  <c r="N528" i="3" s="1"/>
  <c r="L515" i="3"/>
  <c r="K515" i="3" s="1"/>
  <c r="N515" i="3" s="1"/>
  <c r="L478" i="3"/>
  <c r="K478" i="3" s="1"/>
  <c r="O478" i="3" s="1"/>
  <c r="L392" i="3"/>
  <c r="K392" i="3" s="1"/>
  <c r="O392" i="3" s="1"/>
  <c r="L367" i="3"/>
  <c r="K367" i="3" s="1"/>
  <c r="O367" i="3" s="1"/>
  <c r="L489" i="3"/>
  <c r="K489" i="3" s="1"/>
  <c r="O489" i="3" s="1"/>
  <c r="L537" i="3"/>
  <c r="K537" i="3" s="1"/>
  <c r="O537" i="3" s="1"/>
  <c r="L390" i="3"/>
  <c r="K390" i="3" s="1"/>
  <c r="N390" i="3" s="1"/>
  <c r="L572" i="3"/>
  <c r="K572" i="3" s="1"/>
  <c r="N572" i="3" s="1"/>
  <c r="L560" i="3"/>
  <c r="K560" i="3" s="1"/>
  <c r="N560" i="3" s="1"/>
  <c r="L643" i="3"/>
  <c r="K643" i="3" s="1"/>
  <c r="L595" i="3"/>
  <c r="K595" i="3" s="1"/>
  <c r="N595" i="3" s="1"/>
  <c r="L571" i="3"/>
  <c r="K571" i="3" s="1"/>
  <c r="N571" i="3" s="1"/>
  <c r="L511" i="3"/>
  <c r="K511" i="3" s="1"/>
  <c r="N511" i="3" s="1"/>
  <c r="L338" i="3"/>
  <c r="K338" i="3" s="1"/>
  <c r="O338" i="3" s="1"/>
  <c r="L522" i="3"/>
  <c r="K522" i="3" s="1"/>
  <c r="N522" i="3" s="1"/>
  <c r="L498" i="3"/>
  <c r="K498" i="3" s="1"/>
  <c r="O498" i="3" s="1"/>
  <c r="L449" i="3"/>
  <c r="K449" i="3" s="1"/>
  <c r="N449" i="3" s="1"/>
  <c r="L640" i="3"/>
  <c r="K640" i="3" s="1"/>
  <c r="L616" i="3"/>
  <c r="K616" i="3" s="1"/>
  <c r="O616" i="3" s="1"/>
  <c r="L592" i="3"/>
  <c r="K592" i="3" s="1"/>
  <c r="N592" i="3" s="1"/>
  <c r="L580" i="3"/>
  <c r="K580" i="3" s="1"/>
  <c r="N580" i="3" s="1"/>
  <c r="L568" i="3"/>
  <c r="K568" i="3" s="1"/>
  <c r="O568" i="3" s="1"/>
  <c r="L556" i="3"/>
  <c r="K556" i="3" s="1"/>
  <c r="O556" i="3" s="1"/>
  <c r="L544" i="3"/>
  <c r="K544" i="3" s="1"/>
  <c r="N544" i="3" s="1"/>
  <c r="L532" i="3"/>
  <c r="K532" i="3" s="1"/>
  <c r="O532" i="3" s="1"/>
  <c r="L508" i="3"/>
  <c r="K508" i="3" s="1"/>
  <c r="N508" i="3" s="1"/>
  <c r="L471" i="3"/>
  <c r="K471" i="3" s="1"/>
  <c r="N471" i="3" s="1"/>
  <c r="L385" i="3"/>
  <c r="K385" i="3" s="1"/>
  <c r="O385" i="3" s="1"/>
  <c r="L358" i="3"/>
  <c r="K358" i="3" s="1"/>
  <c r="N358" i="3" s="1"/>
  <c r="R346" i="3"/>
  <c r="O493" i="3"/>
  <c r="R314" i="3"/>
  <c r="O411" i="3"/>
  <c r="R411" i="3"/>
  <c r="N383" i="3"/>
  <c r="R383" i="3"/>
  <c r="O372" i="3"/>
  <c r="R372" i="3"/>
  <c r="N331" i="3"/>
  <c r="R331" i="3"/>
  <c r="N428" i="3"/>
  <c r="R428" i="3"/>
  <c r="N419" i="3"/>
  <c r="R419" i="3"/>
  <c r="N418" i="3"/>
  <c r="R418" i="3"/>
  <c r="N381" i="3"/>
  <c r="R381" i="3"/>
  <c r="O353" i="3"/>
  <c r="R353" i="3"/>
  <c r="N436" i="3"/>
  <c r="R436" i="3"/>
  <c r="O407" i="3"/>
  <c r="R407" i="3"/>
  <c r="O398" i="3"/>
  <c r="R398" i="3"/>
  <c r="N388" i="3"/>
  <c r="R388" i="3"/>
  <c r="R352" i="3"/>
  <c r="N352" i="3"/>
  <c r="R412" i="3"/>
  <c r="N412" i="3"/>
  <c r="O425" i="3"/>
  <c r="R425" i="3"/>
  <c r="N326" i="3"/>
  <c r="R326" i="3"/>
  <c r="N430" i="3"/>
  <c r="R430" i="3"/>
  <c r="O396" i="3"/>
  <c r="R396" i="3"/>
  <c r="N360" i="3"/>
  <c r="R360" i="3"/>
  <c r="N376" i="3"/>
  <c r="R376" i="3"/>
  <c r="N324" i="3"/>
  <c r="R324" i="3"/>
  <c r="O442" i="3"/>
  <c r="R442" i="3"/>
  <c r="N432" i="3"/>
  <c r="R432" i="3"/>
  <c r="O375" i="3"/>
  <c r="R375" i="3"/>
  <c r="N332" i="3"/>
  <c r="R332" i="3"/>
  <c r="N343" i="3"/>
  <c r="R343" i="3"/>
  <c r="O335" i="3"/>
  <c r="R335" i="3"/>
  <c r="N311" i="3"/>
  <c r="N310" i="3"/>
  <c r="R310" i="3"/>
  <c r="O395" i="3"/>
  <c r="R395" i="3"/>
  <c r="N371" i="3"/>
  <c r="R371" i="3"/>
  <c r="N364" i="3"/>
  <c r="R364" i="3"/>
  <c r="O356" i="3"/>
  <c r="R356" i="3"/>
  <c r="N350" i="3"/>
  <c r="N327" i="3"/>
  <c r="R327" i="3"/>
  <c r="R439" i="3"/>
  <c r="O379" i="3"/>
  <c r="R379" i="3"/>
  <c r="O334" i="3"/>
  <c r="R334" i="3"/>
  <c r="R434" i="3"/>
  <c r="O441" i="3"/>
  <c r="R441" i="3"/>
  <c r="O431" i="3"/>
  <c r="R431" i="3"/>
  <c r="N424" i="3"/>
  <c r="R424" i="3"/>
  <c r="O417" i="3"/>
  <c r="R417" i="3"/>
  <c r="N410" i="3"/>
  <c r="R410" i="3"/>
  <c r="O401" i="3"/>
  <c r="R401" i="3"/>
  <c r="O363" i="3"/>
  <c r="R363" i="3"/>
  <c r="N355" i="3"/>
  <c r="R355" i="3"/>
  <c r="N317" i="3"/>
  <c r="R382" i="3"/>
  <c r="R330" i="3"/>
  <c r="O440" i="3"/>
  <c r="R440" i="3"/>
  <c r="O400" i="3"/>
  <c r="R400" i="3"/>
  <c r="N393" i="3"/>
  <c r="R393" i="3"/>
  <c r="N362" i="3"/>
  <c r="R362" i="3"/>
  <c r="N348" i="3"/>
  <c r="N340" i="3"/>
  <c r="R340" i="3"/>
  <c r="N325" i="3"/>
  <c r="R325" i="3"/>
  <c r="O365" i="3"/>
  <c r="R365" i="3"/>
  <c r="O423" i="3"/>
  <c r="R423" i="3"/>
  <c r="N416" i="3"/>
  <c r="R416" i="3"/>
  <c r="N408" i="3"/>
  <c r="R408" i="3"/>
  <c r="N316" i="3"/>
  <c r="R316" i="3"/>
  <c r="R421" i="3"/>
  <c r="R373" i="3"/>
  <c r="N438" i="3"/>
  <c r="R438" i="3"/>
  <c r="N422" i="3"/>
  <c r="R422" i="3"/>
  <c r="O415" i="3"/>
  <c r="R415" i="3"/>
  <c r="O399" i="3"/>
  <c r="R399" i="3"/>
  <c r="N384" i="3"/>
  <c r="R384" i="3"/>
  <c r="N368" i="3"/>
  <c r="R368" i="3"/>
  <c r="R347" i="3"/>
  <c r="O339" i="3"/>
  <c r="R339" i="3"/>
  <c r="O315" i="3"/>
  <c r="R315" i="3"/>
  <c r="N391" i="3"/>
  <c r="R391" i="3"/>
  <c r="N323" i="3"/>
  <c r="R323" i="3"/>
  <c r="R366" i="3"/>
  <c r="O403" i="3"/>
  <c r="R403" i="3"/>
  <c r="N322" i="3"/>
  <c r="R322" i="3"/>
  <c r="R409" i="3"/>
  <c r="N413" i="3"/>
  <c r="R413" i="3"/>
  <c r="N389" i="3"/>
  <c r="R389" i="3"/>
  <c r="N374" i="3"/>
  <c r="R374" i="3"/>
  <c r="N359" i="3"/>
  <c r="R359" i="3"/>
  <c r="N345" i="3"/>
  <c r="R345" i="3"/>
  <c r="N313" i="3"/>
  <c r="R313" i="3"/>
  <c r="R406" i="3"/>
  <c r="O357" i="3"/>
  <c r="R357" i="3"/>
  <c r="O435" i="3"/>
  <c r="R435" i="3"/>
  <c r="N420" i="3"/>
  <c r="R420" i="3"/>
  <c r="O405" i="3"/>
  <c r="R405" i="3"/>
  <c r="O351" i="3"/>
  <c r="R351" i="3"/>
  <c r="N329" i="3"/>
  <c r="R329" i="3"/>
  <c r="R402" i="3"/>
  <c r="N404" i="3"/>
  <c r="R404" i="3"/>
  <c r="N328" i="3"/>
  <c r="R328" i="3"/>
  <c r="N320" i="3"/>
  <c r="R397" i="3"/>
  <c r="R349" i="3"/>
  <c r="R429" i="3"/>
  <c r="R380" i="3"/>
  <c r="R344" i="3"/>
  <c r="R377" i="3"/>
  <c r="R437" i="3"/>
  <c r="R337" i="3"/>
  <c r="N373" i="3"/>
  <c r="O373" i="3"/>
  <c r="O457" i="3"/>
  <c r="N496" i="3"/>
  <c r="O585" i="3"/>
  <c r="N585" i="3"/>
  <c r="N502" i="3"/>
  <c r="O502" i="3"/>
  <c r="N596" i="3"/>
  <c r="O596" i="3"/>
  <c r="O590" i="3"/>
  <c r="N590" i="3"/>
  <c r="N520" i="3"/>
  <c r="O520" i="3"/>
  <c r="N349" i="3"/>
  <c r="O349" i="3"/>
  <c r="N447" i="3"/>
  <c r="O447" i="3"/>
  <c r="N622" i="3"/>
  <c r="O622" i="3"/>
  <c r="O631" i="3"/>
  <c r="N631" i="3"/>
  <c r="N582" i="3"/>
  <c r="O582" i="3"/>
  <c r="O573" i="3"/>
  <c r="N573" i="3"/>
  <c r="N459" i="3"/>
  <c r="O459" i="3"/>
  <c r="N551" i="3"/>
  <c r="O551" i="3"/>
  <c r="N531" i="3"/>
  <c r="O531" i="3"/>
  <c r="N527" i="3"/>
  <c r="O527" i="3"/>
  <c r="O600" i="3"/>
  <c r="N600" i="3"/>
  <c r="O581" i="3"/>
  <c r="N581" i="3"/>
  <c r="N539" i="3"/>
  <c r="O539" i="3"/>
  <c r="N607" i="3"/>
  <c r="O607" i="3"/>
  <c r="N525" i="3"/>
  <c r="O525" i="3"/>
  <c r="O505" i="3"/>
  <c r="N505" i="3"/>
  <c r="N366" i="3"/>
  <c r="O366" i="3"/>
  <c r="N483" i="3"/>
  <c r="O483" i="3"/>
  <c r="O437" i="3"/>
  <c r="N437" i="3"/>
  <c r="O548" i="3"/>
  <c r="N548" i="3"/>
  <c r="N409" i="3"/>
  <c r="O409" i="3"/>
  <c r="N619" i="3"/>
  <c r="O619" i="3"/>
  <c r="N614" i="3"/>
  <c r="O614" i="3"/>
  <c r="N558" i="3"/>
  <c r="O558" i="3"/>
  <c r="N513" i="3"/>
  <c r="O513" i="3"/>
  <c r="N492" i="3"/>
  <c r="O492" i="3"/>
  <c r="N429" i="3"/>
  <c r="O429" i="3"/>
  <c r="O346" i="3"/>
  <c r="N346" i="3"/>
  <c r="N606" i="3"/>
  <c r="O606" i="3"/>
  <c r="O564" i="3"/>
  <c r="N564" i="3"/>
  <c r="N598" i="3"/>
  <c r="O598" i="3"/>
  <c r="O406" i="3"/>
  <c r="N406" i="3"/>
  <c r="O536" i="3"/>
  <c r="N536" i="3"/>
  <c r="N519" i="3"/>
  <c r="O519" i="3"/>
  <c r="N451" i="3"/>
  <c r="O451" i="3"/>
  <c r="N337" i="3"/>
  <c r="O337" i="3"/>
  <c r="N455" i="3"/>
  <c r="O455" i="3"/>
  <c r="N321" i="3"/>
  <c r="O321" i="3"/>
  <c r="N534" i="3"/>
  <c r="O534" i="3"/>
  <c r="N516" i="3"/>
  <c r="O516" i="3"/>
  <c r="N628" i="3"/>
  <c r="O628" i="3"/>
  <c r="N613" i="3"/>
  <c r="O613" i="3"/>
  <c r="N578" i="3"/>
  <c r="O578" i="3"/>
  <c r="N507" i="3"/>
  <c r="O507" i="3"/>
  <c r="O612" i="3"/>
  <c r="N612" i="3"/>
  <c r="O494" i="3"/>
  <c r="N494" i="3"/>
  <c r="N479" i="3"/>
  <c r="O479" i="3"/>
  <c r="O444" i="3"/>
  <c r="N444" i="3"/>
  <c r="O554" i="3"/>
  <c r="N554" i="3"/>
  <c r="N452" i="3"/>
  <c r="O452" i="3"/>
  <c r="N509" i="3"/>
  <c r="O509" i="3"/>
  <c r="O603" i="3"/>
  <c r="N603" i="3"/>
  <c r="N566" i="3"/>
  <c r="O566" i="3"/>
  <c r="N517" i="3"/>
  <c r="O517" i="3"/>
  <c r="N481" i="3"/>
  <c r="O481" i="3"/>
  <c r="N434" i="3"/>
  <c r="O434" i="3"/>
  <c r="N570" i="3"/>
  <c r="O570" i="3"/>
  <c r="N439" i="3"/>
  <c r="O439" i="3"/>
  <c r="N421" i="3"/>
  <c r="O421" i="3"/>
  <c r="N314" i="3"/>
  <c r="O314" i="3"/>
  <c r="N499" i="3"/>
  <c r="O499" i="3"/>
  <c r="O474" i="3"/>
  <c r="N474" i="3"/>
  <c r="N625" i="3"/>
  <c r="O625" i="3"/>
  <c r="N549" i="3"/>
  <c r="O549" i="3"/>
  <c r="N597" i="3"/>
  <c r="O597" i="3"/>
  <c r="O482" i="3"/>
  <c r="N482" i="3"/>
  <c r="N487" i="3"/>
  <c r="O487" i="3"/>
  <c r="O506" i="3"/>
  <c r="N506" i="3"/>
  <c r="N495" i="3"/>
  <c r="O495" i="3"/>
  <c r="N611" i="3"/>
  <c r="O611" i="3"/>
  <c r="O579" i="3"/>
  <c r="N579" i="3"/>
  <c r="N382" i="3"/>
  <c r="O382" i="3"/>
  <c r="N330" i="3"/>
  <c r="O330" i="3"/>
  <c r="N523" i="3"/>
  <c r="O523" i="3"/>
  <c r="N546" i="3"/>
  <c r="O546" i="3"/>
  <c r="O563" i="3"/>
  <c r="N563" i="3"/>
  <c r="N491" i="3"/>
  <c r="O491" i="3"/>
  <c r="N462" i="3"/>
  <c r="O462" i="3"/>
  <c r="O518" i="3"/>
  <c r="N518" i="3"/>
  <c r="O593" i="3"/>
  <c r="N593" i="3"/>
  <c r="N477" i="3"/>
  <c r="O477" i="3"/>
  <c r="N620" i="3"/>
  <c r="O620" i="3"/>
  <c r="O485" i="3"/>
  <c r="N485" i="3"/>
  <c r="O458" i="3"/>
  <c r="N458" i="3"/>
  <c r="N377" i="3"/>
  <c r="O377" i="3"/>
  <c r="O623" i="3"/>
  <c r="N623" i="3"/>
  <c r="O615" i="3"/>
  <c r="N615" i="3"/>
  <c r="N604" i="3"/>
  <c r="O604" i="3"/>
  <c r="N461" i="3"/>
  <c r="O461" i="3"/>
  <c r="N344" i="3"/>
  <c r="O344" i="3"/>
  <c r="N333" i="3"/>
  <c r="O333" i="3"/>
  <c r="N402" i="3"/>
  <c r="O402" i="3"/>
  <c r="O465" i="3"/>
  <c r="N465" i="3"/>
  <c r="N397" i="3"/>
  <c r="O397" i="3"/>
  <c r="N380" i="3"/>
  <c r="O380" i="3"/>
  <c r="N555" i="3"/>
  <c r="O555" i="3"/>
  <c r="N486" i="3"/>
  <c r="O486" i="3"/>
  <c r="N503" i="3"/>
  <c r="O503" i="3"/>
  <c r="N445" i="3"/>
  <c r="O445" i="3"/>
  <c r="J3" i="3"/>
  <c r="L3" i="3" s="1"/>
  <c r="K3" i="3" s="1"/>
  <c r="J4" i="3"/>
  <c r="L4" i="3" s="1"/>
  <c r="K4" i="3" s="1"/>
  <c r="J5" i="3"/>
  <c r="L5" i="3" s="1"/>
  <c r="K5" i="3" s="1"/>
  <c r="J6" i="3"/>
  <c r="L6" i="3" s="1"/>
  <c r="K6" i="3" s="1"/>
  <c r="J7" i="3"/>
  <c r="L7" i="3" s="1"/>
  <c r="K7" i="3" s="1"/>
  <c r="J8" i="3"/>
  <c r="J9" i="3"/>
  <c r="L9" i="3" s="1"/>
  <c r="K9" i="3" s="1"/>
  <c r="J10" i="3"/>
  <c r="J11" i="3"/>
  <c r="L11" i="3" s="1"/>
  <c r="K11" i="3" s="1"/>
  <c r="J12" i="3"/>
  <c r="J13" i="3"/>
  <c r="L13" i="3" s="1"/>
  <c r="K13" i="3" s="1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L40" i="3" s="1"/>
  <c r="K40" i="3" s="1"/>
  <c r="J41" i="3"/>
  <c r="J42" i="3"/>
  <c r="J43" i="3"/>
  <c r="J44" i="3"/>
  <c r="J45" i="3"/>
  <c r="J46" i="3"/>
  <c r="J47" i="3"/>
  <c r="J48" i="3"/>
  <c r="L48" i="3" s="1"/>
  <c r="K48" i="3" s="1"/>
  <c r="J49" i="3"/>
  <c r="J50" i="3"/>
  <c r="L50" i="3" s="1"/>
  <c r="K50" i="3" s="1"/>
  <c r="J51" i="3"/>
  <c r="J52" i="3"/>
  <c r="L52" i="3" s="1"/>
  <c r="K52" i="3" s="1"/>
  <c r="J53" i="3"/>
  <c r="L53" i="3" s="1"/>
  <c r="K53" i="3" s="1"/>
  <c r="J54" i="3"/>
  <c r="L54" i="3" s="1"/>
  <c r="K54" i="3" s="1"/>
  <c r="J55" i="3"/>
  <c r="L55" i="3" s="1"/>
  <c r="K55" i="3" s="1"/>
  <c r="J56" i="3"/>
  <c r="L56" i="3" s="1"/>
  <c r="K56" i="3" s="1"/>
  <c r="J57" i="3"/>
  <c r="J58" i="3"/>
  <c r="L58" i="3" s="1"/>
  <c r="K58" i="3" s="1"/>
  <c r="J59" i="3"/>
  <c r="J60" i="3"/>
  <c r="J61" i="3"/>
  <c r="J62" i="3"/>
  <c r="J63" i="3"/>
  <c r="J64" i="3"/>
  <c r="J65" i="3"/>
  <c r="J66" i="3"/>
  <c r="J67" i="3"/>
  <c r="J68" i="3"/>
  <c r="J69" i="3"/>
  <c r="J70" i="3"/>
  <c r="L70" i="3" s="1"/>
  <c r="K70" i="3" s="1"/>
  <c r="J71" i="3"/>
  <c r="J72" i="3"/>
  <c r="J73" i="3"/>
  <c r="J74" i="3"/>
  <c r="J75" i="3"/>
  <c r="L75" i="3" s="1"/>
  <c r="K75" i="3" s="1"/>
  <c r="J76" i="3"/>
  <c r="J77" i="3"/>
  <c r="J78" i="3"/>
  <c r="J79" i="3"/>
  <c r="J80" i="3"/>
  <c r="L80" i="3" s="1"/>
  <c r="K80" i="3" s="1"/>
  <c r="J81" i="3"/>
  <c r="J82" i="3"/>
  <c r="J83" i="3"/>
  <c r="J84" i="3"/>
  <c r="L84" i="3" s="1"/>
  <c r="K84" i="3" s="1"/>
  <c r="J85" i="3"/>
  <c r="J86" i="3"/>
  <c r="J87" i="3"/>
  <c r="J88" i="3"/>
  <c r="J89" i="3"/>
  <c r="J90" i="3"/>
  <c r="L90" i="3" s="1"/>
  <c r="K90" i="3" s="1"/>
  <c r="J91" i="3"/>
  <c r="L91" i="3" s="1"/>
  <c r="K91" i="3" s="1"/>
  <c r="J92" i="3"/>
  <c r="J93" i="3"/>
  <c r="L93" i="3" s="1"/>
  <c r="K93" i="3" s="1"/>
  <c r="J94" i="3"/>
  <c r="J95" i="3"/>
  <c r="L95" i="3" s="1"/>
  <c r="K95" i="3" s="1"/>
  <c r="J96" i="3"/>
  <c r="L96" i="3" s="1"/>
  <c r="K96" i="3" s="1"/>
  <c r="J97" i="3"/>
  <c r="J98" i="3"/>
  <c r="L98" i="3" s="1"/>
  <c r="K98" i="3" s="1"/>
  <c r="J99" i="3"/>
  <c r="J100" i="3"/>
  <c r="J101" i="3"/>
  <c r="L101" i="3" s="1"/>
  <c r="K101" i="3" s="1"/>
  <c r="J102" i="3"/>
  <c r="L102" i="3" s="1"/>
  <c r="K102" i="3" s="1"/>
  <c r="J103" i="3"/>
  <c r="L103" i="3" s="1"/>
  <c r="K103" i="3" s="1"/>
  <c r="J104" i="3"/>
  <c r="L104" i="3" s="1"/>
  <c r="K104" i="3" s="1"/>
  <c r="J105" i="3"/>
  <c r="L105" i="3" s="1"/>
  <c r="K105" i="3" s="1"/>
  <c r="J106" i="3"/>
  <c r="L106" i="3" s="1"/>
  <c r="K106" i="3" s="1"/>
  <c r="J107" i="3"/>
  <c r="J108" i="3"/>
  <c r="J109" i="3"/>
  <c r="L109" i="3" s="1"/>
  <c r="K109" i="3" s="1"/>
  <c r="J110" i="3"/>
  <c r="J111" i="3"/>
  <c r="J112" i="3"/>
  <c r="L112" i="3" s="1"/>
  <c r="K112" i="3" s="1"/>
  <c r="J113" i="3"/>
  <c r="J114" i="3"/>
  <c r="L114" i="3" s="1"/>
  <c r="K114" i="3" s="1"/>
  <c r="J115" i="3"/>
  <c r="J116" i="3"/>
  <c r="L116" i="3" s="1"/>
  <c r="K116" i="3" s="1"/>
  <c r="J117" i="3"/>
  <c r="J118" i="3"/>
  <c r="J119" i="3"/>
  <c r="L119" i="3" s="1"/>
  <c r="K119" i="3" s="1"/>
  <c r="J120" i="3"/>
  <c r="L120" i="3" s="1"/>
  <c r="K120" i="3" s="1"/>
  <c r="J121" i="3"/>
  <c r="L121" i="3" s="1"/>
  <c r="K121" i="3" s="1"/>
  <c r="J122" i="3"/>
  <c r="L122" i="3" s="1"/>
  <c r="K122" i="3" s="1"/>
  <c r="J123" i="3"/>
  <c r="J124" i="3"/>
  <c r="J125" i="3"/>
  <c r="J126" i="3"/>
  <c r="L126" i="3" s="1"/>
  <c r="K126" i="3" s="1"/>
  <c r="J127" i="3"/>
  <c r="L127" i="3" s="1"/>
  <c r="K127" i="3" s="1"/>
  <c r="J128" i="3"/>
  <c r="L128" i="3" s="1"/>
  <c r="K128" i="3" s="1"/>
  <c r="J129" i="3"/>
  <c r="L129" i="3" s="1"/>
  <c r="K129" i="3" s="1"/>
  <c r="J130" i="3"/>
  <c r="L130" i="3" s="1"/>
  <c r="K130" i="3" s="1"/>
  <c r="J131" i="3"/>
  <c r="J132" i="3"/>
  <c r="J133" i="3"/>
  <c r="L133" i="3" s="1"/>
  <c r="K133" i="3" s="1"/>
  <c r="J134" i="3"/>
  <c r="J135" i="3"/>
  <c r="J136" i="3"/>
  <c r="L136" i="3" s="1"/>
  <c r="K136" i="3" s="1"/>
  <c r="J137" i="3"/>
  <c r="J138" i="3"/>
  <c r="J139" i="3"/>
  <c r="J140" i="3"/>
  <c r="J141" i="3"/>
  <c r="J142" i="3"/>
  <c r="L142" i="3" s="1"/>
  <c r="K142" i="3" s="1"/>
  <c r="J143" i="3"/>
  <c r="J144" i="3"/>
  <c r="L144" i="3" s="1"/>
  <c r="K144" i="3" s="1"/>
  <c r="J145" i="3"/>
  <c r="L145" i="3" s="1"/>
  <c r="K145" i="3" s="1"/>
  <c r="J146" i="3"/>
  <c r="J147" i="3"/>
  <c r="J148" i="3"/>
  <c r="J149" i="3"/>
  <c r="J150" i="3"/>
  <c r="J151" i="3"/>
  <c r="J152" i="3"/>
  <c r="L152" i="3" s="1"/>
  <c r="K152" i="3" s="1"/>
  <c r="J153" i="3"/>
  <c r="J154" i="3"/>
  <c r="L154" i="3" s="1"/>
  <c r="K154" i="3" s="1"/>
  <c r="J155" i="3"/>
  <c r="J156" i="3"/>
  <c r="J157" i="3"/>
  <c r="J158" i="3"/>
  <c r="J159" i="3"/>
  <c r="J160" i="3"/>
  <c r="J161" i="3"/>
  <c r="J162" i="3"/>
  <c r="L162" i="3" s="1"/>
  <c r="K162" i="3" s="1"/>
  <c r="J163" i="3"/>
  <c r="J164" i="3"/>
  <c r="J165" i="3"/>
  <c r="L165" i="3" s="1"/>
  <c r="K165" i="3" s="1"/>
  <c r="J166" i="3"/>
  <c r="L166" i="3" s="1"/>
  <c r="K166" i="3" s="1"/>
  <c r="J167" i="3"/>
  <c r="J168" i="3"/>
  <c r="L168" i="3" s="1"/>
  <c r="K168" i="3" s="1"/>
  <c r="J169" i="3"/>
  <c r="L169" i="3" s="1"/>
  <c r="K169" i="3" s="1"/>
  <c r="J170" i="3"/>
  <c r="L170" i="3" s="1"/>
  <c r="K170" i="3" s="1"/>
  <c r="J171" i="3"/>
  <c r="L171" i="3" s="1"/>
  <c r="K171" i="3" s="1"/>
  <c r="J172" i="3"/>
  <c r="L172" i="3" s="1"/>
  <c r="K172" i="3" s="1"/>
  <c r="J173" i="3"/>
  <c r="L173" i="3" s="1"/>
  <c r="K173" i="3" s="1"/>
  <c r="J174" i="3"/>
  <c r="L174" i="3" s="1"/>
  <c r="K174" i="3" s="1"/>
  <c r="J175" i="3"/>
  <c r="L175" i="3" s="1"/>
  <c r="K175" i="3" s="1"/>
  <c r="J176" i="3"/>
  <c r="L176" i="3" s="1"/>
  <c r="K176" i="3" s="1"/>
  <c r="J177" i="3"/>
  <c r="L177" i="3" s="1"/>
  <c r="K177" i="3" s="1"/>
  <c r="J178" i="3"/>
  <c r="L178" i="3" s="1"/>
  <c r="K178" i="3" s="1"/>
  <c r="J179" i="3"/>
  <c r="L179" i="3" s="1"/>
  <c r="K179" i="3" s="1"/>
  <c r="J180" i="3"/>
  <c r="L180" i="3" s="1"/>
  <c r="K180" i="3" s="1"/>
  <c r="J181" i="3"/>
  <c r="L181" i="3" s="1"/>
  <c r="K181" i="3" s="1"/>
  <c r="J182" i="3"/>
  <c r="L182" i="3" s="1"/>
  <c r="K182" i="3" s="1"/>
  <c r="J183" i="3"/>
  <c r="L183" i="3" s="1"/>
  <c r="K183" i="3" s="1"/>
  <c r="J184" i="3"/>
  <c r="L184" i="3" s="1"/>
  <c r="K184" i="3" s="1"/>
  <c r="J185" i="3"/>
  <c r="L185" i="3" s="1"/>
  <c r="K185" i="3" s="1"/>
  <c r="J186" i="3"/>
  <c r="L186" i="3" s="1"/>
  <c r="K186" i="3" s="1"/>
  <c r="J187" i="3"/>
  <c r="L187" i="3" s="1"/>
  <c r="K187" i="3" s="1"/>
  <c r="J188" i="3"/>
  <c r="L188" i="3" s="1"/>
  <c r="K188" i="3" s="1"/>
  <c r="J189" i="3"/>
  <c r="L189" i="3" s="1"/>
  <c r="K189" i="3" s="1"/>
  <c r="J190" i="3"/>
  <c r="L190" i="3" s="1"/>
  <c r="K190" i="3" s="1"/>
  <c r="J191" i="3"/>
  <c r="L191" i="3" s="1"/>
  <c r="K191" i="3" s="1"/>
  <c r="J192" i="3"/>
  <c r="L192" i="3" s="1"/>
  <c r="K192" i="3" s="1"/>
  <c r="J193" i="3"/>
  <c r="L193" i="3" s="1"/>
  <c r="K193" i="3" s="1"/>
  <c r="J194" i="3"/>
  <c r="L194" i="3" s="1"/>
  <c r="K194" i="3" s="1"/>
  <c r="J195" i="3"/>
  <c r="L195" i="3" s="1"/>
  <c r="K195" i="3" s="1"/>
  <c r="J196" i="3"/>
  <c r="L196" i="3" s="1"/>
  <c r="K196" i="3" s="1"/>
  <c r="J197" i="3"/>
  <c r="L197" i="3" s="1"/>
  <c r="K197" i="3" s="1"/>
  <c r="J198" i="3"/>
  <c r="L198" i="3" s="1"/>
  <c r="K198" i="3" s="1"/>
  <c r="J199" i="3"/>
  <c r="L199" i="3" s="1"/>
  <c r="K199" i="3" s="1"/>
  <c r="J200" i="3"/>
  <c r="L200" i="3" s="1"/>
  <c r="K200" i="3" s="1"/>
  <c r="J201" i="3"/>
  <c r="L201" i="3" s="1"/>
  <c r="K201" i="3" s="1"/>
  <c r="J202" i="3"/>
  <c r="L202" i="3" s="1"/>
  <c r="K202" i="3" s="1"/>
  <c r="J203" i="3"/>
  <c r="L203" i="3" s="1"/>
  <c r="K203" i="3" s="1"/>
  <c r="J204" i="3"/>
  <c r="L204" i="3" s="1"/>
  <c r="K204" i="3" s="1"/>
  <c r="J205" i="3"/>
  <c r="L205" i="3" s="1"/>
  <c r="K205" i="3" s="1"/>
  <c r="J206" i="3"/>
  <c r="L206" i="3" s="1"/>
  <c r="K206" i="3" s="1"/>
  <c r="J207" i="3"/>
  <c r="L207" i="3" s="1"/>
  <c r="K207" i="3" s="1"/>
  <c r="J208" i="3"/>
  <c r="L208" i="3" s="1"/>
  <c r="K208" i="3" s="1"/>
  <c r="J209" i="3"/>
  <c r="L209" i="3" s="1"/>
  <c r="K209" i="3" s="1"/>
  <c r="J210" i="3"/>
  <c r="L210" i="3" s="1"/>
  <c r="K210" i="3" s="1"/>
  <c r="J211" i="3"/>
  <c r="L211" i="3" s="1"/>
  <c r="K211" i="3" s="1"/>
  <c r="J212" i="3"/>
  <c r="L212" i="3" s="1"/>
  <c r="K212" i="3" s="1"/>
  <c r="J213" i="3"/>
  <c r="L213" i="3" s="1"/>
  <c r="K213" i="3" s="1"/>
  <c r="J214" i="3"/>
  <c r="L214" i="3" s="1"/>
  <c r="K214" i="3" s="1"/>
  <c r="J215" i="3"/>
  <c r="L215" i="3" s="1"/>
  <c r="K215" i="3" s="1"/>
  <c r="J216" i="3"/>
  <c r="L216" i="3" s="1"/>
  <c r="K216" i="3" s="1"/>
  <c r="J217" i="3"/>
  <c r="L217" i="3" s="1"/>
  <c r="K217" i="3" s="1"/>
  <c r="J218" i="3"/>
  <c r="L218" i="3" s="1"/>
  <c r="K218" i="3" s="1"/>
  <c r="J219" i="3"/>
  <c r="L219" i="3" s="1"/>
  <c r="K219" i="3" s="1"/>
  <c r="J220" i="3"/>
  <c r="L220" i="3" s="1"/>
  <c r="K220" i="3" s="1"/>
  <c r="J221" i="3"/>
  <c r="L221" i="3" s="1"/>
  <c r="K221" i="3" s="1"/>
  <c r="J222" i="3"/>
  <c r="L222" i="3" s="1"/>
  <c r="K222" i="3" s="1"/>
  <c r="J223" i="3"/>
  <c r="L223" i="3" s="1"/>
  <c r="K223" i="3" s="1"/>
  <c r="J224" i="3"/>
  <c r="L224" i="3" s="1"/>
  <c r="K224" i="3" s="1"/>
  <c r="J225" i="3"/>
  <c r="L225" i="3" s="1"/>
  <c r="K225" i="3" s="1"/>
  <c r="J226" i="3"/>
  <c r="L226" i="3" s="1"/>
  <c r="K226" i="3" s="1"/>
  <c r="J227" i="3"/>
  <c r="L227" i="3" s="1"/>
  <c r="K227" i="3" s="1"/>
  <c r="J228" i="3"/>
  <c r="L228" i="3" s="1"/>
  <c r="K228" i="3" s="1"/>
  <c r="J229" i="3"/>
  <c r="L229" i="3" s="1"/>
  <c r="K229" i="3" s="1"/>
  <c r="J230" i="3"/>
  <c r="L230" i="3" s="1"/>
  <c r="K230" i="3" s="1"/>
  <c r="J231" i="3"/>
  <c r="L231" i="3" s="1"/>
  <c r="K231" i="3" s="1"/>
  <c r="J232" i="3"/>
  <c r="L232" i="3" s="1"/>
  <c r="K232" i="3" s="1"/>
  <c r="J233" i="3"/>
  <c r="L233" i="3" s="1"/>
  <c r="K233" i="3" s="1"/>
  <c r="J234" i="3"/>
  <c r="L234" i="3" s="1"/>
  <c r="K234" i="3" s="1"/>
  <c r="J235" i="3"/>
  <c r="L235" i="3" s="1"/>
  <c r="K235" i="3" s="1"/>
  <c r="J236" i="3"/>
  <c r="L236" i="3" s="1"/>
  <c r="K236" i="3" s="1"/>
  <c r="J237" i="3"/>
  <c r="L237" i="3" s="1"/>
  <c r="K237" i="3" s="1"/>
  <c r="J238" i="3"/>
  <c r="J239" i="3"/>
  <c r="L239" i="3" s="1"/>
  <c r="K239" i="3" s="1"/>
  <c r="J240" i="3"/>
  <c r="L240" i="3" s="1"/>
  <c r="K240" i="3" s="1"/>
  <c r="J241" i="3"/>
  <c r="L241" i="3" s="1"/>
  <c r="K241" i="3" s="1"/>
  <c r="J242" i="3"/>
  <c r="L242" i="3" s="1"/>
  <c r="K242" i="3" s="1"/>
  <c r="J243" i="3"/>
  <c r="L243" i="3" s="1"/>
  <c r="K243" i="3" s="1"/>
  <c r="J244" i="3"/>
  <c r="L244" i="3" s="1"/>
  <c r="K244" i="3" s="1"/>
  <c r="J245" i="3"/>
  <c r="L245" i="3" s="1"/>
  <c r="K245" i="3" s="1"/>
  <c r="J246" i="3"/>
  <c r="L246" i="3" s="1"/>
  <c r="K246" i="3" s="1"/>
  <c r="J247" i="3"/>
  <c r="J248" i="3"/>
  <c r="L248" i="3" s="1"/>
  <c r="K248" i="3" s="1"/>
  <c r="J249" i="3"/>
  <c r="L249" i="3" s="1"/>
  <c r="K249" i="3" s="1"/>
  <c r="J250" i="3"/>
  <c r="L250" i="3" s="1"/>
  <c r="K250" i="3" s="1"/>
  <c r="J251" i="3"/>
  <c r="L251" i="3" s="1"/>
  <c r="K251" i="3" s="1"/>
  <c r="J252" i="3"/>
  <c r="L252" i="3" s="1"/>
  <c r="K252" i="3" s="1"/>
  <c r="J253" i="3"/>
  <c r="L253" i="3" s="1"/>
  <c r="K253" i="3" s="1"/>
  <c r="J254" i="3"/>
  <c r="L254" i="3" s="1"/>
  <c r="K254" i="3" s="1"/>
  <c r="J255" i="3"/>
  <c r="L255" i="3" s="1"/>
  <c r="K255" i="3" s="1"/>
  <c r="J256" i="3"/>
  <c r="L256" i="3" s="1"/>
  <c r="K256" i="3" s="1"/>
  <c r="J257" i="3"/>
  <c r="L257" i="3" s="1"/>
  <c r="K257" i="3" s="1"/>
  <c r="J258" i="3"/>
  <c r="L258" i="3" s="1"/>
  <c r="K258" i="3" s="1"/>
  <c r="J259" i="3"/>
  <c r="L259" i="3" s="1"/>
  <c r="K259" i="3" s="1"/>
  <c r="J260" i="3"/>
  <c r="L260" i="3" s="1"/>
  <c r="K260" i="3" s="1"/>
  <c r="J261" i="3"/>
  <c r="L261" i="3" s="1"/>
  <c r="K261" i="3" s="1"/>
  <c r="J262" i="3"/>
  <c r="L262" i="3" s="1"/>
  <c r="K262" i="3" s="1"/>
  <c r="J263" i="3"/>
  <c r="L263" i="3" s="1"/>
  <c r="K263" i="3" s="1"/>
  <c r="J264" i="3"/>
  <c r="L264" i="3" s="1"/>
  <c r="K264" i="3" s="1"/>
  <c r="J265" i="3"/>
  <c r="L265" i="3" s="1"/>
  <c r="K265" i="3" s="1"/>
  <c r="J266" i="3"/>
  <c r="L266" i="3" s="1"/>
  <c r="K266" i="3" s="1"/>
  <c r="J267" i="3"/>
  <c r="L267" i="3" s="1"/>
  <c r="K267" i="3" s="1"/>
  <c r="J268" i="3"/>
  <c r="L268" i="3" s="1"/>
  <c r="K268" i="3" s="1"/>
  <c r="J269" i="3"/>
  <c r="L269" i="3" s="1"/>
  <c r="K269" i="3" s="1"/>
  <c r="J270" i="3"/>
  <c r="L270" i="3" s="1"/>
  <c r="K270" i="3" s="1"/>
  <c r="J271" i="3"/>
  <c r="L271" i="3" s="1"/>
  <c r="K271" i="3" s="1"/>
  <c r="J272" i="3"/>
  <c r="L272" i="3" s="1"/>
  <c r="K272" i="3" s="1"/>
  <c r="J273" i="3"/>
  <c r="L273" i="3" s="1"/>
  <c r="K273" i="3" s="1"/>
  <c r="J274" i="3"/>
  <c r="L274" i="3" s="1"/>
  <c r="K274" i="3" s="1"/>
  <c r="J275" i="3"/>
  <c r="L275" i="3" s="1"/>
  <c r="K275" i="3" s="1"/>
  <c r="J276" i="3"/>
  <c r="L276" i="3" s="1"/>
  <c r="K276" i="3" s="1"/>
  <c r="J277" i="3"/>
  <c r="L277" i="3" s="1"/>
  <c r="K277" i="3" s="1"/>
  <c r="J278" i="3"/>
  <c r="L278" i="3" s="1"/>
  <c r="K278" i="3" s="1"/>
  <c r="J279" i="3"/>
  <c r="L279" i="3" s="1"/>
  <c r="K279" i="3" s="1"/>
  <c r="J280" i="3"/>
  <c r="L280" i="3" s="1"/>
  <c r="K280" i="3" s="1"/>
  <c r="J281" i="3"/>
  <c r="L281" i="3" s="1"/>
  <c r="K281" i="3" s="1"/>
  <c r="J282" i="3"/>
  <c r="L282" i="3" s="1"/>
  <c r="K282" i="3" s="1"/>
  <c r="J283" i="3"/>
  <c r="L283" i="3" s="1"/>
  <c r="K283" i="3" s="1"/>
  <c r="J284" i="3"/>
  <c r="L284" i="3" s="1"/>
  <c r="K284" i="3" s="1"/>
  <c r="J285" i="3"/>
  <c r="L285" i="3" s="1"/>
  <c r="K285" i="3" s="1"/>
  <c r="J286" i="3"/>
  <c r="L286" i="3" s="1"/>
  <c r="K286" i="3" s="1"/>
  <c r="J287" i="3"/>
  <c r="L287" i="3" s="1"/>
  <c r="K287" i="3" s="1"/>
  <c r="J288" i="3"/>
  <c r="L288" i="3" s="1"/>
  <c r="K288" i="3" s="1"/>
  <c r="J289" i="3"/>
  <c r="L289" i="3" s="1"/>
  <c r="K289" i="3" s="1"/>
  <c r="J290" i="3"/>
  <c r="L290" i="3" s="1"/>
  <c r="K290" i="3" s="1"/>
  <c r="J291" i="3"/>
  <c r="L291" i="3" s="1"/>
  <c r="K291" i="3" s="1"/>
  <c r="J292" i="3"/>
  <c r="L292" i="3" s="1"/>
  <c r="K292" i="3" s="1"/>
  <c r="J293" i="3"/>
  <c r="L293" i="3" s="1"/>
  <c r="K293" i="3" s="1"/>
  <c r="J294" i="3"/>
  <c r="L294" i="3" s="1"/>
  <c r="K294" i="3" s="1"/>
  <c r="J295" i="3"/>
  <c r="L295" i="3" s="1"/>
  <c r="K295" i="3" s="1"/>
  <c r="J296" i="3"/>
  <c r="L296" i="3" s="1"/>
  <c r="K296" i="3" s="1"/>
  <c r="J297" i="3"/>
  <c r="L297" i="3" s="1"/>
  <c r="K297" i="3" s="1"/>
  <c r="J298" i="3"/>
  <c r="L298" i="3" s="1"/>
  <c r="K298" i="3" s="1"/>
  <c r="J299" i="3"/>
  <c r="L299" i="3" s="1"/>
  <c r="K299" i="3" s="1"/>
  <c r="R354" i="3" l="1"/>
  <c r="N643" i="3"/>
  <c r="O643" i="3"/>
  <c r="N656" i="3"/>
  <c r="O656" i="3"/>
  <c r="N650" i="3"/>
  <c r="O650" i="3"/>
  <c r="N648" i="3"/>
  <c r="O648" i="3"/>
  <c r="O647" i="3"/>
  <c r="N647" i="3"/>
  <c r="N654" i="3"/>
  <c r="O654" i="3"/>
  <c r="O659" i="3"/>
  <c r="N659" i="3"/>
  <c r="N663" i="3"/>
  <c r="O663" i="3"/>
  <c r="N640" i="3"/>
  <c r="O640" i="3"/>
  <c r="N639" i="3"/>
  <c r="O639" i="3"/>
  <c r="O653" i="3"/>
  <c r="N653" i="3"/>
  <c r="N657" i="3"/>
  <c r="O657" i="3"/>
  <c r="N649" i="3"/>
  <c r="O649" i="3"/>
  <c r="N638" i="3"/>
  <c r="O638" i="3"/>
  <c r="N633" i="3"/>
  <c r="O633" i="3"/>
  <c r="N662" i="3"/>
  <c r="O662" i="3"/>
  <c r="N637" i="3"/>
  <c r="O637" i="3"/>
  <c r="O641" i="3"/>
  <c r="N641" i="3"/>
  <c r="N594" i="3"/>
  <c r="O443" i="3"/>
  <c r="N627" i="3"/>
  <c r="O545" i="3"/>
  <c r="O488" i="3"/>
  <c r="N514" i="3"/>
  <c r="O390" i="3"/>
  <c r="R390" i="3"/>
  <c r="N387" i="3"/>
  <c r="N542" i="3"/>
  <c r="N510" i="3"/>
  <c r="O599" i="3"/>
  <c r="O572" i="3"/>
  <c r="O466" i="3"/>
  <c r="N591" i="3"/>
  <c r="N464" i="3"/>
  <c r="O538" i="3"/>
  <c r="N453" i="3"/>
  <c r="N521" i="3"/>
  <c r="O576" i="3"/>
  <c r="N576" i="3"/>
  <c r="N530" i="3"/>
  <c r="N616" i="3"/>
  <c r="O608" i="3"/>
  <c r="R426" i="3"/>
  <c r="R378" i="3"/>
  <c r="R318" i="3"/>
  <c r="O427" i="3"/>
  <c r="N338" i="3"/>
  <c r="O586" i="3"/>
  <c r="N478" i="3"/>
  <c r="N601" i="3"/>
  <c r="O524" i="3"/>
  <c r="O511" i="3"/>
  <c r="O575" i="3"/>
  <c r="N587" i="3"/>
  <c r="O577" i="3"/>
  <c r="O456" i="3"/>
  <c r="N617" i="3"/>
  <c r="O559" i="3"/>
  <c r="O361" i="3"/>
  <c r="N526" i="3"/>
  <c r="N532" i="3"/>
  <c r="N469" i="3"/>
  <c r="O454" i="3"/>
  <c r="O394" i="3"/>
  <c r="N468" i="3"/>
  <c r="O529" i="3"/>
  <c r="O476" i="3"/>
  <c r="N553" i="3"/>
  <c r="O318" i="3"/>
  <c r="N565" i="3"/>
  <c r="O342" i="3"/>
  <c r="N629" i="3"/>
  <c r="O580" i="3"/>
  <c r="O560" i="3"/>
  <c r="N460" i="3"/>
  <c r="N589" i="3"/>
  <c r="N378" i="3"/>
  <c r="N541" i="3"/>
  <c r="O463" i="3"/>
  <c r="L110" i="3"/>
  <c r="K110" i="3" s="1"/>
  <c r="N110" i="3" s="1"/>
  <c r="L86" i="3"/>
  <c r="K86" i="3" s="1"/>
  <c r="N86" i="3" s="1"/>
  <c r="L62" i="3"/>
  <c r="K62" i="3" s="1"/>
  <c r="N62" i="3" s="1"/>
  <c r="L26" i="3"/>
  <c r="K26" i="3" s="1"/>
  <c r="N26" i="3" s="1"/>
  <c r="L73" i="3"/>
  <c r="K73" i="3" s="1"/>
  <c r="N73" i="3" s="1"/>
  <c r="L49" i="3"/>
  <c r="K49" i="3" s="1"/>
  <c r="N49" i="3" s="1"/>
  <c r="L25" i="3"/>
  <c r="K25" i="3" s="1"/>
  <c r="N25" i="3" s="1"/>
  <c r="N537" i="3"/>
  <c r="O528" i="3"/>
  <c r="O472" i="3"/>
  <c r="N475" i="3"/>
  <c r="N550" i="3"/>
  <c r="O562" i="3"/>
  <c r="N467" i="3"/>
  <c r="L156" i="3"/>
  <c r="K156" i="3" s="1"/>
  <c r="N156" i="3" s="1"/>
  <c r="L12" i="3"/>
  <c r="K12" i="3" s="1"/>
  <c r="N12" i="3" s="1"/>
  <c r="L107" i="3"/>
  <c r="K107" i="3" s="1"/>
  <c r="N107" i="3" s="1"/>
  <c r="L94" i="3"/>
  <c r="K94" i="3" s="1"/>
  <c r="N94" i="3" s="1"/>
  <c r="L82" i="3"/>
  <c r="K82" i="3" s="1"/>
  <c r="N82" i="3" s="1"/>
  <c r="L46" i="3"/>
  <c r="K46" i="3" s="1"/>
  <c r="N46" i="3" s="1"/>
  <c r="L10" i="3"/>
  <c r="K10" i="3" s="1"/>
  <c r="N10" i="3" s="1"/>
  <c r="L153" i="3"/>
  <c r="K153" i="3" s="1"/>
  <c r="N153" i="3" s="1"/>
  <c r="L69" i="3"/>
  <c r="K69" i="3" s="1"/>
  <c r="N69" i="3" s="1"/>
  <c r="L45" i="3"/>
  <c r="K45" i="3" s="1"/>
  <c r="N45" i="3" s="1"/>
  <c r="L33" i="3"/>
  <c r="K33" i="3" s="1"/>
  <c r="N33" i="3" s="1"/>
  <c r="N490" i="3"/>
  <c r="N450" i="3"/>
  <c r="O595" i="3"/>
  <c r="O540" i="3"/>
  <c r="R370" i="3"/>
  <c r="N385" i="3"/>
  <c r="N568" i="3"/>
  <c r="N498" i="3"/>
  <c r="R367" i="3"/>
  <c r="O602" i="3"/>
  <c r="R336" i="3"/>
  <c r="N497" i="3"/>
  <c r="O605" i="3"/>
  <c r="N547" i="3"/>
  <c r="O621" i="3"/>
  <c r="N480" i="3"/>
  <c r="O446" i="3"/>
  <c r="N610" i="3"/>
  <c r="N624" i="3"/>
  <c r="N626" i="3"/>
  <c r="L140" i="3"/>
  <c r="K140" i="3" s="1"/>
  <c r="N140" i="3" s="1"/>
  <c r="L92" i="3"/>
  <c r="K92" i="3" s="1"/>
  <c r="N92" i="3" s="1"/>
  <c r="L68" i="3"/>
  <c r="K68" i="3" s="1"/>
  <c r="N68" i="3" s="1"/>
  <c r="L32" i="3"/>
  <c r="K32" i="3" s="1"/>
  <c r="O32" i="3" s="1"/>
  <c r="N501" i="3"/>
  <c r="L247" i="3"/>
  <c r="K247" i="3" s="1"/>
  <c r="N247" i="3" s="1"/>
  <c r="L163" i="3"/>
  <c r="K163" i="3" s="1"/>
  <c r="N163" i="3" s="1"/>
  <c r="L151" i="3"/>
  <c r="K151" i="3" s="1"/>
  <c r="N151" i="3" s="1"/>
  <c r="L139" i="3"/>
  <c r="K139" i="3" s="1"/>
  <c r="N139" i="3" s="1"/>
  <c r="L79" i="3"/>
  <c r="K79" i="3" s="1"/>
  <c r="N79" i="3" s="1"/>
  <c r="L67" i="3"/>
  <c r="K67" i="3" s="1"/>
  <c r="N67" i="3" s="1"/>
  <c r="L43" i="3"/>
  <c r="K43" i="3" s="1"/>
  <c r="N43" i="3" s="1"/>
  <c r="L19" i="3"/>
  <c r="K19" i="3" s="1"/>
  <c r="N19" i="3" s="1"/>
  <c r="O618" i="3"/>
  <c r="R392" i="3"/>
  <c r="N588" i="3"/>
  <c r="N543" i="3"/>
  <c r="N470" i="3"/>
  <c r="L158" i="3"/>
  <c r="K158" i="3" s="1"/>
  <c r="N158" i="3" s="1"/>
  <c r="L134" i="3"/>
  <c r="K134" i="3" s="1"/>
  <c r="N134" i="3" s="1"/>
  <c r="L14" i="3"/>
  <c r="K14" i="3" s="1"/>
  <c r="N14" i="3" s="1"/>
  <c r="L157" i="3"/>
  <c r="K157" i="3" s="1"/>
  <c r="N157" i="3" s="1"/>
  <c r="L97" i="3"/>
  <c r="K97" i="3" s="1"/>
  <c r="N97" i="3" s="1"/>
  <c r="L85" i="3"/>
  <c r="K85" i="3" s="1"/>
  <c r="N85" i="3" s="1"/>
  <c r="L61" i="3"/>
  <c r="K61" i="3" s="1"/>
  <c r="N61" i="3" s="1"/>
  <c r="L37" i="3"/>
  <c r="K37" i="3" s="1"/>
  <c r="N37" i="3" s="1"/>
  <c r="N557" i="3"/>
  <c r="O571" i="3"/>
  <c r="O544" i="3"/>
  <c r="R369" i="3"/>
  <c r="N414" i="3"/>
  <c r="O504" i="3"/>
  <c r="O370" i="3"/>
  <c r="L132" i="3"/>
  <c r="K132" i="3" s="1"/>
  <c r="N132" i="3" s="1"/>
  <c r="L108" i="3"/>
  <c r="K108" i="3" s="1"/>
  <c r="N108" i="3" s="1"/>
  <c r="L60" i="3"/>
  <c r="K60" i="3" s="1"/>
  <c r="N60" i="3" s="1"/>
  <c r="L24" i="3"/>
  <c r="K24" i="3" s="1"/>
  <c r="N24" i="3" s="1"/>
  <c r="L238" i="3"/>
  <c r="K238" i="3" s="1"/>
  <c r="N238" i="3" s="1"/>
  <c r="L22" i="3"/>
  <c r="K22" i="3" s="1"/>
  <c r="N22" i="3" s="1"/>
  <c r="O552" i="3"/>
  <c r="N484" i="3"/>
  <c r="L141" i="3"/>
  <c r="K141" i="3" s="1"/>
  <c r="N141" i="3" s="1"/>
  <c r="L81" i="3"/>
  <c r="K81" i="3" s="1"/>
  <c r="N81" i="3" s="1"/>
  <c r="L57" i="3"/>
  <c r="K57" i="3" s="1"/>
  <c r="N57" i="3" s="1"/>
  <c r="L21" i="3"/>
  <c r="K21" i="3" s="1"/>
  <c r="N21" i="3" s="1"/>
  <c r="N569" i="3"/>
  <c r="L44" i="3"/>
  <c r="K44" i="3" s="1"/>
  <c r="N44" i="3" s="1"/>
  <c r="L20" i="3"/>
  <c r="K20" i="3" s="1"/>
  <c r="N20" i="3" s="1"/>
  <c r="R433" i="3"/>
  <c r="O522" i="3"/>
  <c r="O358" i="3"/>
  <c r="O471" i="3"/>
  <c r="R386" i="3"/>
  <c r="R319" i="3"/>
  <c r="R427" i="3"/>
  <c r="L150" i="3"/>
  <c r="K150" i="3" s="1"/>
  <c r="N150" i="3" s="1"/>
  <c r="L138" i="3"/>
  <c r="K138" i="3" s="1"/>
  <c r="N138" i="3" s="1"/>
  <c r="L78" i="3"/>
  <c r="K78" i="3" s="1"/>
  <c r="N78" i="3" s="1"/>
  <c r="L66" i="3"/>
  <c r="K66" i="3" s="1"/>
  <c r="N66" i="3" s="1"/>
  <c r="L42" i="3"/>
  <c r="K42" i="3" s="1"/>
  <c r="N42" i="3" s="1"/>
  <c r="L18" i="3"/>
  <c r="K18" i="3" s="1"/>
  <c r="N18" i="3" s="1"/>
  <c r="N561" i="3"/>
  <c r="L161" i="3"/>
  <c r="K161" i="3" s="1"/>
  <c r="N161" i="3" s="1"/>
  <c r="L149" i="3"/>
  <c r="K149" i="3" s="1"/>
  <c r="N149" i="3" s="1"/>
  <c r="L137" i="3"/>
  <c r="K137" i="3" s="1"/>
  <c r="N137" i="3" s="1"/>
  <c r="L125" i="3"/>
  <c r="K125" i="3" s="1"/>
  <c r="N125" i="3" s="1"/>
  <c r="L113" i="3"/>
  <c r="K113" i="3" s="1"/>
  <c r="N113" i="3" s="1"/>
  <c r="L41" i="3"/>
  <c r="K41" i="3" s="1"/>
  <c r="N41" i="3" s="1"/>
  <c r="L29" i="3"/>
  <c r="K29" i="3" s="1"/>
  <c r="N29" i="3" s="1"/>
  <c r="L17" i="3"/>
  <c r="K17" i="3" s="1"/>
  <c r="N17" i="3" s="1"/>
  <c r="N556" i="3"/>
  <c r="R338" i="3"/>
  <c r="L124" i="3"/>
  <c r="K124" i="3" s="1"/>
  <c r="N124" i="3" s="1"/>
  <c r="O592" i="3"/>
  <c r="R394" i="3"/>
  <c r="L146" i="3"/>
  <c r="K146" i="3" s="1"/>
  <c r="N146" i="3" s="1"/>
  <c r="L74" i="3"/>
  <c r="K74" i="3" s="1"/>
  <c r="N74" i="3" s="1"/>
  <c r="L38" i="3"/>
  <c r="K38" i="3" s="1"/>
  <c r="N38" i="3" s="1"/>
  <c r="L72" i="3"/>
  <c r="K72" i="3" s="1"/>
  <c r="N72" i="3" s="1"/>
  <c r="L36" i="3"/>
  <c r="K36" i="3" s="1"/>
  <c r="N36" i="3" s="1"/>
  <c r="L167" i="3"/>
  <c r="K167" i="3" s="1"/>
  <c r="N167" i="3" s="1"/>
  <c r="L155" i="3"/>
  <c r="K155" i="3" s="1"/>
  <c r="N155" i="3" s="1"/>
  <c r="L143" i="3"/>
  <c r="K143" i="3" s="1"/>
  <c r="N143" i="3" s="1"/>
  <c r="L131" i="3"/>
  <c r="K131" i="3" s="1"/>
  <c r="N131" i="3" s="1"/>
  <c r="L83" i="3"/>
  <c r="K83" i="3" s="1"/>
  <c r="N83" i="3" s="1"/>
  <c r="L71" i="3"/>
  <c r="K71" i="3" s="1"/>
  <c r="N71" i="3" s="1"/>
  <c r="L59" i="3"/>
  <c r="K59" i="3" s="1"/>
  <c r="N59" i="3" s="1"/>
  <c r="L47" i="3"/>
  <c r="K47" i="3" s="1"/>
  <c r="N47" i="3" s="1"/>
  <c r="L35" i="3"/>
  <c r="K35" i="3" s="1"/>
  <c r="N35" i="3" s="1"/>
  <c r="L23" i="3"/>
  <c r="K23" i="3" s="1"/>
  <c r="N23" i="3" s="1"/>
  <c r="O449" i="3"/>
  <c r="N489" i="3"/>
  <c r="R312" i="3"/>
  <c r="N473" i="3"/>
  <c r="N535" i="3"/>
  <c r="N584" i="3"/>
  <c r="N609" i="3"/>
  <c r="N574" i="3"/>
  <c r="N426" i="3"/>
  <c r="N433" i="3"/>
  <c r="L118" i="3"/>
  <c r="K118" i="3" s="1"/>
  <c r="N118" i="3" s="1"/>
  <c r="L34" i="3"/>
  <c r="K34" i="3" s="1"/>
  <c r="N34" i="3" s="1"/>
  <c r="R361" i="3"/>
  <c r="L117" i="3"/>
  <c r="K117" i="3" s="1"/>
  <c r="N117" i="3" s="1"/>
  <c r="L164" i="3"/>
  <c r="K164" i="3" s="1"/>
  <c r="N164" i="3" s="1"/>
  <c r="L8" i="3"/>
  <c r="K8" i="3" s="1"/>
  <c r="N8" i="3" s="1"/>
  <c r="L115" i="3"/>
  <c r="K115" i="3" s="1"/>
  <c r="N115" i="3" s="1"/>
  <c r="L31" i="3"/>
  <c r="K31" i="3" s="1"/>
  <c r="N31" i="3" s="1"/>
  <c r="L30" i="3"/>
  <c r="K30" i="3" s="1"/>
  <c r="N30" i="3" s="1"/>
  <c r="L89" i="3"/>
  <c r="K89" i="3" s="1"/>
  <c r="N89" i="3" s="1"/>
  <c r="L77" i="3"/>
  <c r="K77" i="3" s="1"/>
  <c r="N77" i="3" s="1"/>
  <c r="L65" i="3"/>
  <c r="K65" i="3" s="1"/>
  <c r="N65" i="3" s="1"/>
  <c r="O512" i="3"/>
  <c r="N630" i="3"/>
  <c r="R358" i="3"/>
  <c r="O508" i="3"/>
  <c r="O567" i="3"/>
  <c r="O448" i="3"/>
  <c r="N533" i="3"/>
  <c r="N583" i="3"/>
  <c r="N354" i="3"/>
  <c r="L160" i="3"/>
  <c r="K160" i="3" s="1"/>
  <c r="O160" i="3" s="1"/>
  <c r="L148" i="3"/>
  <c r="K148" i="3" s="1"/>
  <c r="N148" i="3" s="1"/>
  <c r="L100" i="3"/>
  <c r="K100" i="3" s="1"/>
  <c r="N100" i="3" s="1"/>
  <c r="L88" i="3"/>
  <c r="K88" i="3" s="1"/>
  <c r="N88" i="3" s="1"/>
  <c r="L76" i="3"/>
  <c r="K76" i="3" s="1"/>
  <c r="N76" i="3" s="1"/>
  <c r="L64" i="3"/>
  <c r="K64" i="3" s="1"/>
  <c r="N64" i="3" s="1"/>
  <c r="L28" i="3"/>
  <c r="K28" i="3" s="1"/>
  <c r="N28" i="3" s="1"/>
  <c r="L16" i="3"/>
  <c r="K16" i="3" s="1"/>
  <c r="N16" i="3" s="1"/>
  <c r="R342" i="3"/>
  <c r="R385" i="3"/>
  <c r="L159" i="3"/>
  <c r="K159" i="3" s="1"/>
  <c r="N159" i="3" s="1"/>
  <c r="L147" i="3"/>
  <c r="K147" i="3" s="1"/>
  <c r="N147" i="3" s="1"/>
  <c r="L135" i="3"/>
  <c r="K135" i="3" s="1"/>
  <c r="N135" i="3" s="1"/>
  <c r="L123" i="3"/>
  <c r="K123" i="3" s="1"/>
  <c r="N123" i="3" s="1"/>
  <c r="L111" i="3"/>
  <c r="K111" i="3" s="1"/>
  <c r="N111" i="3" s="1"/>
  <c r="L99" i="3"/>
  <c r="K99" i="3" s="1"/>
  <c r="N99" i="3" s="1"/>
  <c r="L87" i="3"/>
  <c r="K87" i="3" s="1"/>
  <c r="N87" i="3" s="1"/>
  <c r="L63" i="3"/>
  <c r="K63" i="3" s="1"/>
  <c r="N63" i="3" s="1"/>
  <c r="L51" i="3"/>
  <c r="K51" i="3" s="1"/>
  <c r="N51" i="3" s="1"/>
  <c r="L39" i="3"/>
  <c r="K39" i="3" s="1"/>
  <c r="N39" i="3" s="1"/>
  <c r="L27" i="3"/>
  <c r="K27" i="3" s="1"/>
  <c r="N27" i="3" s="1"/>
  <c r="L15" i="3"/>
  <c r="K15" i="3" s="1"/>
  <c r="N15" i="3" s="1"/>
  <c r="O515" i="3"/>
  <c r="R387" i="3"/>
  <c r="R414" i="3"/>
  <c r="O500" i="3"/>
  <c r="N500" i="3"/>
  <c r="R341" i="3"/>
  <c r="O369" i="3"/>
  <c r="O319" i="3"/>
  <c r="N367" i="3"/>
  <c r="N493" i="3"/>
  <c r="O386" i="3"/>
  <c r="N341" i="3"/>
  <c r="O341" i="3"/>
  <c r="R70" i="3"/>
  <c r="N70" i="3"/>
  <c r="R7" i="3"/>
  <c r="N7" i="3"/>
  <c r="N347" i="3"/>
  <c r="O347" i="3"/>
  <c r="N315" i="3"/>
  <c r="O371" i="3"/>
  <c r="O332" i="3"/>
  <c r="O322" i="3"/>
  <c r="O345" i="3"/>
  <c r="O381" i="3"/>
  <c r="O388" i="3"/>
  <c r="O424" i="3"/>
  <c r="N411" i="3"/>
  <c r="N375" i="3"/>
  <c r="O416" i="3"/>
  <c r="O317" i="3"/>
  <c r="O418" i="3"/>
  <c r="N405" i="3"/>
  <c r="N396" i="3"/>
  <c r="N395" i="3"/>
  <c r="N351" i="3"/>
  <c r="O360" i="3"/>
  <c r="O352" i="3"/>
  <c r="N415" i="3"/>
  <c r="O320" i="3"/>
  <c r="O316" i="3"/>
  <c r="O412" i="3"/>
  <c r="N417" i="3"/>
  <c r="N399" i="3"/>
  <c r="O348" i="3"/>
  <c r="O391" i="3"/>
  <c r="O324" i="3"/>
  <c r="N357" i="3"/>
  <c r="O383" i="3"/>
  <c r="O376" i="3"/>
  <c r="N440" i="3"/>
  <c r="N379" i="3"/>
  <c r="O384" i="3"/>
  <c r="O413" i="3"/>
  <c r="O327" i="3"/>
  <c r="O325" i="3"/>
  <c r="O340" i="3"/>
  <c r="N372" i="3"/>
  <c r="O393" i="3"/>
  <c r="O374" i="3"/>
  <c r="O436" i="3"/>
  <c r="O410" i="3"/>
  <c r="N363" i="3"/>
  <c r="N442" i="3"/>
  <c r="N356" i="3"/>
  <c r="O438" i="3"/>
  <c r="O432" i="3"/>
  <c r="O364" i="3"/>
  <c r="N392" i="3"/>
  <c r="N435" i="3"/>
  <c r="O329" i="3"/>
  <c r="N441" i="3"/>
  <c r="N407" i="3"/>
  <c r="O311" i="3"/>
  <c r="N401" i="3"/>
  <c r="O310" i="3"/>
  <c r="O343" i="3"/>
  <c r="O331" i="3"/>
  <c r="O389" i="3"/>
  <c r="O350" i="3"/>
  <c r="O326" i="3"/>
  <c r="O368" i="3"/>
  <c r="O404" i="3"/>
  <c r="O323" i="3"/>
  <c r="O362" i="3"/>
  <c r="N335" i="3"/>
  <c r="O312" i="3"/>
  <c r="O428" i="3"/>
  <c r="N334" i="3"/>
  <c r="N353" i="3"/>
  <c r="O313" i="3"/>
  <c r="N400" i="3"/>
  <c r="N425" i="3"/>
  <c r="N120" i="3"/>
  <c r="R120" i="3"/>
  <c r="N166" i="3"/>
  <c r="R166" i="3"/>
  <c r="R142" i="3"/>
  <c r="N142" i="3"/>
  <c r="N58" i="3"/>
  <c r="R58" i="3"/>
  <c r="N144" i="3"/>
  <c r="R144" i="3"/>
  <c r="N154" i="3"/>
  <c r="R154" i="3"/>
  <c r="N106" i="3"/>
  <c r="R106" i="3"/>
  <c r="R249" i="3"/>
  <c r="N249" i="3"/>
  <c r="N165" i="3"/>
  <c r="R165" i="3"/>
  <c r="R129" i="3"/>
  <c r="N129" i="3"/>
  <c r="R105" i="3"/>
  <c r="N105" i="3"/>
  <c r="R11" i="3"/>
  <c r="N11" i="3"/>
  <c r="N248" i="3"/>
  <c r="R248" i="3"/>
  <c r="N128" i="3"/>
  <c r="R128" i="3"/>
  <c r="N80" i="3"/>
  <c r="R80" i="3"/>
  <c r="N56" i="3"/>
  <c r="R56" i="3"/>
  <c r="R251" i="3"/>
  <c r="N251" i="3"/>
  <c r="N127" i="3"/>
  <c r="R127" i="3"/>
  <c r="N103" i="3"/>
  <c r="R103" i="3"/>
  <c r="N91" i="3"/>
  <c r="R91" i="3"/>
  <c r="R55" i="3"/>
  <c r="N55" i="3"/>
  <c r="N119" i="3"/>
  <c r="R119" i="3"/>
  <c r="N258" i="3"/>
  <c r="R258" i="3"/>
  <c r="N162" i="3"/>
  <c r="R162" i="3"/>
  <c r="N126" i="3"/>
  <c r="R126" i="3"/>
  <c r="N114" i="3"/>
  <c r="R114" i="3"/>
  <c r="N102" i="3"/>
  <c r="R102" i="3"/>
  <c r="N90" i="3"/>
  <c r="R90" i="3"/>
  <c r="R54" i="3"/>
  <c r="N54" i="3"/>
  <c r="R6" i="3"/>
  <c r="N6" i="3"/>
  <c r="N101" i="3"/>
  <c r="R101" i="3"/>
  <c r="R53" i="3"/>
  <c r="N53" i="3"/>
  <c r="N172" i="3"/>
  <c r="R172" i="3"/>
  <c r="R252" i="3"/>
  <c r="N252" i="3"/>
  <c r="R52" i="3"/>
  <c r="N52" i="3"/>
  <c r="N171" i="3"/>
  <c r="R171" i="3"/>
  <c r="N75" i="3"/>
  <c r="R75" i="3"/>
  <c r="O168" i="3"/>
  <c r="R168" i="3"/>
  <c r="N259" i="3"/>
  <c r="R259" i="3"/>
  <c r="N255" i="3"/>
  <c r="R255" i="3"/>
  <c r="N170" i="3"/>
  <c r="R170" i="3"/>
  <c r="N122" i="3"/>
  <c r="R122" i="3"/>
  <c r="N98" i="3"/>
  <c r="R98" i="3"/>
  <c r="N256" i="3"/>
  <c r="R256" i="3"/>
  <c r="O112" i="3"/>
  <c r="R112" i="3"/>
  <c r="O40" i="3"/>
  <c r="R40" i="3"/>
  <c r="R253" i="3"/>
  <c r="N253" i="3"/>
  <c r="N169" i="3"/>
  <c r="R169" i="3"/>
  <c r="R145" i="3"/>
  <c r="N145" i="3"/>
  <c r="R133" i="3"/>
  <c r="N133" i="3"/>
  <c r="N121" i="3"/>
  <c r="R121" i="3"/>
  <c r="N233" i="3"/>
  <c r="R233" i="3"/>
  <c r="N136" i="3"/>
  <c r="R136" i="3"/>
  <c r="O232" i="3"/>
  <c r="R232" i="3"/>
  <c r="N109" i="3"/>
  <c r="R109" i="3"/>
  <c r="N291" i="3"/>
  <c r="R291" i="3"/>
  <c r="N279" i="3"/>
  <c r="N267" i="3"/>
  <c r="R267" i="3"/>
  <c r="N243" i="3"/>
  <c r="R243" i="3"/>
  <c r="N231" i="3"/>
  <c r="R231" i="3"/>
  <c r="N219" i="3"/>
  <c r="R219" i="3"/>
  <c r="N207" i="3"/>
  <c r="R207" i="3"/>
  <c r="N195" i="3"/>
  <c r="R195" i="3"/>
  <c r="N183" i="3"/>
  <c r="R183" i="3"/>
  <c r="O359" i="3"/>
  <c r="N260" i="3"/>
  <c r="R260" i="3"/>
  <c r="N242" i="3"/>
  <c r="R242" i="3"/>
  <c r="N194" i="3"/>
  <c r="R194" i="3"/>
  <c r="O48" i="3"/>
  <c r="R48" i="3"/>
  <c r="N245" i="3"/>
  <c r="R245" i="3"/>
  <c r="N173" i="3"/>
  <c r="R173" i="3"/>
  <c r="N268" i="3"/>
  <c r="R268" i="3"/>
  <c r="N278" i="3"/>
  <c r="N218" i="3"/>
  <c r="R218" i="3"/>
  <c r="N182" i="3"/>
  <c r="R182" i="3"/>
  <c r="N289" i="3"/>
  <c r="R289" i="3"/>
  <c r="N265" i="3"/>
  <c r="R265" i="3"/>
  <c r="N241" i="3"/>
  <c r="R241" i="3"/>
  <c r="N229" i="3"/>
  <c r="R229" i="3"/>
  <c r="N217" i="3"/>
  <c r="R217" i="3"/>
  <c r="N205" i="3"/>
  <c r="R205" i="3"/>
  <c r="N193" i="3"/>
  <c r="R193" i="3"/>
  <c r="N181" i="3"/>
  <c r="R181" i="3"/>
  <c r="O430" i="3"/>
  <c r="O355" i="3"/>
  <c r="N281" i="3"/>
  <c r="N197" i="3"/>
  <c r="R197" i="3"/>
  <c r="N244" i="3"/>
  <c r="R244" i="3"/>
  <c r="N266" i="3"/>
  <c r="R266" i="3"/>
  <c r="N206" i="3"/>
  <c r="R206" i="3"/>
  <c r="N277" i="3"/>
  <c r="R288" i="3"/>
  <c r="N276" i="3"/>
  <c r="N264" i="3"/>
  <c r="R264" i="3"/>
  <c r="O240" i="3"/>
  <c r="R240" i="3"/>
  <c r="N228" i="3"/>
  <c r="R228" i="3"/>
  <c r="N216" i="3"/>
  <c r="R216" i="3"/>
  <c r="N204" i="3"/>
  <c r="R204" i="3"/>
  <c r="N192" i="3"/>
  <c r="R192" i="3"/>
  <c r="N180" i="3"/>
  <c r="R180" i="3"/>
  <c r="O96" i="3"/>
  <c r="R96" i="3"/>
  <c r="N84" i="3"/>
  <c r="R84" i="3"/>
  <c r="N339" i="3"/>
  <c r="N185" i="3"/>
  <c r="R185" i="3"/>
  <c r="N208" i="3"/>
  <c r="R208" i="3"/>
  <c r="N287" i="3"/>
  <c r="R287" i="3"/>
  <c r="N203" i="3"/>
  <c r="R203" i="3"/>
  <c r="N152" i="3"/>
  <c r="R152" i="3"/>
  <c r="N130" i="3"/>
  <c r="R130" i="3"/>
  <c r="N116" i="3"/>
  <c r="R116" i="3"/>
  <c r="O104" i="3"/>
  <c r="R104" i="3"/>
  <c r="O420" i="3"/>
  <c r="N403" i="3"/>
  <c r="O422" i="3"/>
  <c r="N269" i="3"/>
  <c r="R269" i="3"/>
  <c r="N275" i="3"/>
  <c r="N215" i="3"/>
  <c r="R215" i="3"/>
  <c r="N95" i="3"/>
  <c r="R95" i="3"/>
  <c r="N423" i="3"/>
  <c r="O328" i="3"/>
  <c r="O419" i="3"/>
  <c r="N221" i="3"/>
  <c r="R221" i="3"/>
  <c r="N280" i="3"/>
  <c r="N184" i="3"/>
  <c r="R184" i="3"/>
  <c r="N50" i="3"/>
  <c r="R50" i="3"/>
  <c r="N290" i="3"/>
  <c r="R290" i="3"/>
  <c r="N299" i="3"/>
  <c r="N227" i="3"/>
  <c r="R227" i="3"/>
  <c r="N298" i="3"/>
  <c r="R298" i="3"/>
  <c r="N262" i="3"/>
  <c r="R262" i="3"/>
  <c r="N214" i="3"/>
  <c r="R214" i="3"/>
  <c r="N190" i="3"/>
  <c r="R190" i="3"/>
  <c r="N178" i="3"/>
  <c r="R178" i="3"/>
  <c r="N297" i="3"/>
  <c r="R297" i="3"/>
  <c r="N285" i="3"/>
  <c r="R285" i="3"/>
  <c r="N273" i="3"/>
  <c r="N261" i="3"/>
  <c r="R261" i="3"/>
  <c r="N237" i="3"/>
  <c r="R237" i="3"/>
  <c r="N225" i="3"/>
  <c r="R225" i="3"/>
  <c r="N213" i="3"/>
  <c r="R213" i="3"/>
  <c r="N201" i="3"/>
  <c r="R201" i="3"/>
  <c r="N189" i="3"/>
  <c r="R189" i="3"/>
  <c r="N177" i="3"/>
  <c r="R177" i="3"/>
  <c r="N365" i="3"/>
  <c r="O408" i="3"/>
  <c r="N257" i="3"/>
  <c r="R257" i="3"/>
  <c r="N220" i="3"/>
  <c r="R220" i="3"/>
  <c r="N230" i="3"/>
  <c r="R230" i="3"/>
  <c r="N239" i="3"/>
  <c r="R239" i="3"/>
  <c r="N179" i="3"/>
  <c r="R179" i="3"/>
  <c r="N274" i="3"/>
  <c r="N226" i="3"/>
  <c r="R226" i="3"/>
  <c r="O296" i="3"/>
  <c r="R296" i="3"/>
  <c r="N272" i="3"/>
  <c r="O224" i="3"/>
  <c r="R224" i="3"/>
  <c r="N212" i="3"/>
  <c r="R212" i="3"/>
  <c r="N200" i="3"/>
  <c r="R200" i="3"/>
  <c r="N188" i="3"/>
  <c r="R188" i="3"/>
  <c r="O176" i="3"/>
  <c r="R176" i="3"/>
  <c r="N431" i="3"/>
  <c r="N209" i="3"/>
  <c r="R209" i="3"/>
  <c r="N292" i="3"/>
  <c r="R292" i="3"/>
  <c r="N196" i="3"/>
  <c r="R196" i="3"/>
  <c r="N93" i="3"/>
  <c r="R93" i="3"/>
  <c r="N254" i="3"/>
  <c r="R254" i="3"/>
  <c r="N263" i="3"/>
  <c r="R263" i="3"/>
  <c r="N191" i="3"/>
  <c r="R191" i="3"/>
  <c r="N286" i="3"/>
  <c r="R286" i="3"/>
  <c r="N250" i="3"/>
  <c r="R250" i="3"/>
  <c r="N202" i="3"/>
  <c r="R202" i="3"/>
  <c r="N284" i="3"/>
  <c r="R284" i="3"/>
  <c r="N236" i="3"/>
  <c r="R236" i="3"/>
  <c r="N295" i="3"/>
  <c r="R295" i="3"/>
  <c r="N283" i="3"/>
  <c r="N271" i="3"/>
  <c r="R271" i="3"/>
  <c r="N235" i="3"/>
  <c r="R235" i="3"/>
  <c r="N223" i="3"/>
  <c r="R223" i="3"/>
  <c r="N211" i="3"/>
  <c r="R211" i="3"/>
  <c r="N199" i="3"/>
  <c r="R199" i="3"/>
  <c r="N187" i="3"/>
  <c r="R187" i="3"/>
  <c r="N175" i="3"/>
  <c r="R175" i="3"/>
  <c r="N398" i="3"/>
  <c r="N293" i="3"/>
  <c r="R293" i="3"/>
  <c r="N294" i="3"/>
  <c r="R294" i="3"/>
  <c r="N282" i="3"/>
  <c r="N270" i="3"/>
  <c r="R270" i="3"/>
  <c r="N246" i="3"/>
  <c r="R246" i="3"/>
  <c r="N234" i="3"/>
  <c r="R234" i="3"/>
  <c r="N222" i="3"/>
  <c r="R222" i="3"/>
  <c r="N210" i="3"/>
  <c r="R210" i="3"/>
  <c r="N198" i="3"/>
  <c r="R198" i="3"/>
  <c r="N186" i="3"/>
  <c r="R186" i="3"/>
  <c r="N174" i="3"/>
  <c r="R174" i="3"/>
  <c r="O336" i="3"/>
  <c r="R13" i="3"/>
  <c r="N13" i="3"/>
  <c r="R9" i="3"/>
  <c r="N9" i="3"/>
  <c r="R5" i="3"/>
  <c r="N5" i="3"/>
  <c r="R4" i="3"/>
  <c r="N4" i="3"/>
  <c r="R3" i="3"/>
  <c r="N3" i="3"/>
  <c r="R594" i="3"/>
  <c r="R590" i="3"/>
  <c r="R582" i="3"/>
  <c r="R578" i="3"/>
  <c r="R558" i="3"/>
  <c r="R538" i="3"/>
  <c r="R526" i="3"/>
  <c r="R506" i="3"/>
  <c r="R480" i="3"/>
  <c r="R476" i="3"/>
  <c r="R472" i="3"/>
  <c r="R468" i="3"/>
  <c r="R464" i="3"/>
  <c r="R456" i="3"/>
  <c r="J309" i="3"/>
  <c r="L309" i="3" s="1"/>
  <c r="K309" i="3" s="1"/>
  <c r="J308" i="3"/>
  <c r="L308" i="3" s="1"/>
  <c r="K308" i="3" s="1"/>
  <c r="J307" i="3"/>
  <c r="L307" i="3" s="1"/>
  <c r="K307" i="3" s="1"/>
  <c r="J305" i="3"/>
  <c r="L305" i="3" s="1"/>
  <c r="K305" i="3" s="1"/>
  <c r="J304" i="3"/>
  <c r="L304" i="3" s="1"/>
  <c r="K304" i="3" s="1"/>
  <c r="J303" i="3"/>
  <c r="L303" i="3" s="1"/>
  <c r="K303" i="3" s="1"/>
  <c r="J302" i="3"/>
  <c r="L302" i="3" s="1"/>
  <c r="K302" i="3" s="1"/>
  <c r="J301" i="3"/>
  <c r="L301" i="3" s="1"/>
  <c r="K301" i="3" s="1"/>
  <c r="J300" i="3"/>
  <c r="L300" i="3" s="1"/>
  <c r="K300" i="3" s="1"/>
  <c r="J2" i="3"/>
  <c r="L2" i="3" s="1"/>
  <c r="K2" i="3" s="1"/>
  <c r="R12" i="3" l="1"/>
  <c r="R47" i="3"/>
  <c r="R27" i="3"/>
  <c r="R148" i="3"/>
  <c r="R41" i="3"/>
  <c r="R138" i="3"/>
  <c r="R132" i="3"/>
  <c r="R16" i="3"/>
  <c r="R139" i="3"/>
  <c r="R153" i="3"/>
  <c r="R86" i="3"/>
  <c r="R155" i="3"/>
  <c r="R146" i="3"/>
  <c r="R8" i="3"/>
  <c r="R10" i="3"/>
  <c r="R164" i="3"/>
  <c r="O10" i="3"/>
  <c r="R77" i="3"/>
  <c r="R61" i="3"/>
  <c r="R32" i="3"/>
  <c r="R111" i="3"/>
  <c r="O8" i="3"/>
  <c r="R158" i="3"/>
  <c r="R24" i="3"/>
  <c r="R157" i="3"/>
  <c r="R30" i="3"/>
  <c r="R163" i="3"/>
  <c r="R34" i="3"/>
  <c r="R45" i="3"/>
  <c r="R94" i="3"/>
  <c r="R26" i="3"/>
  <c r="R15" i="3"/>
  <c r="R99" i="3"/>
  <c r="R100" i="3"/>
  <c r="R118" i="3"/>
  <c r="R78" i="3"/>
  <c r="R141" i="3"/>
  <c r="R108" i="3"/>
  <c r="R37" i="3"/>
  <c r="R134" i="3"/>
  <c r="R69" i="3"/>
  <c r="R107" i="3"/>
  <c r="R62" i="3"/>
  <c r="R115" i="3"/>
  <c r="R23" i="3"/>
  <c r="R131" i="3"/>
  <c r="R38" i="3"/>
  <c r="R17" i="3"/>
  <c r="R149" i="3"/>
  <c r="R20" i="3"/>
  <c r="R67" i="3"/>
  <c r="R18" i="3"/>
  <c r="R21" i="3"/>
  <c r="R238" i="3"/>
  <c r="R97" i="3"/>
  <c r="R92" i="3"/>
  <c r="R46" i="3"/>
  <c r="R49" i="3"/>
  <c r="R89" i="3"/>
  <c r="R59" i="3"/>
  <c r="R167" i="3"/>
  <c r="R113" i="3"/>
  <c r="R151" i="3"/>
  <c r="R63" i="3"/>
  <c r="R147" i="3"/>
  <c r="R76" i="3"/>
  <c r="R42" i="3"/>
  <c r="R57" i="3"/>
  <c r="R33" i="3"/>
  <c r="R82" i="3"/>
  <c r="R73" i="3"/>
  <c r="R19" i="3"/>
  <c r="R87" i="3"/>
  <c r="R159" i="3"/>
  <c r="R88" i="3"/>
  <c r="R81" i="3"/>
  <c r="R60" i="3"/>
  <c r="R83" i="3"/>
  <c r="R137" i="3"/>
  <c r="R65" i="3"/>
  <c r="R35" i="3"/>
  <c r="R143" i="3"/>
  <c r="R74" i="3"/>
  <c r="R29" i="3"/>
  <c r="R161" i="3"/>
  <c r="R44" i="3"/>
  <c r="R79" i="3"/>
  <c r="R51" i="3"/>
  <c r="R135" i="3"/>
  <c r="R64" i="3"/>
  <c r="R117" i="3"/>
  <c r="R140" i="3"/>
  <c r="R71" i="3"/>
  <c r="R36" i="3"/>
  <c r="R124" i="3"/>
  <c r="R125" i="3"/>
  <c r="R66" i="3"/>
  <c r="R14" i="3"/>
  <c r="R31" i="3"/>
  <c r="R72" i="3"/>
  <c r="R43" i="3"/>
  <c r="R247" i="3"/>
  <c r="R39" i="3"/>
  <c r="R123" i="3"/>
  <c r="R28" i="3"/>
  <c r="R160" i="3"/>
  <c r="R150" i="3"/>
  <c r="R22" i="3"/>
  <c r="R85" i="3"/>
  <c r="R68" i="3"/>
  <c r="R156" i="3"/>
  <c r="R25" i="3"/>
  <c r="R110" i="3"/>
  <c r="O70" i="3"/>
  <c r="O7" i="3"/>
  <c r="N168" i="3"/>
  <c r="O121" i="3"/>
  <c r="O58" i="3"/>
  <c r="N112" i="3"/>
  <c r="N288" i="3"/>
  <c r="O200" i="3"/>
  <c r="O56" i="3"/>
  <c r="O172" i="3"/>
  <c r="O205" i="3"/>
  <c r="O80" i="3"/>
  <c r="O243" i="3"/>
  <c r="O267" i="3"/>
  <c r="N296" i="3"/>
  <c r="O162" i="3"/>
  <c r="O220" i="3"/>
  <c r="O201" i="3"/>
  <c r="O54" i="3"/>
  <c r="O281" i="3"/>
  <c r="O251" i="3"/>
  <c r="O127" i="3"/>
  <c r="O218" i="3"/>
  <c r="O265" i="3"/>
  <c r="O52" i="3"/>
  <c r="O298" i="3"/>
  <c r="O270" i="3"/>
  <c r="O219" i="3"/>
  <c r="O177" i="3"/>
  <c r="O95" i="3"/>
  <c r="O204" i="3"/>
  <c r="O213" i="3"/>
  <c r="O233" i="3"/>
  <c r="O188" i="3"/>
  <c r="O269" i="3"/>
  <c r="N96" i="3"/>
  <c r="N40" i="3"/>
  <c r="O196" i="3"/>
  <c r="O293" i="3"/>
  <c r="O175" i="3"/>
  <c r="O195" i="3"/>
  <c r="O193" i="3"/>
  <c r="O183" i="3"/>
  <c r="O225" i="3"/>
  <c r="O178" i="3"/>
  <c r="O180" i="3"/>
  <c r="O245" i="3"/>
  <c r="O119" i="3"/>
  <c r="O264" i="3"/>
  <c r="O255" i="3"/>
  <c r="N48" i="3"/>
  <c r="O165" i="3"/>
  <c r="O182" i="3"/>
  <c r="O287" i="3"/>
  <c r="O90" i="3"/>
  <c r="O297" i="3"/>
  <c r="O221" i="3"/>
  <c r="N240" i="3"/>
  <c r="O250" i="3"/>
  <c r="O227" i="3"/>
  <c r="O252" i="3"/>
  <c r="O271" i="3"/>
  <c r="O289" i="3"/>
  <c r="O102" i="3"/>
  <c r="O279" i="3"/>
  <c r="O234" i="3"/>
  <c r="O259" i="3"/>
  <c r="O197" i="3"/>
  <c r="O222" i="3"/>
  <c r="O274" i="3"/>
  <c r="O166" i="3"/>
  <c r="O249" i="3"/>
  <c r="O114" i="3"/>
  <c r="O174" i="3"/>
  <c r="O128" i="3"/>
  <c r="O283" i="3"/>
  <c r="O284" i="3"/>
  <c r="O261" i="3"/>
  <c r="O190" i="3"/>
  <c r="O144" i="3"/>
  <c r="O145" i="3"/>
  <c r="O276" i="3"/>
  <c r="O291" i="3"/>
  <c r="O223" i="3"/>
  <c r="O192" i="3"/>
  <c r="O217" i="3"/>
  <c r="O247" i="3"/>
  <c r="N104" i="3"/>
  <c r="O292" i="3"/>
  <c r="O214" i="3"/>
  <c r="O184" i="3"/>
  <c r="O91" i="3"/>
  <c r="O187" i="3"/>
  <c r="O133" i="3"/>
  <c r="O246" i="3"/>
  <c r="O208" i="3"/>
  <c r="O290" i="3"/>
  <c r="O237" i="3"/>
  <c r="O50" i="3"/>
  <c r="O186" i="3"/>
  <c r="O207" i="3"/>
  <c r="O179" i="3"/>
  <c r="O116" i="3"/>
  <c r="O53" i="3"/>
  <c r="O129" i="3"/>
  <c r="O238" i="3"/>
  <c r="O194" i="3"/>
  <c r="O6" i="3"/>
  <c r="O254" i="3"/>
  <c r="O256" i="3"/>
  <c r="O170" i="3"/>
  <c r="O266" i="3"/>
  <c r="O242" i="3"/>
  <c r="O295" i="3"/>
  <c r="O126" i="3"/>
  <c r="O109" i="3"/>
  <c r="O253" i="3"/>
  <c r="O142" i="3"/>
  <c r="O278" i="3"/>
  <c r="O199" i="3"/>
  <c r="O248" i="3"/>
  <c r="N176" i="3"/>
  <c r="O105" i="3"/>
  <c r="O229" i="3"/>
  <c r="O191" i="3"/>
  <c r="O216" i="3"/>
  <c r="O11" i="3"/>
  <c r="O275" i="3"/>
  <c r="O212" i="3"/>
  <c r="O286" i="3"/>
  <c r="O185" i="3"/>
  <c r="O209" i="3"/>
  <c r="O120" i="3"/>
  <c r="O130" i="3"/>
  <c r="O228" i="3"/>
  <c r="O173" i="3"/>
  <c r="O285" i="3"/>
  <c r="O239" i="3"/>
  <c r="O280" i="3"/>
  <c r="O169" i="3"/>
  <c r="O258" i="3"/>
  <c r="O101" i="3"/>
  <c r="O75" i="3"/>
  <c r="O294" i="3"/>
  <c r="O210" i="3"/>
  <c r="O299" i="3"/>
  <c r="O244" i="3"/>
  <c r="O181" i="3"/>
  <c r="O55" i="3"/>
  <c r="O136" i="3"/>
  <c r="O206" i="3"/>
  <c r="N224" i="3"/>
  <c r="O84" i="3"/>
  <c r="O103" i="3"/>
  <c r="O263" i="3"/>
  <c r="O152" i="3"/>
  <c r="O98" i="3"/>
  <c r="O106" i="3"/>
  <c r="O81" i="3"/>
  <c r="O235" i="3"/>
  <c r="O260" i="3"/>
  <c r="O262" i="3"/>
  <c r="O202" i="3"/>
  <c r="O51" i="3"/>
  <c r="O268" i="3"/>
  <c r="O277" i="3"/>
  <c r="O241" i="3"/>
  <c r="N308" i="3"/>
  <c r="R308" i="3"/>
  <c r="N300" i="3"/>
  <c r="R300" i="3"/>
  <c r="O189" i="3"/>
  <c r="O122" i="3"/>
  <c r="O154" i="3"/>
  <c r="O282" i="3"/>
  <c r="N302" i="3"/>
  <c r="R302" i="3"/>
  <c r="O171" i="3"/>
  <c r="O198" i="3"/>
  <c r="O215" i="3"/>
  <c r="N303" i="3"/>
  <c r="R303" i="3"/>
  <c r="N309" i="3"/>
  <c r="R309" i="3"/>
  <c r="O231" i="3"/>
  <c r="O273" i="3"/>
  <c r="O304" i="3"/>
  <c r="R304" i="3"/>
  <c r="O93" i="3"/>
  <c r="O272" i="3"/>
  <c r="O203" i="3"/>
  <c r="O230" i="3"/>
  <c r="O57" i="3"/>
  <c r="N301" i="3"/>
  <c r="R301" i="3"/>
  <c r="N232" i="3"/>
  <c r="N305" i="3"/>
  <c r="R305" i="3"/>
  <c r="N307" i="3"/>
  <c r="R307" i="3"/>
  <c r="O211" i="3"/>
  <c r="O257" i="3"/>
  <c r="O236" i="3"/>
  <c r="O226" i="3"/>
  <c r="O134" i="3"/>
  <c r="O132" i="3"/>
  <c r="O135" i="3"/>
  <c r="O131" i="3"/>
  <c r="O167" i="3"/>
  <c r="O164" i="3"/>
  <c r="O159" i="3"/>
  <c r="N160" i="3"/>
  <c r="O163" i="3"/>
  <c r="O161" i="3"/>
  <c r="O157" i="3"/>
  <c r="O155" i="3"/>
  <c r="O158" i="3"/>
  <c r="O148" i="3"/>
  <c r="O156" i="3"/>
  <c r="O151" i="3"/>
  <c r="O153" i="3"/>
  <c r="O150" i="3"/>
  <c r="O149" i="3"/>
  <c r="O113" i="3"/>
  <c r="O147" i="3"/>
  <c r="O146" i="3"/>
  <c r="O141" i="3"/>
  <c r="O143" i="3"/>
  <c r="O140" i="3"/>
  <c r="O138" i="3"/>
  <c r="O139" i="3"/>
  <c r="O118" i="3"/>
  <c r="O137" i="3"/>
  <c r="O124" i="3"/>
  <c r="O123" i="3"/>
  <c r="O125" i="3"/>
  <c r="O117" i="3"/>
  <c r="O115" i="3"/>
  <c r="O107" i="3"/>
  <c r="O111" i="3"/>
  <c r="O108" i="3"/>
  <c r="O110" i="3"/>
  <c r="O100" i="3"/>
  <c r="O99" i="3"/>
  <c r="O92" i="3"/>
  <c r="O89" i="3"/>
  <c r="O97" i="3"/>
  <c r="O87" i="3"/>
  <c r="O88" i="3"/>
  <c r="O86" i="3"/>
  <c r="O49" i="3"/>
  <c r="O33" i="3"/>
  <c r="O85" i="3"/>
  <c r="O83" i="3"/>
  <c r="O76" i="3"/>
  <c r="O77" i="3"/>
  <c r="O78" i="3"/>
  <c r="O94" i="3"/>
  <c r="O74" i="3"/>
  <c r="O82" i="3"/>
  <c r="O47" i="3"/>
  <c r="O79" i="3"/>
  <c r="O72" i="3"/>
  <c r="O71" i="3"/>
  <c r="O73" i="3"/>
  <c r="O68" i="3"/>
  <c r="O69" i="3"/>
  <c r="O65" i="3"/>
  <c r="O67" i="3"/>
  <c r="O66" i="3"/>
  <c r="O60" i="3"/>
  <c r="O64" i="3"/>
  <c r="O63" i="3"/>
  <c r="O62" i="3"/>
  <c r="O61" i="3"/>
  <c r="O59" i="3"/>
  <c r="O43" i="3"/>
  <c r="O46" i="3"/>
  <c r="O45" i="3"/>
  <c r="O41" i="3"/>
  <c r="O36" i="3"/>
  <c r="O44" i="3"/>
  <c r="O42" i="3"/>
  <c r="O38" i="3"/>
  <c r="O39" i="3"/>
  <c r="O37" i="3"/>
  <c r="O34" i="3"/>
  <c r="O35" i="3"/>
  <c r="N32" i="3"/>
  <c r="O31" i="3"/>
  <c r="O27" i="3"/>
  <c r="O29" i="3"/>
  <c r="O28" i="3"/>
  <c r="O30" i="3"/>
  <c r="O26" i="3"/>
  <c r="O25" i="3"/>
  <c r="O22" i="3"/>
  <c r="O20" i="3"/>
  <c r="O24" i="3"/>
  <c r="O23" i="3"/>
  <c r="O19" i="3"/>
  <c r="O16" i="3"/>
  <c r="O15" i="3"/>
  <c r="O17" i="3"/>
  <c r="O13" i="3"/>
  <c r="O14" i="3"/>
  <c r="O12" i="3"/>
  <c r="O9" i="3"/>
  <c r="O5" i="3"/>
  <c r="O3" i="3"/>
  <c r="O18" i="3"/>
  <c r="O4" i="3"/>
  <c r="R2" i="3"/>
  <c r="R562" i="3"/>
  <c r="R580" i="3"/>
  <c r="R584" i="3"/>
  <c r="R466" i="3"/>
  <c r="R654" i="3"/>
  <c r="R650" i="3"/>
  <c r="R598" i="3"/>
  <c r="R606" i="3"/>
  <c r="R638" i="3"/>
  <c r="R546" i="3"/>
  <c r="R570" i="3"/>
  <c r="R626" i="3"/>
  <c r="R550" i="3"/>
  <c r="R630" i="3"/>
  <c r="R536" i="3"/>
  <c r="R618" i="3"/>
  <c r="R658" i="3"/>
  <c r="R634" i="3"/>
  <c r="R574" i="3"/>
  <c r="R610" i="3"/>
  <c r="R642" i="3"/>
  <c r="R530" i="3"/>
  <c r="R662" i="3"/>
  <c r="R504" i="3"/>
  <c r="R614" i="3"/>
  <c r="R646" i="3"/>
  <c r="R602" i="3"/>
  <c r="R622" i="3"/>
  <c r="R454" i="3"/>
  <c r="R470" i="3"/>
  <c r="R548" i="3"/>
  <c r="R552" i="3"/>
  <c r="R608" i="3"/>
  <c r="R612" i="3"/>
  <c r="R616" i="3"/>
  <c r="R620" i="3"/>
  <c r="R624" i="3"/>
  <c r="R628" i="3"/>
  <c r="R632" i="3"/>
  <c r="R636" i="3"/>
  <c r="R640" i="3"/>
  <c r="R644" i="3"/>
  <c r="R648" i="3"/>
  <c r="R652" i="3"/>
  <c r="R656" i="3"/>
  <c r="R660" i="3"/>
  <c r="R452" i="3"/>
  <c r="R451" i="3"/>
  <c r="R462" i="3"/>
  <c r="R448" i="3"/>
  <c r="R474" i="3"/>
  <c r="R492" i="3"/>
  <c r="R509" i="3"/>
  <c r="R515" i="3"/>
  <c r="R540" i="3"/>
  <c r="R554" i="3"/>
  <c r="R587" i="3"/>
  <c r="R501" i="3"/>
  <c r="R460" i="3"/>
  <c r="R528" i="3"/>
  <c r="R542" i="3"/>
  <c r="R455" i="3"/>
  <c r="R469" i="3"/>
  <c r="R498" i="3"/>
  <c r="R549" i="3"/>
  <c r="R611" i="3"/>
  <c r="R443" i="3"/>
  <c r="R484" i="3"/>
  <c r="R494" i="3"/>
  <c r="R510" i="3"/>
  <c r="R516" i="3"/>
  <c r="R532" i="3"/>
  <c r="R653" i="3"/>
  <c r="R657" i="3"/>
  <c r="R485" i="3"/>
  <c r="R496" i="3"/>
  <c r="R505" i="3"/>
  <c r="R511" i="3"/>
  <c r="R522" i="3"/>
  <c r="R537" i="3"/>
  <c r="R463" i="3"/>
  <c r="R481" i="3"/>
  <c r="R497" i="3"/>
  <c r="R523" i="3"/>
  <c r="R566" i="3"/>
  <c r="R575" i="3"/>
  <c r="R449" i="3"/>
  <c r="R513" i="3"/>
  <c r="R524" i="3"/>
  <c r="R446" i="3"/>
  <c r="R459" i="3"/>
  <c r="R477" i="3"/>
  <c r="R488" i="3"/>
  <c r="R493" i="3"/>
  <c r="R502" i="3"/>
  <c r="R529" i="3"/>
  <c r="R533" i="3"/>
  <c r="R541" i="3"/>
  <c r="R586" i="3"/>
  <c r="R607" i="3"/>
  <c r="R453" i="3"/>
  <c r="R467" i="3"/>
  <c r="R499" i="3"/>
  <c r="R503" i="3"/>
  <c r="R512" i="3"/>
  <c r="R520" i="3"/>
  <c r="R525" i="3"/>
  <c r="R534" i="3"/>
  <c r="R543" i="3"/>
  <c r="R555" i="3"/>
  <c r="R639" i="3"/>
  <c r="R457" i="3"/>
  <c r="R471" i="3"/>
  <c r="R486" i="3"/>
  <c r="R495" i="3"/>
  <c r="R507" i="3"/>
  <c r="R517" i="3"/>
  <c r="R592" i="3"/>
  <c r="R604" i="3"/>
  <c r="R643" i="3"/>
  <c r="R444" i="3"/>
  <c r="R461" i="3"/>
  <c r="R475" i="3"/>
  <c r="R490" i="3"/>
  <c r="R500" i="3"/>
  <c r="R531" i="3"/>
  <c r="R535" i="3"/>
  <c r="R560" i="3"/>
  <c r="R572" i="3"/>
  <c r="R601" i="3"/>
  <c r="R447" i="3"/>
  <c r="R450" i="3"/>
  <c r="R465" i="3"/>
  <c r="R479" i="3"/>
  <c r="R483" i="3"/>
  <c r="R491" i="3"/>
  <c r="R508" i="3"/>
  <c r="R514" i="3"/>
  <c r="R518" i="3"/>
  <c r="R527" i="3"/>
  <c r="R539" i="3"/>
  <c r="R569" i="3"/>
  <c r="R581" i="3"/>
  <c r="R621" i="3"/>
  <c r="R625" i="3"/>
  <c r="R561" i="3"/>
  <c r="R567" i="3"/>
  <c r="R593" i="3"/>
  <c r="R599" i="3"/>
  <c r="R615" i="3"/>
  <c r="R629" i="3"/>
  <c r="R647" i="3"/>
  <c r="R661" i="3"/>
  <c r="R547" i="3"/>
  <c r="R573" i="3"/>
  <c r="R579" i="3"/>
  <c r="R605" i="3"/>
  <c r="R619" i="3"/>
  <c r="R633" i="3"/>
  <c r="R651" i="3"/>
  <c r="R553" i="3"/>
  <c r="R559" i="3"/>
  <c r="R564" i="3"/>
  <c r="R585" i="3"/>
  <c r="R591" i="3"/>
  <c r="R596" i="3"/>
  <c r="R623" i="3"/>
  <c r="R637" i="3"/>
  <c r="R655" i="3"/>
  <c r="R544" i="3"/>
  <c r="R565" i="3"/>
  <c r="R571" i="3"/>
  <c r="R576" i="3"/>
  <c r="R597" i="3"/>
  <c r="R603" i="3"/>
  <c r="R609" i="3"/>
  <c r="R627" i="3"/>
  <c r="R641" i="3"/>
  <c r="R659" i="3"/>
  <c r="R545" i="3"/>
  <c r="R551" i="3"/>
  <c r="R556" i="3"/>
  <c r="R577" i="3"/>
  <c r="R583" i="3"/>
  <c r="R588" i="3"/>
  <c r="R613" i="3"/>
  <c r="R631" i="3"/>
  <c r="R645" i="3"/>
  <c r="R663" i="3"/>
  <c r="R487" i="3"/>
  <c r="R489" i="3"/>
  <c r="R519" i="3"/>
  <c r="R521" i="3"/>
  <c r="R557" i="3"/>
  <c r="R563" i="3"/>
  <c r="R568" i="3"/>
  <c r="R589" i="3"/>
  <c r="R595" i="3"/>
  <c r="R600" i="3"/>
  <c r="R617" i="3"/>
  <c r="R635" i="3"/>
  <c r="R649" i="3"/>
  <c r="O305" i="3" l="1"/>
  <c r="O303" i="3"/>
  <c r="O302" i="3"/>
  <c r="N304" i="3"/>
  <c r="O300" i="3"/>
  <c r="O308" i="3"/>
  <c r="N306" i="3"/>
  <c r="R306" i="3"/>
  <c r="O309" i="3"/>
  <c r="O307" i="3"/>
  <c r="O301" i="3"/>
  <c r="O2" i="3"/>
  <c r="O306" i="3" l="1"/>
</calcChain>
</file>

<file path=xl/sharedStrings.xml><?xml version="1.0" encoding="utf-8"?>
<sst xmlns="http://schemas.openxmlformats.org/spreadsheetml/2006/main" count="6354" uniqueCount="1638">
  <si>
    <t>TIPO DE SOLICITUD</t>
  </si>
  <si>
    <t xml:space="preserve">NOMBRE </t>
  </si>
  <si>
    <t>ENTIDAD</t>
  </si>
  <si>
    <t>ASUNTO</t>
  </si>
  <si>
    <t>RADICADO</t>
  </si>
  <si>
    <t>FECHA DE INGRESO DE LA SOLICITUD</t>
  </si>
  <si>
    <t xml:space="preserve">ANEXOS </t>
  </si>
  <si>
    <t>PROCESO  RESPONSABLE</t>
  </si>
  <si>
    <t>TERMINO</t>
  </si>
  <si>
    <t>POSIBLES DIAS RESTANTES</t>
  </si>
  <si>
    <t>FECHA DE VENCIMIENTO</t>
  </si>
  <si>
    <t>ALERTA</t>
  </si>
  <si>
    <t>ALERTA 2</t>
  </si>
  <si>
    <t>CONSECUTIVO</t>
  </si>
  <si>
    <t>FECHA DE SALIDA</t>
  </si>
  <si>
    <t>DIAS QUE LE SOBRARON</t>
  </si>
  <si>
    <t>OTRO</t>
  </si>
  <si>
    <t xml:space="preserve">MAYRA ARTUNDUAGA </t>
  </si>
  <si>
    <t xml:space="preserve">ESAC </t>
  </si>
  <si>
    <t xml:space="preserve">DESAFILIACIONES </t>
  </si>
  <si>
    <t xml:space="preserve">COMERCIAL </t>
  </si>
  <si>
    <t xml:space="preserve">LAURA GIRALDO </t>
  </si>
  <si>
    <t>CE-GC-007</t>
  </si>
  <si>
    <t>CE-GC-008</t>
  </si>
  <si>
    <t xml:space="preserve">CARLOS ALMERO VIDEL </t>
  </si>
  <si>
    <t xml:space="preserve">USUARIO </t>
  </si>
  <si>
    <t xml:space="preserve">COTIZACIÓN </t>
  </si>
  <si>
    <t>CE-GC-0011</t>
  </si>
  <si>
    <t>si salen en engativo sobraron</t>
  </si>
  <si>
    <t>CE-GC-0010</t>
  </si>
  <si>
    <t>si salen positivos nos pasamos</t>
  </si>
  <si>
    <t xml:space="preserve">EMITIDO POR LA ALCALDIA </t>
  </si>
  <si>
    <t xml:space="preserve">ALCALDIA </t>
  </si>
  <si>
    <t>TRASLADO POR COMPETENCIA -MARIA MARGARITALOPEZ GOMEZ</t>
  </si>
  <si>
    <t>CE-GC-0055</t>
  </si>
  <si>
    <t>KARLA JOHANA LISCANO CORREA</t>
  </si>
  <si>
    <t xml:space="preserve">ACTA DEL COMITÉ DE CONOCIMIENTO DE RIESGO </t>
  </si>
  <si>
    <t xml:space="preserve">NO REQUIERE RESPUESTA </t>
  </si>
  <si>
    <t xml:space="preserve">ESTHER JULIA GOMEZ </t>
  </si>
  <si>
    <t xml:space="preserve">DERECHO DE PETICIÓN </t>
  </si>
  <si>
    <t>CE-GC-0113</t>
  </si>
  <si>
    <t xml:space="preserve">OMAR JOSE MAESTRE FELIZZOLA </t>
  </si>
  <si>
    <t>SUPER</t>
  </si>
  <si>
    <t xml:space="preserve">REMISIÓN MESA DE TRABAJO </t>
  </si>
  <si>
    <t>JURÍDICA</t>
  </si>
  <si>
    <t>ADRIANA GUZMÁN BUITRAGO</t>
  </si>
  <si>
    <t xml:space="preserve">USUARIO DE SERVINTEGRAL </t>
  </si>
  <si>
    <t>CE-GC-0065</t>
  </si>
  <si>
    <t xml:space="preserve">GINA PAOLA RIVERA CHACON </t>
  </si>
  <si>
    <t xml:space="preserve">RESPUESTA DE VINCULACIÓN </t>
  </si>
  <si>
    <t>CE-GC-0012</t>
  </si>
  <si>
    <t xml:space="preserve">EQUIPO DE VERIFICACIÓN </t>
  </si>
  <si>
    <t xml:space="preserve">ACTUALIZACIÓN DE INFORMACIÓN </t>
  </si>
  <si>
    <t xml:space="preserve">MARIA GLORIA CUELLAR LOZANO </t>
  </si>
  <si>
    <t xml:space="preserve">INMUEBLE DESOCUPADO </t>
  </si>
  <si>
    <t>CE-GC-0033</t>
  </si>
  <si>
    <t>DIANA MARCELA PERDOMO BELTRÁN</t>
  </si>
  <si>
    <t xml:space="preserve">SUPER </t>
  </si>
  <si>
    <t>Respuesta al radicado de entrada SSPD No. 20255294845332 de fecha 20 de
noviembre de 2025 - Respuesta a solicitud con radicado interno 2529 del 4 de noviembre de 2025.
“Radicado CE-GT-2420 (Respuesta a Radicado No. 2437 del 20 de octubre de
2025.Requerimiento Ordinario No. 49 - 3458)”</t>
  </si>
  <si>
    <t xml:space="preserve">ISMAEL SILVA ALVAREZ </t>
  </si>
  <si>
    <t xml:space="preserve">GAS CAQUETA </t>
  </si>
  <si>
    <t xml:space="preserve">SOLICITUD DE CERTIFICADO </t>
  </si>
  <si>
    <t>CE-GC-0014</t>
  </si>
  <si>
    <t xml:space="preserve">LORENA CASTAÑO </t>
  </si>
  <si>
    <t xml:space="preserve">SAMAMB </t>
  </si>
  <si>
    <t xml:space="preserve">CARACTERIZACIÓN </t>
  </si>
  <si>
    <t xml:space="preserve">RESIDUOS </t>
  </si>
  <si>
    <t xml:space="preserve">PROPUESTA </t>
  </si>
  <si>
    <t xml:space="preserve">FREDY HERNAN TEJADA </t>
  </si>
  <si>
    <t>ELECTROCAQUETA</t>
  </si>
  <si>
    <t>Respuesta a oficio CE-GC-0002 del 05-01-2026 con Rad interno No 2026-1-1-75 del 06-01-2026</t>
  </si>
  <si>
    <t>Respuesta a oficio CE-GC-0001 del 05-1-2026 con Rad interno No 2026-1-1-74 del 06-01-2026</t>
  </si>
  <si>
    <t>LUZ ELIANA TOBON MUÑOZ</t>
  </si>
  <si>
    <t xml:space="preserve">SOLICITD DE ESCOMBROS </t>
  </si>
  <si>
    <t>CE-GC-0073</t>
  </si>
  <si>
    <t xml:space="preserve">NANCY BOHORQUEZ </t>
  </si>
  <si>
    <t xml:space="preserve">SOLICITD DE DESCUENTO EN LA DEUDA DE ASEO </t>
  </si>
  <si>
    <t>CE-GC-0050</t>
  </si>
  <si>
    <t xml:space="preserve">EMA </t>
  </si>
  <si>
    <t xml:space="preserve">REFERENCIAS PERSONALES </t>
  </si>
  <si>
    <t>TALENTO HUMANO</t>
  </si>
  <si>
    <t>LEONOR RODRIGUEZ CELIS</t>
  </si>
  <si>
    <t xml:space="preserve">AGRADECIMIENTO </t>
  </si>
  <si>
    <t xml:space="preserve">YULIANA ESCOBAR </t>
  </si>
  <si>
    <t>ESAC</t>
  </si>
  <si>
    <t xml:space="preserve">NOTIFICACIÓN PERSONAL </t>
  </si>
  <si>
    <t>WILLIAM EDMUNDO PIEDRAHITA MAYA</t>
  </si>
  <si>
    <t xml:space="preserve">CORPOAMAZONIA </t>
  </si>
  <si>
    <t xml:space="preserve">TRASLADO POR COMPETENCIA </t>
  </si>
  <si>
    <t>LUIS MANUEL ESPINOSA CALDERON</t>
  </si>
  <si>
    <t>ALCALDIA</t>
  </si>
  <si>
    <t xml:space="preserve">SOLICITUD DE INFORMACIÓN PARA LIQUIDAR EL CONCURSO ECONOMICO </t>
  </si>
  <si>
    <t>Javier Hernán Puyo Plazas</t>
  </si>
  <si>
    <t xml:space="preserve">MINESTERIO DE TRABAJO </t>
  </si>
  <si>
    <t xml:space="preserve">Derecho de Petición fechado el día 23/12/2025   </t>
  </si>
  <si>
    <t xml:space="preserve">LUIS ZAPATA OROZCO </t>
  </si>
  <si>
    <t xml:space="preserve">SOLICITUD DE 1 LETRERO </t>
  </si>
  <si>
    <t xml:space="preserve">CLAUDIA TOVAR </t>
  </si>
  <si>
    <t xml:space="preserve">VINCULACIÓN DIRECTA </t>
  </si>
  <si>
    <t xml:space="preserve">MARIA IRAIDES HERRERA GAITAN </t>
  </si>
  <si>
    <t xml:space="preserve">GLORIA CECILIA COLLAZOS </t>
  </si>
  <si>
    <t>MARIBEL TOVAR</t>
  </si>
  <si>
    <t xml:space="preserve">DESAFILIACIÓN </t>
  </si>
  <si>
    <t>Martha Lucía Maldonado N.</t>
  </si>
  <si>
    <t> Conversaciones clave para la agenda empresarial de 2026</t>
  </si>
  <si>
    <t xml:space="preserve">GERMAN HURTADO </t>
  </si>
  <si>
    <t>SOLICITUD DE LIMPIEZA</t>
  </si>
  <si>
    <t xml:space="preserve">REINALDO SALAZAR </t>
  </si>
  <si>
    <t xml:space="preserve">CANCELACIÓN DE GASTOS PROVACDOS POR EL VEHICULO </t>
  </si>
  <si>
    <t>DENIS YOHANNA PEÑA PERALTA</t>
  </si>
  <si>
    <t>Solicitud de recolección para destrucción de materiales</t>
  </si>
  <si>
    <t>karen tatiana Méndez rubiano </t>
  </si>
  <si>
    <t xml:space="preserve">ABAGAIL PAEZ </t>
  </si>
  <si>
    <t>LEONIDAS TOVAR DIAZ</t>
  </si>
  <si>
    <t xml:space="preserve">SOLICITUD DE 300 LADRILLOS </t>
  </si>
  <si>
    <t>PEDRO PINZON ALVAREZ</t>
  </si>
  <si>
    <t xml:space="preserve">SOLICITUD DE PAZ Y SALVO </t>
  </si>
  <si>
    <t xml:space="preserve">IGNACIO YUSTE URBANO </t>
  </si>
  <si>
    <t>NANCY ORTIZ PEREZ</t>
  </si>
  <si>
    <t xml:space="preserve">JUAN GUILLERMO </t>
  </si>
  <si>
    <t>SOLICITUD DE CERTIFICADO</t>
  </si>
  <si>
    <t>DIANA MARCELA SUÁREZ JIMÉNEZ</t>
  </si>
  <si>
    <t>Lic. Ricardo Sarmiento.</t>
  </si>
  <si>
    <t> Obligación RIVADENEIRA SANJUAN EXMITH - Tramite de oficio judicial</t>
  </si>
  <si>
    <t>Obligación RIVADENEIRA SANJUAN EXMITH - Tramite de oficio judicial</t>
  </si>
  <si>
    <t>JUZGADO CUARTO CIVIL MUNICIPAL DE FLORENCIA - CAQUETÁ</t>
  </si>
  <si>
    <t xml:space="preserve">JUZGADO </t>
  </si>
  <si>
    <t>SE NOTIFICA AUTO ADMITE TUTELA RAD 2026-00032</t>
  </si>
  <si>
    <t xml:space="preserve">CLAUDIA MARCELA CONTRERAS </t>
  </si>
  <si>
    <t>JUNTA REGIONAL</t>
  </si>
  <si>
    <t>NOTIFICACION DICTAMEN MARIANO OSWALDO ROJAS ARANGO No 07202600012</t>
  </si>
  <si>
    <t xml:space="preserve">KAREN VARGAS </t>
  </si>
  <si>
    <t xml:space="preserve">YINETH CABALLERO </t>
  </si>
  <si>
    <t>SOLIICTUD DE PAZ Y SALVO</t>
  </si>
  <si>
    <t>DONEIRA VASQUEZ</t>
  </si>
  <si>
    <t xml:space="preserve">SOLICITUD DE PODA </t>
  </si>
  <si>
    <t>Derecho de Petición fechado el día 23/12/2025</t>
  </si>
  <si>
    <t xml:space="preserve">CHRISTYAM CAMILO SALAZAR ROJAS </t>
  </si>
  <si>
    <t>3200.09.116-025 Respuesta a informe de Censo de Puntos Críticos – Mes de enero de 2026. CE-GC-0058 </t>
  </si>
  <si>
    <t>DIOSELINA HERNANDEZ MARTINEZ</t>
  </si>
  <si>
    <t>INMUEBLE DESOCUPADO</t>
  </si>
  <si>
    <t>Compulsa de copias para creación de denuncia</t>
  </si>
  <si>
    <t>DIANA MILENA LEON GALINDO</t>
  </si>
  <si>
    <t>Agustina Ascencio Lozano</t>
  </si>
  <si>
    <t>SOLICITUD DE REVISION DE BASURA Calle 25 #7A-03, Barrio Ricaurte</t>
  </si>
  <si>
    <t xml:space="preserve">MARIA NIDIA VALENCIA </t>
  </si>
  <si>
    <t>Julio César Blanco Rodríguez</t>
  </si>
  <si>
    <t>EL VEHICULO NO HIZO EL RECORRIDO</t>
  </si>
  <si>
    <t xml:space="preserve">SERGIO OSWALDO POLANIA </t>
  </si>
  <si>
    <t xml:space="preserve">INFORMACIÓN DE TARIFAS </t>
  </si>
  <si>
    <t xml:space="preserve">TARIFAS </t>
  </si>
  <si>
    <t>Jose anibal zapata tapias</t>
  </si>
  <si>
    <t xml:space="preserve">SOLICITUD CERTIFICADO </t>
  </si>
  <si>
    <t xml:space="preserve">HUGO RIVAS </t>
  </si>
  <si>
    <t xml:space="preserve">PROPUESTA COMERCIAL </t>
  </si>
  <si>
    <t xml:space="preserve">RECOMENDACIÓN </t>
  </si>
  <si>
    <t> Aclaración de visita realizada el 20 de noviembre del 2025 </t>
  </si>
  <si>
    <t>EDGAR CABRERA</t>
  </si>
  <si>
    <t>LINA MARCELA SUAREZ</t>
  </si>
  <si>
    <t>VINCULACIÓN DIRECTA </t>
  </si>
  <si>
    <t xml:space="preserve">JHONATAN CARDOZO </t>
  </si>
  <si>
    <t>SOLICITUD DE DESCUENTO EN LA DEUDA DE ASEO</t>
  </si>
  <si>
    <t xml:space="preserve">ALEXANDE FORERO </t>
  </si>
  <si>
    <t>SOLICTUD DE UN LETRERO </t>
  </si>
  <si>
    <t xml:space="preserve">JULIO CESAR SANABRIA </t>
  </si>
  <si>
    <t>SOLICITUD DE CONTENEDORES</t>
  </si>
  <si>
    <t xml:space="preserve">BRAYAN STIVEN CHAGUALA </t>
  </si>
  <si>
    <t> SOLICITUD DE LETRERO</t>
  </si>
  <si>
    <t>LUIS ALFREDO RINCÓN GONZALEZ</t>
  </si>
  <si>
    <t>DERECHO DE PETIICÓN</t>
  </si>
  <si>
    <t>GILMA ROCIO SALAZAR OREJUELA</t>
  </si>
  <si>
    <t xml:space="preserve">GOBERNACIÓN </t>
  </si>
  <si>
    <t>Requerimiento Ordinario No.05 del 20 de enero de 2026 solicitud de información informe SYC-I-28780</t>
  </si>
  <si>
    <t>NANCY AMANDA MENESES</t>
  </si>
  <si>
    <t xml:space="preserve">PAOLA ANDREA RIVERA </t>
  </si>
  <si>
    <t>Certificado: Respuesta petición radicada con el número 2026_1002063 el día 2026/01/21</t>
  </si>
  <si>
    <t xml:space="preserve">JUAN ANTONIO CAMARGOS VARGAS </t>
  </si>
  <si>
    <t>SOLICITUD INFORMACIÓN PARA LA LINEA BASE APSB DEL DEPARTAMENTO DE CAQUETÁ </t>
  </si>
  <si>
    <t>DANIEL RICARDO MIRQUEZ HERNANDEZ</t>
  </si>
  <si>
    <t>POLICIA</t>
  </si>
  <si>
    <t>SOLICITUD APOYO Y ACOMPAÑAMIENTO ACTIVIDAD ORNATO Y EMBELLECIMIENTO SERVINTEGRAL</t>
  </si>
  <si>
    <t>YENNY PATRICIA ESTRADA OTALORA</t>
  </si>
  <si>
    <t> Notificación 828002229 - TRABAJ. REPORTADO CON &lt; 240 HORAS</t>
  </si>
  <si>
    <t xml:space="preserve">JHON ALEXANDER MENDEZ </t>
  </si>
  <si>
    <t xml:space="preserve">NOVEDAD DE DAÑO </t>
  </si>
  <si>
    <t>Convocatoria Comité de Conocimiento del Riesgo</t>
  </si>
  <si>
    <t xml:space="preserve">ELECTROCAQUETA </t>
  </si>
  <si>
    <t>Respuesta a oficio CE-GC-0052 del 15-01-2026 con Rad interno No 2026-1-1-322 del 15-01-2026</t>
  </si>
  <si>
    <t xml:space="preserve">REIMER VARGAS </t>
  </si>
  <si>
    <t> SOLIICTUD DE RECOLECIÓN TODOS LOS DIAS </t>
  </si>
  <si>
    <t>Respuesta a oficio CE-GC-0051 del 15-01-2026 con Rad interno No 2026-1-1-323 del 15-01-2026</t>
  </si>
  <si>
    <t>MATILDE GUTIERREZ</t>
  </si>
  <si>
    <t xml:space="preserve">COMUNIDAD DE ACOLSURE </t>
  </si>
  <si>
    <t>SOLICITUD DE INSTALACIÓN DE VALLAS DE DEMARCACIÓN ZONA VERDE</t>
  </si>
  <si>
    <t xml:space="preserve">
FAVIO SANCHEZ TOVAR</t>
  </si>
  <si>
    <t> INVITACIÓN PRIMER CONSEJO MUNICIPAL DE GESTION DEL RIESGO 2026</t>
  </si>
  <si>
    <t xml:space="preserve">LORENA SOLANO </t>
  </si>
  <si>
    <t xml:space="preserve">ACTUALIZACIÓN  DE LA FACTURA </t>
  </si>
  <si>
    <t>EDWIN TELLEZ</t>
  </si>
  <si>
    <t xml:space="preserve">ELISABETH PERDOMO </t>
  </si>
  <si>
    <t xml:space="preserve">SOLICITUD DE SERVICIO PERMANENTE </t>
  </si>
  <si>
    <t xml:space="preserve">MARIA STELLA  GOMEZ </t>
  </si>
  <si>
    <t xml:space="preserve">SOLIICTUD DE DESCUENTO EN LA DEUDA DE ASEO </t>
  </si>
  <si>
    <t xml:space="preserve">ROBINSON POVEDA </t>
  </si>
  <si>
    <t>MILLER GOMEZ</t>
  </si>
  <si>
    <t>SOLICITUD MANTENIMINETO VIA SAN JUAN DEL BARRO </t>
  </si>
  <si>
    <t xml:space="preserve">JOSE NARANJO VALDERRAMA </t>
  </si>
  <si>
    <t xml:space="preserve">DAÑO DEL VEHICULO </t>
  </si>
  <si>
    <t xml:space="preserve">YEISON JULIAN CELIS </t>
  </si>
  <si>
    <t xml:space="preserve">TRABAJADOR DE SERVINTEGRAL </t>
  </si>
  <si>
    <t>INFORME DE SITUACIÓN MEDICA</t>
  </si>
  <si>
    <t>CE-GH-0168</t>
  </si>
  <si>
    <t>YINET SILVA</t>
  </si>
  <si>
    <t>SOLICITUD DE CERTIFICADO DE PRESTACIÓN</t>
  </si>
  <si>
    <t xml:space="preserve">GERARDO PINTO </t>
  </si>
  <si>
    <t> JEANNETTE ROJAS MOTA</t>
  </si>
  <si>
    <t>NOTIFICACION DICTAMEN JAMES ALBERTO CARRERA MUÑOZ No 07202600020</t>
  </si>
  <si>
    <t>MARINELA  ALMONACID MORALES</t>
  </si>
  <si>
    <t xml:space="preserve">SOLICITUD DE CERTIFICADO DEL PLAN ESTRATEGICO </t>
  </si>
  <si>
    <t>HSEQ</t>
  </si>
  <si>
    <t xml:space="preserve"> NINI JHOANA PULIDO PABONESA</t>
  </si>
  <si>
    <t xml:space="preserve">SOLIICTUD DE CERTIFICADO </t>
  </si>
  <si>
    <t>RAFAEL SILVA FLORES</t>
  </si>
  <si>
    <t>WALTER KISIKWA INGOSI</t>
  </si>
  <si>
    <t xml:space="preserve">SOLICITUD DE FIGURAS </t>
  </si>
  <si>
    <t xml:space="preserve">CINDY TATIANA VARGAS TORO </t>
  </si>
  <si>
    <t xml:space="preserve">SOLICITUD DE SERVICIO ESPECIAL </t>
  </si>
  <si>
    <t>COMUNICACIÓN DE ACTA QUE ACEPTA RECURSO DE APELACION – CASO MARIANO OSWALDO ROJAS ARANGO CC 94043507 Y SE REITERA EL DEBER DE ALLEGAR EL SOPORTE DE PAGO DE HONORARIOS A FAVOR DE LA JUNTA NACIONAL. </t>
  </si>
  <si>
    <t xml:space="preserve">LEIDI JOHANA OVIEDO </t>
  </si>
  <si>
    <t xml:space="preserve">SOLICITUD DE VISITA </t>
  </si>
  <si>
    <t>Carlos Eduardo Gomez Vargas</t>
  </si>
  <si>
    <t xml:space="preserve">PATRICIA NAVARRO </t>
  </si>
  <si>
    <t>SAMAMB Florencia| Solicitud de Cotización de Recolección y Disposición Final de Residuos</t>
  </si>
  <si>
    <t xml:space="preserve">BLANCA AURORA ORJUELA </t>
  </si>
  <si>
    <t xml:space="preserve">SOLICITUD DESCUENTO POR CONCEPTO DE ASEO </t>
  </si>
  <si>
    <t>YIMMY  RONALD NUÑEZ</t>
  </si>
  <si>
    <t xml:space="preserve"> Kelly Johana Muñoz Silva</t>
  </si>
  <si>
    <t>SOLICITUD DE RECOLECIÓN DE RCD</t>
  </si>
  <si>
    <t>OSCAR ARIZMENDI NUÑEZ</t>
  </si>
  <si>
    <t xml:space="preserve">SOLICITUD DE APOYO </t>
  </si>
  <si>
    <t>CHRISTYAM CAMILO SALAZAR ROJAS </t>
  </si>
  <si>
    <t>3200.09.116-040 Invitación Jornada Limpiatón zona ribereña de La Perdiz - Curiplaya. SERVINTEGRAL</t>
  </si>
  <si>
    <t>ARGENIS  ACORA</t>
  </si>
  <si>
    <t>3200.09.116-041 Invitación a Reunión Técnica, para la Construcción de Hoja de Ruta de Intervención, Limpieza y Saneamiento Ambiental de Predios Privados Críticos en el Municipio de Florencia. SERVINTEGRA</t>
  </si>
  <si>
    <t xml:space="preserve">ESPERANZA  GOMEZ MUÑOZ </t>
  </si>
  <si>
    <t xml:space="preserve">ANA DOLORES HURTATIS </t>
  </si>
  <si>
    <t>SOLICITUD DE REVISIÓN</t>
  </si>
  <si>
    <t xml:space="preserve">FRDY HERNAN TEJADA TEJADA </t>
  </si>
  <si>
    <t>LIQUIDACIÓN DEL SERVICIO DE ASEO SERVINTEGRAL S.A E.S.P </t>
  </si>
  <si>
    <t xml:space="preserve">INCONFORME CON LA RESPUESTA </t>
  </si>
  <si>
    <t xml:space="preserve">SANDRA PARRA </t>
  </si>
  <si>
    <t>SOLICITUD DE DESCUENTO EN LA DEUDA DE ASEO </t>
  </si>
  <si>
    <t xml:space="preserve">LEIDY MARCELA RODRIGUEZ </t>
  </si>
  <si>
    <t xml:space="preserve">SOLICITUD DE INFORMACIÓN </t>
  </si>
  <si>
    <t xml:space="preserve">FINANCIERA </t>
  </si>
  <si>
    <t>YESICA YATE</t>
  </si>
  <si>
    <t>Solicitud certificación de afiliación</t>
  </si>
  <si>
    <t xml:space="preserve">Gibson Muñoz Vargas </t>
  </si>
  <si>
    <t>MODIFICACION DE TARIFA INMUEBLE DESOCUPADO </t>
  </si>
  <si>
    <t>MIGUEL VILLANUEVA</t>
  </si>
  <si>
    <t xml:space="preserve">FIANZAS Y COBRAZAS </t>
  </si>
  <si>
    <t>Jaidivi Rodríguez pulido</t>
  </si>
  <si>
    <t xml:space="preserve">PODA </t>
  </si>
  <si>
    <t xml:space="preserve">LADY NATALIA RUIZ TRUJILLO </t>
  </si>
  <si>
    <t xml:space="preserve">SE NOTIFICA SENTENCIA TUTELA RAD 2026-00032 </t>
  </si>
  <si>
    <t>ALBERTO AGUIRRE</t>
  </si>
  <si>
    <t>JAIRO MOSQUERA</t>
  </si>
  <si>
    <t xml:space="preserve">RENUNCIA </t>
  </si>
  <si>
    <t>Claudia Marcela Contreras Peña.</t>
  </si>
  <si>
    <t> COMUNICACIÓN DE ACTA QUE ACEPTA Y CONCEDE RECURSO DE APELACION CASO – MARIANO OSWALDO ROJAS ARANGO CC 94043507 Y SE REITERA EL DEBER DE ALLEGAR EL SOPORTE DE PAGO DE HONORARIOS A FAVOR DE LA JUNTA NACIONAL</t>
  </si>
  <si>
    <t xml:space="preserve">ENRIQUE MADRIGAL </t>
  </si>
  <si>
    <t xml:space="preserve">CANCELACIÓN DEL SERVICIO </t>
  </si>
  <si>
    <t xml:space="preserve">JUANITA MONJE </t>
  </si>
  <si>
    <t> Solicitud de servicios de aseo para evento Ministerio de Igualdad y Equidad</t>
  </si>
  <si>
    <t xml:space="preserve">LORENZO REYES </t>
  </si>
  <si>
    <t> INMUEBLE DESOCUPADO</t>
  </si>
  <si>
    <t xml:space="preserve">MARISOL  ANGEL VILLEGAS </t>
  </si>
  <si>
    <t>Solicitud de mantenimiento de zona verde y reanudación de ruta de recolección de residuo</t>
  </si>
  <si>
    <t xml:space="preserve">LUZ YANETH ROJA </t>
  </si>
  <si>
    <t>COTIZACIÓN </t>
  </si>
  <si>
    <t>Recordatorio de visita Comité de Conocimiento del Riesgo.</t>
  </si>
  <si>
    <t>JESÚS ALBERTO ESCOBAR HURTADO</t>
  </si>
  <si>
    <t>RESPUESTA A LOS COR 567-1076 Contrato de Subsidios Vigencia 2026</t>
  </si>
  <si>
    <t xml:space="preserve">GLADYS CANO </t>
  </si>
  <si>
    <t>SOLIICTUD DE CERTIFICACIÓN</t>
  </si>
  <si>
    <t>ANDRÉS FELIPE ORTIZ GARZÓN</t>
  </si>
  <si>
    <t>Agradecimiento al Auxiliar Operativo Robinson Montenegro Sánchez </t>
  </si>
  <si>
    <t>ANA MELISSA ALMARIO PATARROYO</t>
  </si>
  <si>
    <t xml:space="preserve"> Informes Sectoriales vigencia 2024 y encuesta de identificación de necesidades de
información de las operaciones estadísticas de los servicios públicos de acueducto y aseo.</t>
  </si>
  <si>
    <t>Fedora Agelvis</t>
  </si>
  <si>
    <t xml:space="preserve">SOLICITUD LABORAL ANDRES MAURICIO ALVEAR BECERRA </t>
  </si>
  <si>
    <t xml:space="preserve">WILLIAM CAMILO DIOSA </t>
  </si>
  <si>
    <t>SERVAF</t>
  </si>
  <si>
    <t>Registrado: Respuesta a comunicación recibida radicado E-2025010005170 del 16 de enero del 2026</t>
  </si>
  <si>
    <t xml:space="preserve">ORDESI TORO </t>
  </si>
  <si>
    <t>CERTIFICADO</t>
  </si>
  <si>
    <t xml:space="preserve">JAVIER ALFONSO  BOLAÑOS </t>
  </si>
  <si>
    <t>DAÑO</t>
  </si>
  <si>
    <t xml:space="preserve">UBERNEY GIRADO </t>
  </si>
  <si>
    <t>DEVOLUCIÓN</t>
  </si>
  <si>
    <t xml:space="preserve">BROHER DE JESUS ARTEAGA </t>
  </si>
  <si>
    <t xml:space="preserve">DESCUENTO EN LA DEUDA DE ASEO </t>
  </si>
  <si>
    <t xml:space="preserve">SANDRA NARANJO </t>
  </si>
  <si>
    <t xml:space="preserve">OLABE GLOBAL </t>
  </si>
  <si>
    <t>Invitación a presentación informativa – Mirador del Magdalena</t>
  </si>
  <si>
    <t>Registrado: Respuesta a comunicación recibida radicado E-2026010000118 del 16 de enero del 2026</t>
  </si>
  <si>
    <t xml:space="preserve">WUINDER JOSE ZAMBRANO </t>
  </si>
  <si>
    <t xml:space="preserve">LIGIA CONSTANZA ROJA MEJIA </t>
  </si>
  <si>
    <t>Invitación reunión con Pares Académicos – Programa Administración Financiera</t>
  </si>
  <si>
    <t>Constancia sobre reunión del 6 de febrero de 2026 – Radicado No. 0125</t>
  </si>
  <si>
    <t>CE-GH-0228</t>
  </si>
  <si>
    <t xml:space="preserve">OSCAR JAVIER RAMOS </t>
  </si>
  <si>
    <t>Solicitud de apoyo para jornada de aseo y embellecimiento I.E. ANDES SEDE ALPES </t>
  </si>
  <si>
    <t xml:space="preserve">ARISTIDES TOVAR </t>
  </si>
  <si>
    <t>ENCUENTRO NACIONAL</t>
  </si>
  <si>
    <t xml:space="preserve">QUEJA DEL SERVICIO </t>
  </si>
  <si>
    <t xml:space="preserve">EVIDALIA LADINO </t>
  </si>
  <si>
    <t xml:space="preserve">SIXTO ALFONSO PARAMO </t>
  </si>
  <si>
    <t>COMUNICACIÓN DE ACTA MEDIANTE LA CUAL SE RESUELVE IMPUGNACIÓN FRENTE AL CASO MARIANO OSWALDO ROJAS ARANGO- C.C 94043507 Y SE REITERA EL DEBER DE ALLEGAR EL SOPORTE DE PAGO DE HONORARIOS A FAVOR DE LA JUNTA NACIONAL PARA EL TRÁMITE CORRESPONDIENTE</t>
  </si>
  <si>
    <t xml:space="preserve">CAMILO ENRIQUE DIAZ CARDENAS </t>
  </si>
  <si>
    <t xml:space="preserve">ACEPTACIÓN DE LA PROPUESTA </t>
  </si>
  <si>
    <t>YOLANDA NARVAEZ</t>
  </si>
  <si>
    <t>SOLIICTUD DE CERTIFICADO</t>
  </si>
  <si>
    <t xml:space="preserve">YANETH MOLINA </t>
  </si>
  <si>
    <t>COTIZACIÓN</t>
  </si>
  <si>
    <t>ELBA OBANDO</t>
  </si>
  <si>
    <t>LUZ DARY MURILLO GOMEZ</t>
  </si>
  <si>
    <t xml:space="preserve">APOYO INSTITUCIONAL </t>
  </si>
  <si>
    <t>REMISIÓN DE CIRCULAR 003</t>
  </si>
  <si>
    <t xml:space="preserve">MARIBEL CAMACHO </t>
  </si>
  <si>
    <t>capacitaciones a Empresas 100% Subsidiado</t>
  </si>
  <si>
    <t>HERMES DARÍO CRUZ GÓMEZ</t>
  </si>
  <si>
    <t xml:space="preserve">Solicitud de información – Factor de productividad </t>
  </si>
  <si>
    <t>Respuesta a Oficio CE-GC-0171 del 05-02-2026 con Rad interno No 2026-1-1-949 del 09-02-2026</t>
  </si>
  <si>
    <t xml:space="preserve">JOSE EMILIA GARZON </t>
  </si>
  <si>
    <t xml:space="preserve">PRESTACIÓN DEL SERVICIO </t>
  </si>
  <si>
    <t>DUMIRLEY ORTIZ CRUZ</t>
  </si>
  <si>
    <t xml:space="preserve">JORGE HERALDO ENNIS </t>
  </si>
  <si>
    <t>BEATRIZ ELENA GUTIERREZ</t>
  </si>
  <si>
    <t>AUTO NOTIFICA VINCULACIÓN ACCIÓN DE TUTELA 05001 34 03 004 2026 00018 00</t>
  </si>
  <si>
    <t xml:space="preserve">CARLOS ESCOBAR </t>
  </si>
  <si>
    <t xml:space="preserve">YEMI TATIANA RIVERA </t>
  </si>
  <si>
    <t xml:space="preserve">SOLICITUD DE RECOELCIIÓN </t>
  </si>
  <si>
    <t xml:space="preserve">INFORME N°006 MESA DE TRABAJO  DE LA COMUNA SUR </t>
  </si>
  <si>
    <t xml:space="preserve">CRISTIAN CAMILO ZAMBRANO CASTILLO </t>
  </si>
  <si>
    <t>OFICIO CONVOCATORIA REUNIÓN ORDINARIA CPESF FEBRERO 2026 "  del  12 de  febrero   lo remito para su conocimiento y fines pertinentes.</t>
  </si>
  <si>
    <t>MARCO ANTONIO QUINTERO BERMUDEZ</t>
  </si>
  <si>
    <t xml:space="preserve"> Afiliación a la E.P.S Sanitas</t>
  </si>
  <si>
    <t>ANDREA PAOLA PRIETO MOSQUER</t>
  </si>
  <si>
    <t xml:space="preserve"> Autorización para notificación electrónica de actos administrativos relacionados con la
contribución especial vigencia 2026.</t>
  </si>
  <si>
    <t>ANGELA ROCIO GUZMAN LOZADA</t>
  </si>
  <si>
    <t>Solicitud poda de árboles y césped.</t>
  </si>
  <si>
    <t>WILSON GOMEZ</t>
  </si>
  <si>
    <t>INFORMACIÓN SOBRE LA DEUDA DEL SERVICIO DE ASEO</t>
  </si>
  <si>
    <t xml:space="preserve">DIANA PAOLA SANCHEZ ALZATE </t>
  </si>
  <si>
    <t>Programación capacitación virtual DANE – Proceso de Estratificación</t>
  </si>
  <si>
    <t>LINA PATRICIA MEJIA ROJAS</t>
  </si>
  <si>
    <t xml:space="preserve"> Solicitud de apoyo para recolección de residuos verdes – Parque Rincón de la Estrella 2</t>
  </si>
  <si>
    <t>LUIS MANUEL ESPINOSA CALDERON  </t>
  </si>
  <si>
    <t xml:space="preserve">CONGRESO NACIONAL DE TRANSICIÓN ENERGÉTICA JUSTA Y ADAPTACIÓN AL CAMBIO CLIMÁTICO" </t>
  </si>
  <si>
    <t>Oficina Estratificación</t>
  </si>
  <si>
    <t xml:space="preserve"> BASE DE DATOS (4624)</t>
  </si>
  <si>
    <t>JESUS ALBERTO ESCOBAR HURTADO</t>
  </si>
  <si>
    <t xml:space="preserve">ACTA DE LA REUNIÓN </t>
  </si>
  <si>
    <t>John Arley Garcia Quintero</t>
  </si>
  <si>
    <t>Solicitud de revisión punto informal de acumulación de residuos en
vivienda esquinera</t>
  </si>
  <si>
    <t xml:space="preserve">KAROL VESLAZQUEZ </t>
  </si>
  <si>
    <t>REGISTRO DE GARANTÍAS MOBILIARIAS
FORMULARIO DE REGISTRO DE CANCELACIÓN</t>
  </si>
  <si>
    <t>Yeison Mena Moreno</t>
  </si>
  <si>
    <t>Solicitud de Apoyo - Capacitación</t>
  </si>
  <si>
    <t>ANYI VIVIANA MANRIQUE AMAYA.</t>
  </si>
  <si>
    <t>Notificacion electronica radicado salida No 20268700444181</t>
  </si>
  <si>
    <t>Oscar Valbuena Torres</t>
  </si>
  <si>
    <t>solicitar de su colaboración para una jornada de aseo en la zona verde contiguo a la caseta comunal de nueva Colombia, iglesia cristiana y hogar infantil del barrio Villa Salem</t>
  </si>
  <si>
    <t>BEATRIZ ELENA GUTIÉRREZ CORREA</t>
  </si>
  <si>
    <t>NOTIFICACION FALLO DE TUTELA PRIMERA INSTANCIA 05001 34 03 004 2026 00018 00</t>
  </si>
  <si>
    <t>Diana Paola Sánchez</t>
  </si>
  <si>
    <t>BASES DE DATOS ESTRATIFICACIÓN</t>
  </si>
  <si>
    <t>HERNAN DARIO AGUIRRE RAMIREZ</t>
  </si>
  <si>
    <t xml:space="preserve"> invitación encuentro comunitario 19 de FEBRERO  2026 </t>
  </si>
  <si>
    <t>PLAN DE CONTINGENCIA DE SERVICIO DE ASEO</t>
  </si>
  <si>
    <t>3200.09.116-080 Solicitud de apoyo institucional para jornada de guadaña en el Humedal San Luis</t>
  </si>
  <si>
    <t xml:space="preserve">SOLICITO DE INFORMACIÓN </t>
  </si>
  <si>
    <t xml:space="preserve">MONICA PILAR DELGADO SOLARTE </t>
  </si>
  <si>
    <t>Leidi Milena Santamaria</t>
  </si>
  <si>
    <t>SOLICITUD DE INFORMACIÓN DE LA ECA</t>
  </si>
  <si>
    <t>MARÍA FERNANDA GARCÍA HINCAPIÉ</t>
  </si>
  <si>
    <t xml:space="preserve"> Decreta Medida Embargo Radicado: 2026-00057-00 Oficio Nro. 0137 Juzgado: Décimo Civil Municipal de Manizales</t>
  </si>
  <si>
    <t>MIEMBROS DEL COMITÉ</t>
  </si>
  <si>
    <t xml:space="preserve">COMPROMISOS </t>
  </si>
  <si>
    <t>Reiteramos la invitación</t>
  </si>
  <si>
    <t>ELIANA VERÓNICA CORTÉS BOCANEGRA</t>
  </si>
  <si>
    <t xml:space="preserve">JORNADA DE CAPACITACIÓN </t>
  </si>
  <si>
    <t>Revisión y Aportes al Modelo de Reglamento del Comité Permanente de Estratificación</t>
  </si>
  <si>
    <t xml:space="preserve">CAMILO JESUS ANTONIO </t>
  </si>
  <si>
    <t xml:space="preserve">Notificacion 828002229 - TRABAJ. REPORTADO CON &lt; 240 HORAS - URGENTE </t>
  </si>
  <si>
    <t xml:space="preserve">GRUPO EMPRESARIAL </t>
  </si>
  <si>
    <t xml:space="preserve">SOLICITUD DE REALIZAR NUEVO AFORO </t>
  </si>
  <si>
    <t xml:space="preserve">A NDRES DAVID BELTRAN MUÑOZ </t>
  </si>
  <si>
    <t>INVITACIÓN A CURSOS GRATUITOS</t>
  </si>
  <si>
    <t>ALCANCE A LA CIRCULAR No. 003</t>
  </si>
  <si>
    <t>CHRISTYAM CAMILO SALAZAR ROJAS</t>
  </si>
  <si>
    <t>Solicitud de apoyo institucional para jornadas de limpieza, reforestación y 
cátedra ambiental en el Humedal El San Luis</t>
  </si>
  <si>
    <t>Martha Lucia Maldonado</t>
  </si>
  <si>
    <t>CAROLINA CARDENAS</t>
  </si>
  <si>
    <t xml:space="preserve">YENNY CAROLINA VILLAMIL </t>
  </si>
  <si>
    <t>Traslado por competencia del oficio con rad No 2026-1-1-964 del 09-02-2026</t>
  </si>
  <si>
    <t>Traslado por competencia del oficio con rad No 2026-1-1-962 del 09-02-2026</t>
  </si>
  <si>
    <t>Juan Miguel Vargas García</t>
  </si>
  <si>
    <t>Solicitud de apoyo en actividades de la Secretaría de Cultura, Deporte y Recreación</t>
  </si>
  <si>
    <t>Valentina Cardozo González</t>
  </si>
  <si>
    <t>SOLICITUD DE INFORMACION LABORAL ANDRES MAURICIO ALVEAR BECERRA</t>
  </si>
  <si>
    <t>LEIDY YOHANA TORRES</t>
  </si>
  <si>
    <t xml:space="preserve">INCONFORMIDAD POR EL SERVICIO DE ESCOBISTA </t>
  </si>
  <si>
    <t xml:space="preserve">SOLICITUD DE GUADAÑA PERMANENTE </t>
  </si>
  <si>
    <t>CE-GR-0264</t>
  </si>
  <si>
    <t xml:space="preserve">KARLA JOHANA LISCANO CORREA </t>
  </si>
  <si>
    <t>CE-GC-0267</t>
  </si>
  <si>
    <t>JESSIKA PERDOMO</t>
  </si>
  <si>
    <t xml:space="preserve">SOLICITUD DE CERTIFICACIÓN </t>
  </si>
  <si>
    <t>CE-GC-0283</t>
  </si>
  <si>
    <t>DOMINGA DE JESÚS RAMOS SUÁREZ</t>
  </si>
  <si>
    <t xml:space="preserve"> LEVANTAMIENTO DE MEDIDAS CAUTELARES - PROCESO EJECUTIVO DE ALIMENTOS RAD. 2025-00118-00-00</t>
  </si>
  <si>
    <t>Leidi Milena Santamaria Perez</t>
  </si>
  <si>
    <t>Solicitud de Certificación de pago de subsidios año 2025</t>
  </si>
  <si>
    <t>CE-GC-0274</t>
  </si>
  <si>
    <t>ANDRES CAMILO CADAVID</t>
  </si>
  <si>
    <t>CERTIFICADO DEUDA JASMÍN BELTRÁN MORALES</t>
  </si>
  <si>
    <t>CE-GT-0280</t>
  </si>
  <si>
    <t xml:space="preserve">YENY CAROLINA VILLAMIL </t>
  </si>
  <si>
    <t>Traslado por competencia del oficio con rad No 2026-1-1-222 del 18-02-2026</t>
  </si>
  <si>
    <t>CE-GC-0363</t>
  </si>
  <si>
    <t xml:space="preserve">JAIRO ANTONIO MOLINA </t>
  </si>
  <si>
    <t xml:space="preserve">CE-GC-0294 </t>
  </si>
  <si>
    <t xml:space="preserve">RIQUELIO OVIEDO </t>
  </si>
  <si>
    <t>CE-GR-0278</t>
  </si>
  <si>
    <t xml:space="preserve">SOLICITUD DE COTIZACIÓN </t>
  </si>
  <si>
    <t>CE-GC-0308</t>
  </si>
  <si>
    <t>INGESCOR S.A.S.</t>
  </si>
  <si>
    <t>SOLICITUD INFORMACIÓN DE CAPACITACIÓN EN GESTIÓN DE RESIDUOS Y SOSTENIBILIDAD</t>
  </si>
  <si>
    <t>CE-GR-0293</t>
  </si>
  <si>
    <t>CE-GC-0326</t>
  </si>
  <si>
    <t>CE-GC-0327</t>
  </si>
  <si>
    <t xml:space="preserve">NO FIRMADO </t>
  </si>
  <si>
    <t>CE-GC-0328</t>
  </si>
  <si>
    <t>CE-GC-0329</t>
  </si>
  <si>
    <t>CE-GC-0330</t>
  </si>
  <si>
    <t>CE-GC-0331</t>
  </si>
  <si>
    <t>CE-GC-0332</t>
  </si>
  <si>
    <t xml:space="preserve">Luis Eduardo Guevara Joven </t>
  </si>
  <si>
    <t>CE-GC-0323</t>
  </si>
  <si>
    <t>CE-GC-0333</t>
  </si>
  <si>
    <t xml:space="preserve">ZAMORA ARISTIZABAL JHOHN </t>
  </si>
  <si>
    <t xml:space="preserve">SOLIICTUD DE APOYO </t>
  </si>
  <si>
    <t xml:space="preserve">CE-GC-0400 </t>
  </si>
  <si>
    <t xml:space="preserve">BELISARIO MONTOYA </t>
  </si>
  <si>
    <t>SOLICITUD DE VISITA</t>
  </si>
  <si>
    <t>CE-GR-0290</t>
  </si>
  <si>
    <t>CE-GC-0279</t>
  </si>
  <si>
    <t xml:space="preserve">ANDRES FELIPE CABRERA </t>
  </si>
  <si>
    <t>CE-GC-0291</t>
  </si>
  <si>
    <t>CINDY VANESSA CONTRERAS ZAMBRANO</t>
  </si>
  <si>
    <t>Invitación a capacitación gratuita “Reglamento Interno de Trabajo”</t>
  </si>
  <si>
    <t xml:space="preserve">WILSON BECERRA </t>
  </si>
  <si>
    <t>SOLICITUD PUERTA A PUERTA </t>
  </si>
  <si>
    <t>CE-GR-0352</t>
  </si>
  <si>
    <t>Vilma Socorro Luengas</t>
  </si>
  <si>
    <t>Petición respetuosa</t>
  </si>
  <si>
    <t xml:space="preserve">CE-GR-0295 </t>
  </si>
  <si>
    <t>Iván Alexander Ribon Castillo</t>
  </si>
  <si>
    <t xml:space="preserve"> CITACION A VALORACION # 1 Y TESTIGO 94043507 MARIANO OSWALDO ROJAS ARANGO</t>
  </si>
  <si>
    <t>Solicitud de apoyo institucional - Estrategia grandes voluntarios</t>
  </si>
  <si>
    <t>CE-GC-0296</t>
  </si>
  <si>
    <t>200.09.116-106 Solicitud de apoyo institucional para la segunda jornada de limpieza, reforestación y cátedra ambiental en el Humedal El San Luis SERVINTEGRAL</t>
  </si>
  <si>
    <t>CE-GC-0362</t>
  </si>
  <si>
    <t xml:space="preserve">SERGIO POLANIA </t>
  </si>
  <si>
    <t>CE-GC-0316</t>
  </si>
  <si>
    <t>DISTRICARNES EL GRAN NOVILLO</t>
  </si>
  <si>
    <t>SOLICITUD CERTIFICADO PRESTACION DEL SERVICIO DE ASEO</t>
  </si>
  <si>
    <t>CE-GC-0297</t>
  </si>
  <si>
    <t>Euler Alexander Paniagua Zambrano</t>
  </si>
  <si>
    <t>Solicitud de Apoyo para limpieza en sector Caseta Comunal del barrio El Lenin</t>
  </si>
  <si>
    <t>CE-GC-0346</t>
  </si>
  <si>
    <t>HEBERTH TOBAR VEGA</t>
  </si>
  <si>
    <t>Petición para la Instalación de Contenedor de Residuos Sólidos   en la carrera 9 NO.8C-87 Barrio La Estrella</t>
  </si>
  <si>
    <t>CE-GC-0305</t>
  </si>
  <si>
    <t>MARIA FERNANDA JARAMILLO TRUJILLO</t>
  </si>
  <si>
    <t>Remisión memorias mesa de trabajo de fecha 29 de enero de 2026</t>
  </si>
  <si>
    <t>Solicitud de apoyo para recolección de residuos verdes-SAN JUDAS</t>
  </si>
  <si>
    <t>CE-GR-0301</t>
  </si>
  <si>
    <t xml:space="preserve">ACCIÓN DE TUTELA </t>
  </si>
  <si>
    <t xml:space="preserve">ILIANA ROJAS </t>
  </si>
  <si>
    <t xml:space="preserve">SOLICITUD DE APOYO INSTITUCIONAL </t>
  </si>
  <si>
    <t>CE- GC-0403</t>
  </si>
  <si>
    <t xml:space="preserve">MAIBRY LIZETH CALDERON </t>
  </si>
  <si>
    <t>CE-GC-0350</t>
  </si>
  <si>
    <t xml:space="preserve">ARLEY CAICEDO </t>
  </si>
  <si>
    <t>SOLICITUD DE APOYO PARA CORTE DE ARBOLES</t>
  </si>
  <si>
    <t>CE-GR-0302</t>
  </si>
  <si>
    <t xml:space="preserve">HERMILA CABRERA </t>
  </si>
  <si>
    <t>CE-GC-0371</t>
  </si>
  <si>
    <t xml:space="preserve">JORGE CABRERA </t>
  </si>
  <si>
    <t>CE-GC-0317</t>
  </si>
  <si>
    <t>STELLA SANCHEZ GOMEZ</t>
  </si>
  <si>
    <t>SOLICITUD DE COBRO DE 2 CONTADORES QUE NO SE ESTAN UTILIZANDO DE ENERGIA</t>
  </si>
  <si>
    <t>CE-GC-0464</t>
  </si>
  <si>
    <t xml:space="preserve">JUAN CICERY </t>
  </si>
  <si>
    <t xml:space="preserve">SOLICITUD DE ENTREGA DE DOCUMENTOS </t>
  </si>
  <si>
    <t>CE-GT-0382</t>
  </si>
  <si>
    <t>CE-GC-0355</t>
  </si>
  <si>
    <t xml:space="preserve">ALEXANDER FIERRO </t>
  </si>
  <si>
    <t>CE-GR-0310</t>
  </si>
  <si>
    <t>Desafiliación</t>
  </si>
  <si>
    <t>CE-GC-0373</t>
  </si>
  <si>
    <t xml:space="preserve">ANDRES  FELIPE CABRERA </t>
  </si>
  <si>
    <t>COMPROBANTE DE PAGO Y SOLICITUD DE CERTIFICADO</t>
  </si>
  <si>
    <t>CE-GC0368</t>
  </si>
  <si>
    <t xml:space="preserve">DAGOBERTO POLANIA </t>
  </si>
  <si>
    <t>SOLICITUD DE PODA</t>
  </si>
  <si>
    <t>CE-GR-0349</t>
  </si>
  <si>
    <t xml:space="preserve">ENTREGADO FISICO </t>
  </si>
  <si>
    <t>Respuesta a oficio CE-GC-0225 del 13-02-2026 con Rad interno No 2026-1-1-1160 del 16-02-2026</t>
  </si>
  <si>
    <t xml:space="preserve">YESENNIA MONSALVE </t>
  </si>
  <si>
    <t>Traslado por competencias Radicado E-2026010000382 del 11/02/2026</t>
  </si>
  <si>
    <t xml:space="preserve">CE-GC-0467 </t>
  </si>
  <si>
    <t>Norma Suleiza Mavesoy polanco </t>
  </si>
  <si>
    <t>CE-GR-0305</t>
  </si>
  <si>
    <t>Solicitud  jornada de trabajo</t>
  </si>
  <si>
    <t>CE-GR-0306</t>
  </si>
  <si>
    <t xml:space="preserve">SE HIZO RECURSO DE REPOSICIÓN </t>
  </si>
  <si>
    <t>CE-GC-0379</t>
  </si>
  <si>
    <t xml:space="preserve">ARCHIVADO </t>
  </si>
  <si>
    <t>CE-GC-0380</t>
  </si>
  <si>
    <t>CE-GC-0381</t>
  </si>
  <si>
    <t xml:space="preserve">TRASLADO A LA SUPER </t>
  </si>
  <si>
    <t>Respuesta a oficio CE-GC-0226 del 13-02-2026 con Rad interno No 2026-1-1-1161 del 16-02-2026</t>
  </si>
  <si>
    <t>Traslado por competencia del radicado(s) 20255295283882 del 16/12/2025</t>
  </si>
  <si>
    <t>Informe N°012 19 y 25-02-2026 Informe Tecnico Humedal el San Luis</t>
  </si>
  <si>
    <t>CE-GC-0393</t>
  </si>
  <si>
    <t>LUZ PIEDAD CAMPOS NÚÑEZ</t>
  </si>
  <si>
    <t>CE-GR-0315</t>
  </si>
  <si>
    <t>INPEC</t>
  </si>
  <si>
    <t xml:space="preserve">CE-GC-0437 </t>
  </si>
  <si>
    <t xml:space="preserve">DIANA PAOLA SANCHEZ </t>
  </si>
  <si>
    <t> ACTA No 01 del 19 de febrero 2026</t>
  </si>
  <si>
    <t>GLEDYS ALDANA MARTINEZ </t>
  </si>
  <si>
    <t>Solicitud de certificados recolección de residuos </t>
  </si>
  <si>
    <t>CE-GC-0378</t>
  </si>
  <si>
    <t xml:space="preserve">JOSE DAVID GARZON </t>
  </si>
  <si>
    <t>Invitaciòn lanzamiento versiòn 28 CONCURSO MUNICIPAL " EL CUENTO DEL AGUA " "  del  02 de  MARZO</t>
  </si>
  <si>
    <t>CE-GC-0318</t>
  </si>
  <si>
    <t xml:space="preserve">YENI TATIANA RIVERA </t>
  </si>
  <si>
    <t> RESPUESTA A SU SOLICITUD</t>
  </si>
  <si>
    <t xml:space="preserve">NORMA EDUARTE </t>
  </si>
  <si>
    <t>Solicitud del Portal Amazónico</t>
  </si>
  <si>
    <t>CE-GC-0354</t>
  </si>
  <si>
    <t xml:space="preserve">ELSA PASTRANA </t>
  </si>
  <si>
    <t>SOLIICTUD DE DE CERTIFICADO</t>
  </si>
  <si>
    <t>CE-GC-0337</t>
  </si>
  <si>
    <t>JORGE ALEXANDER CARDOZO QUINTERO</t>
  </si>
  <si>
    <t>Notificacion electronica radicado salida No 20264300877221</t>
  </si>
  <si>
    <t xml:space="preserve">DIOSELINA LLANOS ESCOBAR </t>
  </si>
  <si>
    <t>CE-GC-0339</t>
  </si>
  <si>
    <t xml:space="preserve">HARLING AUGUSTO CHAVARRO </t>
  </si>
  <si>
    <t>Derecho de petición </t>
  </si>
  <si>
    <t>CE-GC-513</t>
  </si>
  <si>
    <t xml:space="preserve">PAOLA ANDREA VASQUEZ </t>
  </si>
  <si>
    <t xml:space="preserve"> SOLICITUD DE CERTIFICADO</t>
  </si>
  <si>
    <t>CE-GC-0340</t>
  </si>
  <si>
    <t xml:space="preserve">ROBERT ANGEL HURTADO </t>
  </si>
  <si>
    <t>SOLICITUD DE DESCUENTO </t>
  </si>
  <si>
    <t>CE-GC-0358</t>
  </si>
  <si>
    <t>Convocatoria reunión – Coordinación cronograma acciones populares</t>
  </si>
  <si>
    <t xml:space="preserve">CE-GC-0367 </t>
  </si>
  <si>
    <t>FAVIO SANCHEZ TOVAR</t>
  </si>
  <si>
    <t>INVITACIÓN SEGUNDO CONSEJO MUNICIPAL GESTIÓN DEL RIESGO</t>
  </si>
  <si>
    <t>CE-GC-0361</t>
  </si>
  <si>
    <t xml:space="preserve">MONICA ANDREA RICO </t>
  </si>
  <si>
    <t>SOLICITUD DE APOYO ACTIVIDAD COMUNITARIA BARRIO CIUDADELA II ETAPA POLIDEPROTIVO</t>
  </si>
  <si>
    <t>CE-GC-0351</t>
  </si>
  <si>
    <t xml:space="preserve">NANCY MOLANO </t>
  </si>
  <si>
    <t>CE-GC-0385</t>
  </si>
  <si>
    <t>LIQUIDACIÓN DEL SERVICIO DE ASEO SERVINTEGRAL S.A E.S.P</t>
  </si>
  <si>
    <t>JOSE TORRES</t>
  </si>
  <si>
    <t> PROHIBIDO BOTAR BASURA</t>
  </si>
  <si>
    <t>CE-GC-0366</t>
  </si>
  <si>
    <t xml:space="preserve">PEDRO  CHAVEZ </t>
  </si>
  <si>
    <t>CE-GR-0347</t>
  </si>
  <si>
    <t xml:space="preserve">GABRIEL ANTE SALINAS </t>
  </si>
  <si>
    <t>CE-GC-0418</t>
  </si>
  <si>
    <t>Respuesta a oficio CE-GC-0053 del 15-01-2026 con Rad interno 2026-1-1-326 del 15-01-2026</t>
  </si>
  <si>
    <t xml:space="preserve">EUNICE MORALES </t>
  </si>
  <si>
    <t>RECOLECCION Y DISPOSICION FINAL DE AIRES ACONDICIONADOS DT CAQUETA</t>
  </si>
  <si>
    <t>CE-GC-0369</t>
  </si>
  <si>
    <t>Traslado por competencia del oficio con rad No 2026-1-1-1508 del 27-02-2026 </t>
  </si>
  <si>
    <t>CE-GC-0359</t>
  </si>
  <si>
    <t>CE-GC-402</t>
  </si>
  <si>
    <t xml:space="preserve">EDINSON VERA </t>
  </si>
  <si>
    <t> SOLICITUD DE PODA</t>
  </si>
  <si>
    <t>CE-GR-0353</t>
  </si>
  <si>
    <t xml:space="preserve">FERNANDO ROJAS </t>
  </si>
  <si>
    <t>CE-GC-0356</t>
  </si>
  <si>
    <t xml:space="preserve">MANUEL RIOS </t>
  </si>
  <si>
    <t>SOLICITUD COTIZACION AVERIA DE ATUN- FLORENCIA</t>
  </si>
  <si>
    <t>CE-GC-0370</t>
  </si>
  <si>
    <t xml:space="preserve">MANUEL RAMIREZ </t>
  </si>
  <si>
    <t xml:space="preserve">FINANCIERA RESPONDIÓ A TRAVES DEL CORREO </t>
  </si>
  <si>
    <t>ANDRES FELIPE VALLEJO RAMIREZ</t>
  </si>
  <si>
    <t>DESISTIMIENTO</t>
  </si>
  <si>
    <t xml:space="preserve">CE-GC-0344 </t>
  </si>
  <si>
    <t>Solicitud de apoyo para Visita ocular en el parque longitudinal Zona rosa.</t>
  </si>
  <si>
    <t>CE-GC-0461</t>
  </si>
  <si>
    <t xml:space="preserve">NUBIA SOFIA OLARTE </t>
  </si>
  <si>
    <t>CE-GC-0475</t>
  </si>
  <si>
    <t>Convocatoria comitè conocimiento del riesgo</t>
  </si>
  <si>
    <t xml:space="preserve">CE-GC-0419 </t>
  </si>
  <si>
    <t xml:space="preserve">ARIEL RAMON </t>
  </si>
  <si>
    <t>espuesta oficio No CE-GC-0245</t>
  </si>
  <si>
    <t>CE-GC-0412</t>
  </si>
  <si>
    <t xml:space="preserve">Respuesta - Solicitud de ampliación de término "  del  06 de  MARZO   lo remito para su conocimiento y fines pertinentes.
 </t>
  </si>
  <si>
    <t xml:space="preserve">CE-GG-0401 </t>
  </si>
  <si>
    <t>CE-GR-0436</t>
  </si>
  <si>
    <t>Traslado por competencia del oficio con rad No 2026-1-1-1420 del 25-02-2026 </t>
  </si>
  <si>
    <t>CE-GC-0396</t>
  </si>
  <si>
    <t>WILSON MUÑOZ TOVAR</t>
  </si>
  <si>
    <t xml:space="preserve"> Formato Final OP RECIPROCAS 31 de Dico</t>
  </si>
  <si>
    <t xml:space="preserve"> Blanca  Aurora Orjuela Betancourt </t>
  </si>
  <si>
    <t>solicitud paz y salvo Blanca Aurora Orjuela Betancourt</t>
  </si>
  <si>
    <t>CE-GC-0387</t>
  </si>
  <si>
    <t>CE-GC-034</t>
  </si>
  <si>
    <t>CE-GC-0435</t>
  </si>
  <si>
    <t xml:space="preserve">HIZO RECURSO </t>
  </si>
  <si>
    <t>Respuesta a oficio CE-GC-0336 del 05-03-2026 con Rad interno No 2026-1-1-1739 del 06-03-2026</t>
  </si>
  <si>
    <t xml:space="preserve">KARLA JOHANA LIZCANO </t>
  </si>
  <si>
    <t xml:space="preserve">REPORGRAMACIÓN DEL COMITÉ </t>
  </si>
  <si>
    <t>Solicitud Jornada de Limpieza Zona Verde Caseta Comunal Barrio Lennin</t>
  </si>
  <si>
    <t>INFORMACIÓN O DOCUMENTOS</t>
  </si>
  <si>
    <t xml:space="preserve">EDWAR CAMILO SOTO </t>
  </si>
  <si>
    <t>USUARIO</t>
  </si>
  <si>
    <t>SOLICITUD DE INFORMACIÓN  Y COPIA DE DOCUMENTOS</t>
  </si>
  <si>
    <t>CE-GG-0507</t>
  </si>
  <si>
    <t xml:space="preserve">LUZ DARY GARZON </t>
  </si>
  <si>
    <t xml:space="preserve">SOLICITUD DE EXONERAR EL COBRO DE ASEO </t>
  </si>
  <si>
    <t xml:space="preserve">CE-GC-0404 </t>
  </si>
  <si>
    <t xml:space="preserve">MIGUEL ANTONIO CASTILLO </t>
  </si>
  <si>
    <t> SOLICITUD DE CERTIFICADO</t>
  </si>
  <si>
    <t xml:space="preserve">CE-GC-0417 </t>
  </si>
  <si>
    <t>Solicitud de acciones para mitigar problemática ambiental y sanitaria</t>
  </si>
  <si>
    <t>3200.09.116-132 Convocatoria a Primera Reunión Ordinaria del Comité Interinstitucional de Educación Ambiental (CIDEA) 2026 según Acuerdo Municipal N° 2024021 SERVINTEGRAL</t>
  </si>
  <si>
    <t xml:space="preserve">CE-GC-0388 </t>
  </si>
  <si>
    <t>SANDRA PATRICIA CABRERA CADENA </t>
  </si>
  <si>
    <t>MOTIVO DE PETICIÓN: PARA AFILIARME ALA EMPRESA SERVI NTEGRAL </t>
  </si>
  <si>
    <t>CE-GC-0444</t>
  </si>
  <si>
    <t>Desafiliaciones</t>
  </si>
  <si>
    <t>CE-GC-446</t>
  </si>
  <si>
    <t xml:space="preserve">PENDIENTE FECHA </t>
  </si>
  <si>
    <t>CE-GC-447</t>
  </si>
  <si>
    <t>Usuarios con terminación del contrato de servicios publicos</t>
  </si>
  <si>
    <t>Yudi Marcela Santiago Vela </t>
  </si>
  <si>
    <t>CE-GR-0391</t>
  </si>
  <si>
    <t xml:space="preserve">NIYIRETH PALOMINO </t>
  </si>
  <si>
    <t>CARLOS EDUARDO HURTADO SUZUNAGA</t>
  </si>
  <si>
    <t>CE-GC-0389</t>
  </si>
  <si>
    <t>JOHN ALEXANDER VALENCIA</t>
  </si>
  <si>
    <t>CE-GC-0390</t>
  </si>
  <si>
    <t xml:space="preserve">GILMA LOZANO </t>
  </si>
  <si>
    <t xml:space="preserve">ARNULFO PALACIO </t>
  </si>
  <si>
    <t>INFORMACIÓN DE LA DEUDA</t>
  </si>
  <si>
    <t>CE-GC-0397</t>
  </si>
  <si>
    <t xml:space="preserve">MILLER AUGUSTO PIPICANO </t>
  </si>
  <si>
    <t>DESCUENTO EN LA DEUDA</t>
  </si>
  <si>
    <t>CE-GC-0398</t>
  </si>
  <si>
    <t xml:space="preserve">MARIA GLADIS MORALES </t>
  </si>
  <si>
    <t xml:space="preserve">INFORMACIÓN DE LOS HORARIOS </t>
  </si>
  <si>
    <t xml:space="preserve">CE-GR-0405 </t>
  </si>
  <si>
    <t>CHUT EN MAL ESTADO</t>
  </si>
  <si>
    <t>CE-GR-0392</t>
  </si>
  <si>
    <t xml:space="preserve">MARTHA YANIT TRUJILLO </t>
  </si>
  <si>
    <t> DESCUENTO DE LA DEUD</t>
  </si>
  <si>
    <t>CE-GC-0399</t>
  </si>
  <si>
    <t xml:space="preserve">LUIS MIGUEL ESPINOSA </t>
  </si>
  <si>
    <t>Solicitud informe sobre la implementación del PGIRS</t>
  </si>
  <si>
    <t xml:space="preserve">CE-GR-0476 </t>
  </si>
  <si>
    <t xml:space="preserve">ALEJANDRA </t>
  </si>
  <si>
    <t>Solicitud de cancelación o reducción de aforo ( recolección de residuos)</t>
  </si>
  <si>
    <t>CE-GC-0511</t>
  </si>
  <si>
    <t xml:space="preserve"> NURY ZUÑIGA LIZCANO</t>
  </si>
  <si>
    <t>Solicitud de Certificado de Afilialiacion a SERVINTEGRAL</t>
  </si>
  <si>
    <t>CE-GC-0448</t>
  </si>
  <si>
    <t xml:space="preserve">NO TIENE NOMBRE </t>
  </si>
  <si>
    <t>CE-GR-0395</t>
  </si>
  <si>
    <t>3200.09.116-138 Solicitud de apoyo institucional para jornada de aseo en la quebrada La Perdiz – Solicitud COR 28409 SERVINTEGRAL</t>
  </si>
  <si>
    <t>CE-GC-0406</t>
  </si>
  <si>
    <t>3200.09.116-139 Solicitud de apoyo institucional para jornada de limpieza y reforestación humedal el Versalles SERVINTEGRAL</t>
  </si>
  <si>
    <t>CE-GC-0407</t>
  </si>
  <si>
    <t xml:space="preserve">ADRIANA MERCEDES BONILLA MORALES </t>
  </si>
  <si>
    <t>Convocatoria Asamblea Comfaca 2026</t>
  </si>
  <si>
    <t>DIEGO FERNANDO TORRES CICERY</t>
  </si>
  <si>
    <t xml:space="preserve">USUARIO  DE SERVINTEGRAL </t>
  </si>
  <si>
    <t>: Solicitud de respuesta por pago pendiente de recursos de recaudo mes 
de OCTUBRE 2025</t>
  </si>
  <si>
    <t>CE-GC-0460</t>
  </si>
  <si>
    <t xml:space="preserve">HUGO  GOMEZ </t>
  </si>
  <si>
    <t xml:space="preserve">INFORME SOBRE LAS GESTIONES </t>
  </si>
  <si>
    <t>CE-GG-0535</t>
  </si>
  <si>
    <t>Solicitud de apoyo institucional para jornada del corredor vial vía al Servicio Nacional De Aprendizaje (SENA)</t>
  </si>
  <si>
    <t>CE-GC-0408</t>
  </si>
  <si>
    <t>Coordinación institucional para la Segunda Jornada de Limpieza, Reforestación y Cátedra Ambiental en los barrios Bohío (Buenos Aires) y Kennedy, en cumplimiento de la Acción Popular y metas del PGIRS 2026.</t>
  </si>
  <si>
    <t>CE-GC-0386</t>
  </si>
  <si>
    <t>Informe N°015 M2.P01.F02 Informe Técnico - Barrio Kenedy 28.02.2026</t>
  </si>
  <si>
    <t xml:space="preserve">NADIA LIGIA MUÑOZ RIOS </t>
  </si>
  <si>
    <t>CE-GC-0416</t>
  </si>
  <si>
    <t>NEOMEYER CUELLAR CASTRO</t>
  </si>
  <si>
    <t>INVITACIÓN PRIMERA JORNADA LIMPIATON 2026</t>
  </si>
  <si>
    <t>CE-GC-0409</t>
  </si>
  <si>
    <t xml:space="preserve">YEISON ROBERTO CHACON BARAJAS </t>
  </si>
  <si>
    <t xml:space="preserve">LUZ STELLA TRUJILLO MURCIA </t>
  </si>
  <si>
    <t>GABRIEL PEÑA RAMIREZ</t>
  </si>
  <si>
    <t xml:space="preserve">GUZTAVO CRUZ LOZADA </t>
  </si>
  <si>
    <t xml:space="preserve">ALEXANDRA CAMACHO PINZON </t>
  </si>
  <si>
    <t xml:space="preserve">GLORIA LUCY CAMACHO PINZON </t>
  </si>
  <si>
    <t xml:space="preserve">LIQUIDACIÓN DE CONCURSO ECONOMICO </t>
  </si>
  <si>
    <t>CE-GC-0465</t>
  </si>
  <si>
    <t>Jhon Fredy Fierro Cuevas </t>
  </si>
  <si>
    <t>CE-GR-0414</t>
  </si>
  <si>
    <t xml:space="preserve">CONSTANCIAS  DE SITUACIONES LABORALES </t>
  </si>
  <si>
    <t>ANDRES FELIPE CUELLAR MEDINA</t>
  </si>
  <si>
    <t xml:space="preserve">SOLICITUD  DE INSTALACIÓN DE  VALLAS </t>
  </si>
  <si>
    <t>CE-GC-0466</t>
  </si>
  <si>
    <t>3200.09.116-156 Solicitud de apoyo institucional para la jornada de limpieza y cátedra ambiental en el barrio Ángel Ricardo SERVINTEGRAL</t>
  </si>
  <si>
    <t xml:space="preserve">CE-GC-0425 </t>
  </si>
  <si>
    <t>Constancia de hechos ocurridos el 13 de marzo de 2026 – Comité de Convivencia Laboral</t>
  </si>
  <si>
    <t>Constancia de acoso laboral y solicitud de respeto a recomendaciones médicas</t>
  </si>
  <si>
    <t>MAYE AGUDELO</t>
  </si>
  <si>
    <t>SOLICITUD RECOLECCION BASURA</t>
  </si>
  <si>
    <t xml:space="preserve">CE-GR-0439 </t>
  </si>
  <si>
    <t>CE-GC-0556</t>
  </si>
  <si>
    <t>CE-GC-0463</t>
  </si>
  <si>
    <t>PAOLA ANDREA RESTREPO CAMACHO</t>
  </si>
  <si>
    <t>SOLICITUD JORNADA DE ASEO PARADERO VIOLETA CARRERA 13</t>
  </si>
  <si>
    <t xml:space="preserve">CE-GC-0473 </t>
  </si>
  <si>
    <t>Heyder Valencia Orozco</t>
  </si>
  <si>
    <t>CE-GR-0440</t>
  </si>
  <si>
    <t xml:space="preserve">MERCEDES TRUJILLO OSPINA </t>
  </si>
  <si>
    <t>CE-GC-0443</t>
  </si>
  <si>
    <t>EX TRABAJADOR DE LA EMPRESA</t>
  </si>
  <si>
    <t>Respuesta a oficio CE-GT-0382 “Solicitud de ampliación de término – Radicado No. 0305 del 26 de febrero de 2026. “Petición de entrega de documentos derivados del contrato de trabajo</t>
  </si>
  <si>
    <t>CE-GT-0495</t>
  </si>
  <si>
    <t>YENSY YOELY RAMIREZ GARZON </t>
  </si>
  <si>
    <t xml:space="preserve">CRUZ ROJA </t>
  </si>
  <si>
    <t xml:space="preserve">CAPACITACIÓN DE JORNADA SENSIBILIZACIÓN DEL MANEJO DE RESIDUOS </t>
  </si>
  <si>
    <t xml:space="preserve">CE-GG-544 </t>
  </si>
  <si>
    <t xml:space="preserve">MARY DERLY PULIDO </t>
  </si>
  <si>
    <t>CE-GR-0442</t>
  </si>
  <si>
    <t xml:space="preserve">RAQUEL MRENO </t>
  </si>
  <si>
    <t>CE-GR-0441</t>
  </si>
  <si>
    <t xml:space="preserve">CARMI FAJARDO </t>
  </si>
  <si>
    <t xml:space="preserve">SANDRA LILIANA BARRIO </t>
  </si>
  <si>
    <t xml:space="preserve">ARNOLDO POLANA </t>
  </si>
  <si>
    <t xml:space="preserve">nO REQUIERE RESPUESTA </t>
  </si>
  <si>
    <t xml:space="preserve">ACTUALIZACIÓN DEL FORMATO DE CUENTA DE SUBSIDIOS </t>
  </si>
  <si>
    <t>CE-GC-0510</t>
  </si>
  <si>
    <t>CRISTIAN CAMILO ZAMBRANO CASTILLO</t>
  </si>
  <si>
    <t>CONVOCATORIA REUNIÓN ORDINARIA CPESF MARZO 2026</t>
  </si>
  <si>
    <t>CE-GC-0472-</t>
  </si>
  <si>
    <t>FERNEY ORTIZ MOLINA</t>
  </si>
  <si>
    <t xml:space="preserve">CE-GR-0575 </t>
  </si>
  <si>
    <t xml:space="preserve">BELEN DE SOCORRO </t>
  </si>
  <si>
    <t xml:space="preserve">SOLICITUD DE VINCULARSE AL EVENTO </t>
  </si>
  <si>
    <t>CE-GC-0520</t>
  </si>
  <si>
    <t xml:space="preserve">SOLICITUD DE NO DEFUSIOÓN DE AUDIOS </t>
  </si>
  <si>
    <t xml:space="preserve">CE-GR-0478 </t>
  </si>
  <si>
    <t xml:space="preserve">LUIS ALBERTO NUÑEZ MURCIA </t>
  </si>
  <si>
    <t>DERECHO DE PETICIÓN</t>
  </si>
  <si>
    <t>CE-GR-0491</t>
  </si>
  <si>
    <t xml:space="preserve">JUAN MIGUEL VARGAS GARCIA </t>
  </si>
  <si>
    <t>ESTRATEGIA GRANDES VOLUNTARIOS</t>
  </si>
  <si>
    <t>CE-GC-0479</t>
  </si>
  <si>
    <t>Solicitud de apoyo y acompañamiento institucional para jornada de limpieza y de educación ambiental en los Barrios La Ciudadela Siglo XXI y PTAR La Ciudadela Siglo XXI (Villa del Prado).</t>
  </si>
  <si>
    <t>CE-GC-0480</t>
  </si>
  <si>
    <t xml:space="preserve">JOSE LEANDRO CORREA BOTACHE </t>
  </si>
  <si>
    <t>CE-GC-0474</t>
  </si>
  <si>
    <t>COMUNICADO DE MEDIDA CAUTELAR, SUSPENSION DECRETO 00172 DE 2023</t>
  </si>
  <si>
    <t xml:space="preserve">MARIA ELENA PERDOMO </t>
  </si>
  <si>
    <t>CE-GR-0530</t>
  </si>
  <si>
    <t>MEDIDA CAUTELAR, SUSPENSION DECRETO 00172 DE 2023</t>
  </si>
  <si>
    <t xml:space="preserve">CE-GG-0628 </t>
  </si>
  <si>
    <t>JULIÁN LIZARAZO ROSAS</t>
  </si>
  <si>
    <t>CE-GC-0627</t>
  </si>
  <si>
    <t xml:space="preserve">NOLBERTO ROJAS </t>
  </si>
  <si>
    <t xml:space="preserve">INCONFORMIDAD DEL SERVICIO </t>
  </si>
  <si>
    <t xml:space="preserve">CE-GR-0518 </t>
  </si>
  <si>
    <t xml:space="preserve">LUIS FERNANDO SERNA </t>
  </si>
  <si>
    <t>JORNADA DE ASEO</t>
  </si>
  <si>
    <t>CE-GC-0481</t>
  </si>
  <si>
    <t xml:space="preserve">ALBEIRO VALENCIA </t>
  </si>
  <si>
    <t>CE-GC-0523</t>
  </si>
  <si>
    <t xml:space="preserve">NORELLY ORAYA </t>
  </si>
  <si>
    <t>CE-GC-0482</t>
  </si>
  <si>
    <t>SE ENTREGA FISICO</t>
  </si>
  <si>
    <t>Diana Milena Boada Sandoval </t>
  </si>
  <si>
    <t xml:space="preserve">DISPOSICIÓN FINAL DE MATERIALES METALICOS </t>
  </si>
  <si>
    <t>CE-GC-0493-</t>
  </si>
  <si>
    <t>DIANA CORRALES CHAVARRO</t>
  </si>
  <si>
    <t>CE-GC-0631</t>
  </si>
  <si>
    <t xml:space="preserve">RECOMEDACIONES MEDICA </t>
  </si>
  <si>
    <t>FLORESMIRO OSPINA RIASCOS</t>
  </si>
  <si>
    <t>CE-GR-0496</t>
  </si>
  <si>
    <t>JUAN MIGUEL VARGAS GARCÍA</t>
  </si>
  <si>
    <t>CE-GC-0501</t>
  </si>
  <si>
    <t xml:space="preserve">BATACHON </t>
  </si>
  <si>
    <t>CE-GC-0522</t>
  </si>
  <si>
    <t>07/04/206</t>
  </si>
  <si>
    <t>CARMEN NARVAES</t>
  </si>
  <si>
    <t>OMUNICADO DE MEDIDA CAUTELAR, SUSPENSION DECRETO 00172 DE 2023</t>
  </si>
  <si>
    <t xml:space="preserve"> JEFFERSON LOPEZ HOYOS</t>
  </si>
  <si>
    <t>SOLICITUD DE CAMARAS</t>
  </si>
  <si>
    <t xml:space="preserve">CE-GG-0557 </t>
  </si>
  <si>
    <t>ROSA ISABEL ALBA SANCHEZ</t>
  </si>
  <si>
    <t xml:space="preserve">CE-GR-0492 </t>
  </si>
  <si>
    <t xml:space="preserve">JOSE HORTA  QUINTERO </t>
  </si>
  <si>
    <t xml:space="preserve">CE-GR-0497 </t>
  </si>
  <si>
    <t xml:space="preserve">ROGELIO ROJAS </t>
  </si>
  <si>
    <t>CE-GC-0502</t>
  </si>
  <si>
    <t>ROLANDO GONZALEZ</t>
  </si>
  <si>
    <t>CE-GC-0545</t>
  </si>
  <si>
    <t>CAPACITACIÓN</t>
  </si>
  <si>
    <t xml:space="preserve">CE-GC-0519 </t>
  </si>
  <si>
    <t xml:space="preserve">GERARDO LLANOS </t>
  </si>
  <si>
    <t xml:space="preserve">EXONERACIÓN DEL COBRO </t>
  </si>
  <si>
    <t>CE-GC-0514</t>
  </si>
  <si>
    <t xml:space="preserve">ALFONSO ARIEL RAMON </t>
  </si>
  <si>
    <t>respuesta oficio No CE-GC-0431</t>
  </si>
  <si>
    <t>CE-GC-0532</t>
  </si>
  <si>
    <t>Clara Isabel Ramírez Santofimio</t>
  </si>
  <si>
    <t>  solicitud carrera 15#7-26 Juan XXIII</t>
  </si>
  <si>
    <t>CE-GR-0499</t>
  </si>
  <si>
    <t>Nubia Camelo Rincón</t>
  </si>
  <si>
    <t>SOLICITUD RECOGE BASURA UBICADA EN TRES (3) LONAS</t>
  </si>
  <si>
    <t>CE-GR-0500</t>
  </si>
  <si>
    <t>Álvaro José Quintero Meza</t>
  </si>
  <si>
    <t xml:space="preserve">reunion </t>
  </si>
  <si>
    <t xml:space="preserve">CE-GC-0521 </t>
  </si>
  <si>
    <t>Informe N°025 19-03-2026 Informe Tecnico Versalles</t>
  </si>
  <si>
    <t>Solicitud volqueta para recoger follaje de arboles</t>
  </si>
  <si>
    <t>CE-GR-0505</t>
  </si>
  <si>
    <t> Solicitud de visita a la planta de aprovechamiento</t>
  </si>
  <si>
    <t xml:space="preserve">CE-GR-0543 </t>
  </si>
  <si>
    <t xml:space="preserve">ELIANA TOBON </t>
  </si>
  <si>
    <t>Solicitud de convenio para recolección de RESPEL (Residuos Peligrosos)</t>
  </si>
  <si>
    <t>CE-GC-0508</t>
  </si>
  <si>
    <t>ANTONIO JOSÉ PALMEZANO RODRÍGUEZ</t>
  </si>
  <si>
    <t>Derecho de petición</t>
  </si>
  <si>
    <t>CE-GC-0517</t>
  </si>
  <si>
    <t>Pedro Vicente Caro Sosa</t>
  </si>
  <si>
    <t>¡Importante!! Actualización Condiciones Tributarias - ICONTEC 860.012.336-1</t>
  </si>
  <si>
    <t xml:space="preserve">JOSE ALEJANDRO GOMEZ RESTREPO </t>
  </si>
  <si>
    <t>SOLICITUD VERIFICACION SERVICIO DE ASEO COLISEO CUBIERTO JUAN VIESSI</t>
  </si>
  <si>
    <t xml:space="preserve">CAMARA DE COMERCIO </t>
  </si>
  <si>
    <t>otificacion de asentamiento No. S001437945 en  LA CAMARA DE COMERCIO DE FLORENCIA PARA EL CAQUETA </t>
  </si>
  <si>
    <t xml:space="preserve">CIRCULAR </t>
  </si>
  <si>
    <t xml:space="preserve">CE-GR-0531 </t>
  </si>
  <si>
    <t>JULIETA JARAMILLO OROZCO</t>
  </si>
  <si>
    <t>Mesa de trabajo de novedades en la prestación del servicio en las plazas de mercado del municipio de Florencia</t>
  </si>
  <si>
    <t>CE-GC-0536</t>
  </si>
  <si>
    <t>YEFFERSON OME PERDOMO</t>
  </si>
  <si>
    <t>SOLICITUD CONTENEDORES</t>
  </si>
  <si>
    <t>CE-GC-0549</t>
  </si>
  <si>
    <t>Proyecto de investigación académica: El proceso de mercadeo PRIMERA JORNADA LIMPIATÓN DE CUNETAS Y ALCANTARILLAS</t>
  </si>
  <si>
    <t>Felipe Yabur León</t>
  </si>
  <si>
    <t>Solicitud aseo y limpieza de lugar de evento</t>
  </si>
  <si>
    <t>CE-GC-0565</t>
  </si>
  <si>
    <t>Solicitud de pago completo de vacaciones y días laborados – Artículo 192 CST</t>
  </si>
  <si>
    <t>Respuesta a oficio CE-GC-0471 del 18-03-2026 con Rad interno No 2026-1-1-2148 del 18-03-2026</t>
  </si>
  <si>
    <t>AMAURY HERNANDO HERNANDEZ ÑUSTES</t>
  </si>
  <si>
    <t xml:space="preserve"> ENVIO OFICIOS NROS. 0540 - 0541 - RAD 3-2008-00459-00</t>
  </si>
  <si>
    <t>CE-GG-0683</t>
  </si>
  <si>
    <t>ANGELICA HERNANDEZ</t>
  </si>
  <si>
    <t xml:space="preserve"> COMUNICA ACTUACION PROCESAL RAD 2019-00070-00</t>
  </si>
  <si>
    <t>JAQUELINE LOPERA</t>
  </si>
  <si>
    <t>SOLICITUD DE REUNIÓN </t>
  </si>
  <si>
    <t>CE-GC-0645</t>
  </si>
  <si>
    <t xml:space="preserve">NEISER YELA </t>
  </si>
  <si>
    <t>SOLICITUD DE INFORMACIÓN DE LA DEUDA</t>
  </si>
  <si>
    <t xml:space="preserve">CE-GC-0525 </t>
  </si>
  <si>
    <t xml:space="preserve">CE-GC-0526 </t>
  </si>
  <si>
    <t>CE-GC-0534</t>
  </si>
  <si>
    <t>JUAN CARLOS DIAZ CHAUX</t>
  </si>
  <si>
    <t>DEFENSORIA</t>
  </si>
  <si>
    <t>SOLICITUD URGENTE DE INFORME DE LA ACCIÓN POPULAR</t>
  </si>
  <si>
    <t xml:space="preserve">CE-GC-0658 </t>
  </si>
  <si>
    <t xml:space="preserve">FAVIO SANCHEZ TOVAR </t>
  </si>
  <si>
    <t>INFORME CONSOLIDADO GESTIÓN DEL RIESGO</t>
  </si>
  <si>
    <t>Maira Estela Díaz Contreras</t>
  </si>
  <si>
    <t> Solicitud de apoyo para celebración del día del niño</t>
  </si>
  <si>
    <t>CE-GC-0550</t>
  </si>
  <si>
    <t>Respuesta a oficio con rad No 2026-1-1-1767 del 06-03-2026</t>
  </si>
  <si>
    <t>YESSENIA MOLSAVE</t>
  </si>
  <si>
    <t>CE-GC-0533</t>
  </si>
  <si>
    <t>CE-GC-0585</t>
  </si>
  <si>
    <t>Remisión memorias mesa de trabajo de fecha 24 de marzo de 2026</t>
  </si>
  <si>
    <t xml:space="preserve">RUBER ROMAN </t>
  </si>
  <si>
    <t xml:space="preserve">SOLICITUD DE INVITACIÓN </t>
  </si>
  <si>
    <t>CE-GC-0553</t>
  </si>
  <si>
    <t>RESPUESTA DE LA COTIZACIÓN</t>
  </si>
  <si>
    <t>CE-GC-0528</t>
  </si>
  <si>
    <t>JOSE RICARDO GUTIERREZ</t>
  </si>
  <si>
    <t xml:space="preserve">SOLIICTUD DE CAMBIO OPERADOR </t>
  </si>
  <si>
    <t>CE-GC-0524</t>
  </si>
  <si>
    <t>Respuesta a oficio CE-GC-0410</t>
  </si>
  <si>
    <t>JAIR PEREZ</t>
  </si>
  <si>
    <t xml:space="preserve">SOLICITUD DE RECOLECCIÓN </t>
  </si>
  <si>
    <t>CE-GC-0548</t>
  </si>
  <si>
    <t>RODRIGO SUAREZ</t>
  </si>
  <si>
    <t xml:space="preserve">SOLICITUD DE DEVOLUCIÓN </t>
  </si>
  <si>
    <t xml:space="preserve">CE-GC-0602 </t>
  </si>
  <si>
    <t xml:space="preserve">MARIA LUZ ANGELA CARDOZO </t>
  </si>
  <si>
    <t>CE-GC-0541</t>
  </si>
  <si>
    <t>. ANGÉLICA MARÍA MOLINA SUÁREZ</t>
  </si>
  <si>
    <t>KAREN VARGAS</t>
  </si>
  <si>
    <t xml:space="preserve">CITACIÓN </t>
  </si>
  <si>
    <t>DIANA MARCELA SUAREZ JIMENEZ</t>
  </si>
  <si>
    <t xml:space="preserve">CE-GR-0539 </t>
  </si>
  <si>
    <t xml:space="preserve">MILENA BAHO </t>
  </si>
  <si>
    <t xml:space="preserve">SOLICITUD DE MODIFICACIÓN DEL RECIBO </t>
  </si>
  <si>
    <t>CE-GC-0563</t>
  </si>
  <si>
    <t xml:space="preserve">YURY ANDREA BARRERA </t>
  </si>
  <si>
    <t xml:space="preserve">CE-GR-0540 </t>
  </si>
  <si>
    <t>LUCEIDER HERNNADEZ</t>
  </si>
  <si>
    <t>CE-GC-0554</t>
  </si>
  <si>
    <t>MARIA ISABEL PINEDA</t>
  </si>
  <si>
    <t>SOLICITUD DE PROHIBIDO BOTAR BASURA</t>
  </si>
  <si>
    <t>CE-GC-0622</t>
  </si>
  <si>
    <t>Javier Rincón Muñoz</t>
  </si>
  <si>
    <t> Solicitud de certificado de disponibilidad del servicio de recolección</t>
  </si>
  <si>
    <t>CE-GC-0555</t>
  </si>
  <si>
    <t> yuli andrea larrahondo silva</t>
  </si>
  <si>
    <t>CE-GC-0596</t>
  </si>
  <si>
    <t xml:space="preserve">OSCAR SOLANO </t>
  </si>
  <si>
    <t>INFORMACIÓN DE DESCUENTO EN LA DEUDA</t>
  </si>
  <si>
    <t>CE-GC-0584</t>
  </si>
  <si>
    <t xml:space="preserve">YEINNY NATALIA MUÑOZ </t>
  </si>
  <si>
    <t>OFERTAS ACADEMICA</t>
  </si>
  <si>
    <t xml:space="preserve">JEISON OVIEDO </t>
  </si>
  <si>
    <t>SOLICITUD DE CAMARA</t>
  </si>
  <si>
    <t>CE-GG-0588</t>
  </si>
  <si>
    <t>ARACELY DURAN CARVAJAL</t>
  </si>
  <si>
    <t xml:space="preserve">PODA DE ARBOLES </t>
  </si>
  <si>
    <t xml:space="preserve">CE-GR-0551 </t>
  </si>
  <si>
    <t xml:space="preserve">JESUS GARCIA </t>
  </si>
  <si>
    <t xml:space="preserve">SOLICITUD DE CERTIIFCADO </t>
  </si>
  <si>
    <t xml:space="preserve">CE-GC-0561 </t>
  </si>
  <si>
    <t xml:space="preserve">ROBINSON TRUJILLO </t>
  </si>
  <si>
    <t xml:space="preserve">CE-GC-0564 </t>
  </si>
  <si>
    <t xml:space="preserve">CAMEN ARELIS IBARRA </t>
  </si>
  <si>
    <t>CE-GR-0552</t>
  </si>
  <si>
    <t>ACTA No 02 del 24 MARZO 2026</t>
  </si>
  <si>
    <t xml:space="preserve">CESAR VARGAS </t>
  </si>
  <si>
    <t>CE-GC-0574</t>
  </si>
  <si>
    <t xml:space="preserve">MONICA YULIETH MOSQUERA </t>
  </si>
  <si>
    <t>CE-GC-0560</t>
  </si>
  <si>
    <t>ANGELA VIVIANA CASTAÑEDA LEGUIZAMON</t>
  </si>
  <si>
    <t>SOLICITUD AVISO PROHIBIDO BOTAR BASURAS O ESCOMBROS</t>
  </si>
  <si>
    <t>CE-GC-0569</t>
  </si>
  <si>
    <t>LIQUIDACION DEL SERVICIO DE ASEO SERVINTEGRAL S.A E.S.P </t>
  </si>
  <si>
    <t>CE-GC-0586</t>
  </si>
  <si>
    <t xml:space="preserve">FIANCO </t>
  </si>
  <si>
    <t>CE-GT-0559</t>
  </si>
  <si>
    <t> INVITACIÓN Y APOYO INTERINSTITUCIONAL ACTIVIDAD " GRANDES VECINOS" - COMUNA ORIENTAL</t>
  </si>
  <si>
    <t>CE-GC-0572</t>
  </si>
  <si>
    <t xml:space="preserve">KARLA LIZCANO </t>
  </si>
  <si>
    <t xml:space="preserve">CONVOCATORIA REUNIÓN </t>
  </si>
  <si>
    <t>CE-GC-0580</t>
  </si>
  <si>
    <t xml:space="preserve">CRISTIAN JAVIER CABALLERO </t>
  </si>
  <si>
    <t xml:space="preserve">LARANDIA </t>
  </si>
  <si>
    <t>REUNIÓN MESA DE TRABAJO</t>
  </si>
  <si>
    <t>CE-GC-0573</t>
  </si>
  <si>
    <t xml:space="preserve">DERECHO DE DEFENSA </t>
  </si>
  <si>
    <t>JEIDY CAROLIA DIAZ</t>
  </si>
  <si>
    <t xml:space="preserve">CE-GR-0588 </t>
  </si>
  <si>
    <t>Carlos Andrés cangrejo hoyos </t>
  </si>
  <si>
    <t xml:space="preserve">INFORMACIÓN DE LA DEUDA DE ASEO </t>
  </si>
  <si>
    <t>CE-GC-0606</t>
  </si>
  <si>
    <t xml:space="preserve">FLORESMIRO OSPINA </t>
  </si>
  <si>
    <t>CE-GC-0694</t>
  </si>
  <si>
    <t>Abner Jesús Gutiérrez Vargas.</t>
  </si>
  <si>
    <t>RECURSO DE REPOSICIÓN - INCUMPLIMIENTO PQR No. 26-286 - Matrícula 195548394</t>
  </si>
  <si>
    <t xml:space="preserve">CE-GC-0601 </t>
  </si>
  <si>
    <t>CE-GC-0681</t>
  </si>
  <si>
    <t>Ángela Yeraldine Díaz Pantoja</t>
  </si>
  <si>
    <t>PARTICIPACION CAMPAÑA POSCONSUMO SERVINTEGRAL</t>
  </si>
  <si>
    <t>CE-GC-0634</t>
  </si>
  <si>
    <t>OSCAR FERNANDO QUINO BONILLA</t>
  </si>
  <si>
    <t>Solicitud de unificación de cobro del servicio de aseo</t>
  </si>
  <si>
    <t>CE-GC-0592</t>
  </si>
  <si>
    <t>ALVARO GONZALEZ</t>
  </si>
  <si>
    <t>CE-GC-0593</t>
  </si>
  <si>
    <t xml:space="preserve">NORBEY RIVERA </t>
  </si>
  <si>
    <t>INFORMACIÓN DE LA DEUDA DE ASEO</t>
  </si>
  <si>
    <t>CE-GC-0600</t>
  </si>
  <si>
    <t>Andrés Torres Castro</t>
  </si>
  <si>
    <t xml:space="preserve">DAÑOS DEL VEHICULO </t>
  </si>
  <si>
    <t xml:space="preserve">CE-GR-0697 </t>
  </si>
  <si>
    <t>Maria OVidlaArroyo Rojas</t>
  </si>
  <si>
    <t xml:space="preserve"> aplicación tarifa casa deshabitada</t>
  </si>
  <si>
    <t xml:space="preserve">CE-GC-0594 </t>
  </si>
  <si>
    <t xml:space="preserve">LINA PATRICIA MEJIA </t>
  </si>
  <si>
    <t>Solicitud de apoyo para poda en la Biblioteca Municipal La Gloria</t>
  </si>
  <si>
    <t xml:space="preserve">LUIS JOSE NARANJO </t>
  </si>
  <si>
    <t>CE-GC-0598</t>
  </si>
  <si>
    <t xml:space="preserve">JOSE CENTERO </t>
  </si>
  <si>
    <t>CE-GR-0589</t>
  </si>
  <si>
    <t xml:space="preserve">AURORA RADA </t>
  </si>
  <si>
    <t>CE-GC-0617</t>
  </si>
  <si>
    <t xml:space="preserve">DANY LORENA RIVERA </t>
  </si>
  <si>
    <t xml:space="preserve">SOLICITUD DE INFORMACIÓN DE LA DEUDA DE ASEO </t>
  </si>
  <si>
    <t xml:space="preserve">MAUEL ARTURO OLARTE </t>
  </si>
  <si>
    <t xml:space="preserve">SOLIICTUD DE DEVOLUCIÓN </t>
  </si>
  <si>
    <t>CE-GC-0718</t>
  </si>
  <si>
    <t>INVITACIÓN Y APOYO INTERINSTITUCIONAL ACTIVIDAD " GRANDES VECINOS" - COMUNA ORIENTAL</t>
  </si>
  <si>
    <t>WILLYAM HERRERA LONDOÑO</t>
  </si>
  <si>
    <t xml:space="preserve">SOLICITUD DE NO EL COBRO </t>
  </si>
  <si>
    <t>CE-GC-0639</t>
  </si>
  <si>
    <t xml:space="preserve">EIDER DEVIA </t>
  </si>
  <si>
    <t xml:space="preserve">CE-GC-0643 </t>
  </si>
  <si>
    <t xml:space="preserve">HERNAN DARIO </t>
  </si>
  <si>
    <t xml:space="preserve">INCREMETO DE COBRO </t>
  </si>
  <si>
    <t>CE-GC-0637</t>
  </si>
  <si>
    <t>CE-GC-0587</t>
  </si>
  <si>
    <t>CE-GC-0643</t>
  </si>
  <si>
    <t xml:space="preserve">LILIANA TRUJILLO </t>
  </si>
  <si>
    <t>SOLICITUD DE RECOLECCIÓN </t>
  </si>
  <si>
    <t>CE-GR-0591</t>
  </si>
  <si>
    <t xml:space="preserve">ANDRES FERNANDO GARZON </t>
  </si>
  <si>
    <t>CE-GC-0641</t>
  </si>
  <si>
    <t>NIEVE LUCRECIA ADEVIA</t>
  </si>
  <si>
    <t xml:space="preserve">CE-GG-0638 </t>
  </si>
  <si>
    <t>HAIR TOVAR GOMEZ</t>
  </si>
  <si>
    <t>CE-GC-0660</t>
  </si>
  <si>
    <t xml:space="preserve">FRANCISCO CUELLAR </t>
  </si>
  <si>
    <t xml:space="preserve">SOLICITUD DE LETRERO </t>
  </si>
  <si>
    <t>CE-GC-0630</t>
  </si>
  <si>
    <t xml:space="preserve">EDUARDO TEJADA </t>
  </si>
  <si>
    <t>Cambios en nombre de novedades</t>
  </si>
  <si>
    <t xml:space="preserve">STIVEL CASTEBLACO </t>
  </si>
  <si>
    <t xml:space="preserve">CE-GR-0665 </t>
  </si>
  <si>
    <t>ANGIE LOZADA</t>
  </si>
  <si>
    <t xml:space="preserve">INVITACIÓN </t>
  </si>
  <si>
    <t xml:space="preserve">CE-GC-0716 </t>
  </si>
  <si>
    <t>Respuesta a oficio CE-GC-0537 del 30-03-2026 con rad interno 2026-1-1-2615 del 08-04-2026</t>
  </si>
  <si>
    <t xml:space="preserve">MODICICACIÓN DEL RECIBO </t>
  </si>
  <si>
    <t>CE-GC-0661</t>
  </si>
  <si>
    <t>YENI CAROLINA VILLAMIL</t>
  </si>
  <si>
    <t>raslado por competencia del oficio con rad No 2026-1-1-2402</t>
  </si>
  <si>
    <t>CE-GC-0688</t>
  </si>
  <si>
    <t>. JUAN CARLOS GAITAN ORTEGON</t>
  </si>
  <si>
    <t xml:space="preserve">SUSPENSIÓN DEL SERVICIO </t>
  </si>
  <si>
    <t xml:space="preserve">CE-GC-0662 </t>
  </si>
  <si>
    <t>Respuesta a oficio CE-GC-0562 del 05-04-2026 con Rad interno No 2026-1-1-2616 del 06-04-2026</t>
  </si>
  <si>
    <t>ALBA AURORA ROJA</t>
  </si>
  <si>
    <t xml:space="preserve">CE-GC-0626 </t>
  </si>
  <si>
    <t>CE-GC-0679</t>
  </si>
  <si>
    <t>CE-GC-0696</t>
  </si>
  <si>
    <t xml:space="preserve">JULIO CESAR VERA </t>
  </si>
  <si>
    <t>DOCUMENTOS DE REVISORIA FISCAL 2026</t>
  </si>
  <si>
    <t xml:space="preserve">GERENCIA </t>
  </si>
  <si>
    <t xml:space="preserve">Diego Armando Medina Quintero </t>
  </si>
  <si>
    <t> ENVIO OFICIO DE CITACION TRAMITE CATASTRAL 2025-8831</t>
  </si>
  <si>
    <t>Respuesta a oficio del 15-01-2026 con Rad interno No 2026-1-1-352 del 15-01-2026 </t>
  </si>
  <si>
    <t xml:space="preserve">CE-GG-0801 </t>
  </si>
  <si>
    <t xml:space="preserve">
Juan Miguel Vargas García</t>
  </si>
  <si>
    <t>CONMEMORACIÓN DÍA INTERNACIONAL DE LOS MONUMENTOS </t>
  </si>
  <si>
    <t>CE-GC-0642</t>
  </si>
  <si>
    <t>Viviana castaño </t>
  </si>
  <si>
    <t>SOLICITUD RECOGIDA DE UN COLCON </t>
  </si>
  <si>
    <t>CE-GR-0633</t>
  </si>
  <si>
    <t xml:space="preserve">GONZALO BARRAGAN </t>
  </si>
  <si>
    <t xml:space="preserve">EX TRABAJADOR </t>
  </si>
  <si>
    <t>DERECHO DE PETICIÓN </t>
  </si>
  <si>
    <t>DIANA PATRICIA MONTES</t>
  </si>
  <si>
    <t>AEROPUERTO</t>
  </si>
  <si>
    <t>CE-GC-0644</t>
  </si>
  <si>
    <t>Invitación a participar en la formulación del Plan de Acción Específico</t>
  </si>
  <si>
    <t>CE-GC-0659</t>
  </si>
  <si>
    <t xml:space="preserve">MARIA GIL FRANCO </t>
  </si>
  <si>
    <t>VINCULACIÓN</t>
  </si>
  <si>
    <t>OSCAR EDUARDO AVILA</t>
  </si>
  <si>
    <t> SOLICITUD DE CERTIFICADO </t>
  </si>
  <si>
    <t>CE-GC-0636</t>
  </si>
  <si>
    <t>JANETH CECILIA MORERA URREGO</t>
  </si>
  <si>
    <t>DESCUENTO EN TARIFA DE ASEO POR PREDIO DESHABITADO</t>
  </si>
  <si>
    <t>CE-GC-0743</t>
  </si>
  <si>
    <t>Solicitud de apoyo y acompañamiento institucional SERVINTEGRAL</t>
  </si>
  <si>
    <t>CE-GC-0712</t>
  </si>
  <si>
    <t>Convocatoria a Jornada de Paz con la Naturaleza Servintegral</t>
  </si>
  <si>
    <t>CE-GC-0647</t>
  </si>
  <si>
    <t xml:space="preserve">ANIVAL GAVIRIA </t>
  </si>
  <si>
    <t>SOLICITUD DE APOYO</t>
  </si>
  <si>
    <t>CE-GR-0640</t>
  </si>
  <si>
    <t>3200.09.116-267 Solicitud de apoyo y acompañamiento institucional para jornada de limpieza y educación ambiental en el Barrio Jesús Ángel González</t>
  </si>
  <si>
    <t>CE-GC-0646</t>
  </si>
  <si>
    <t>Leidi Milena Santamaría Pérez</t>
  </si>
  <si>
    <t>COR 6903</t>
  </si>
  <si>
    <t>CE-GC-0695</t>
  </si>
  <si>
    <t>CE-GC-0682</t>
  </si>
  <si>
    <t>CE-GC-0666</t>
  </si>
  <si>
    <t>Camilo Penagos Pacheco</t>
  </si>
  <si>
    <t>Solicitud de charla o capacitación sobre manejo de residuos</t>
  </si>
  <si>
    <t xml:space="preserve">CE-GG-706 </t>
  </si>
  <si>
    <t xml:space="preserve">GIOVANY FRANCISCO LARA </t>
  </si>
  <si>
    <t xml:space="preserve">CE-GR-0655 </t>
  </si>
  <si>
    <t>AURORA GOMEZ</t>
  </si>
  <si>
    <t>CE-GC-0685</t>
  </si>
  <si>
    <t>DIANA DIAZ</t>
  </si>
  <si>
    <t>DESCUENTO EN LA DEUDA DE ASEO</t>
  </si>
  <si>
    <t>CE-GC- 0732</t>
  </si>
  <si>
    <t>SONIA ELIZABETH CAICEDO CLAVIJO</t>
  </si>
  <si>
    <t>CE-GC-0714</t>
  </si>
  <si>
    <t xml:space="preserve">BALTAZAR DOMINGUEZ </t>
  </si>
  <si>
    <t>DIA CÍVICO -  DECRETO No 1000-22-00118 DEL 15 DE ABRIL DEL 2026</t>
  </si>
  <si>
    <t>Martha Lucía loaiza mavesoy</t>
  </si>
  <si>
    <t>SOLICITUD  DE RECOGER UNOS MUEBLES</t>
  </si>
  <si>
    <t>CE-GR-0664</t>
  </si>
  <si>
    <t>Albeiro Arteaga</t>
  </si>
  <si>
    <t>CE-GC-0717</t>
  </si>
  <si>
    <t>Juan Sebastian Obregón Cuellar</t>
  </si>
  <si>
    <t xml:space="preserve">QUEJA FORMAL QUE NO LE RECOGE LA BASURA </t>
  </si>
  <si>
    <t xml:space="preserve">CE-GR-0663 </t>
  </si>
  <si>
    <t>ALVARO PERALTA</t>
  </si>
  <si>
    <t xml:space="preserve">PROPUESTA  PARA PUBLICIDAD EN MEDIO DIGITAL </t>
  </si>
  <si>
    <t xml:space="preserve">MARIA YANIT TRUJILLO </t>
  </si>
  <si>
    <t xml:space="preserve">SOLICITUD PAZ Y SALVO </t>
  </si>
  <si>
    <t>CE-GC-0680</t>
  </si>
  <si>
    <t>SILENCIO ADMINISTRATIVO POSITIVO</t>
  </si>
  <si>
    <t xml:space="preserve">RESIDUOS DE MADERA </t>
  </si>
  <si>
    <t>CE-GR-0684</t>
  </si>
  <si>
    <t>Gerson Casanova Cardoso</t>
  </si>
  <si>
    <t>Solicitud limpiezaa Cancha la Planada de las Malvinas</t>
  </si>
  <si>
    <t>CE-GR-0686</t>
  </si>
  <si>
    <t>Octavio Carvajal Duque)</t>
  </si>
  <si>
    <t>CE-GC-0781</t>
  </si>
  <si>
    <t xml:space="preserve">LINA PAOLA SILVA MORENO </t>
  </si>
  <si>
    <t>CE-GC-0711</t>
  </si>
  <si>
    <t xml:space="preserve">SE HIZO RECURSO </t>
  </si>
  <si>
    <t xml:space="preserve">RAMIRO MUÑOZ </t>
  </si>
  <si>
    <t>CE-GC-0702</t>
  </si>
  <si>
    <t xml:space="preserve">JAVIER RINCON </t>
  </si>
  <si>
    <t>CE-GC-0699</t>
  </si>
  <si>
    <t>CARLOS ARTURO PEDROZA</t>
  </si>
  <si>
    <t>GS-2026-035546-DECAQ</t>
  </si>
  <si>
    <t>CE-GC-0707</t>
  </si>
  <si>
    <t>Pablo Alejandro Maximiliano Beltran Guzma</t>
  </si>
  <si>
    <t>Recolección material vegetal</t>
  </si>
  <si>
    <t>CE-GR-0698</t>
  </si>
  <si>
    <t>JAIDER ANTONIO SABALLET</t>
  </si>
  <si>
    <t>remisión por competencia petición del señor José Jesús Giraldo García</t>
  </si>
  <si>
    <t>CE-GC-0703</t>
  </si>
  <si>
    <t xml:space="preserve">KELLY JHOANA ACOSTA </t>
  </si>
  <si>
    <t xml:space="preserve">RUBEN DARIO  QUINCHUA </t>
  </si>
  <si>
    <t xml:space="preserve">LINA DANIELA ANTURI </t>
  </si>
  <si>
    <t xml:space="preserve">SECRETARIA DE OBRA </t>
  </si>
  <si>
    <t>Convocatoria a Comite de Conocimiento del Riesgo</t>
  </si>
  <si>
    <t>CE-GC-0738</t>
  </si>
  <si>
    <t xml:space="preserve">IANA CAROLINA TRUJILLO ORTIZ </t>
  </si>
  <si>
    <t>REITERACIÓN SOLICITUD URGENTE DE INFORME DE LA ACCIÓN POPULAR No. 18-001-33-33-002-2020-00307-00 </t>
  </si>
  <si>
    <t>CE-GG-0826</t>
  </si>
  <si>
    <t>ALBERTO AGUIRRE GOMEZ</t>
  </si>
  <si>
    <t>CE-GR-0719</t>
  </si>
  <si>
    <t>Carolina Cortés Rojas</t>
  </si>
  <si>
    <t>ENVIO OFICIOS NROS. 0637 - 0636  - RAD 2025-00188-00</t>
  </si>
  <si>
    <t xml:space="preserve">CE-GG-0705 </t>
  </si>
  <si>
    <t xml:space="preserve">JOSE ZAPATA </t>
  </si>
  <si>
    <t>CE-GC-0704</t>
  </si>
  <si>
    <t> SOLICITUD DE PARTICIPACIÓN Y APOYO</t>
  </si>
  <si>
    <t>CE-GC-0713</t>
  </si>
  <si>
    <t>FRANCISCO MANUEL JARAMILLO RESTREPO</t>
  </si>
  <si>
    <t>Solicitud registros videografico – cámaras de seguridad</t>
  </si>
  <si>
    <t>CE-GG-0735</t>
  </si>
  <si>
    <t>ROBINSON RODRIGUEZ</t>
  </si>
  <si>
    <t>22/04/2026</t>
  </si>
  <si>
    <t>LAURA GIRALDO</t>
  </si>
  <si>
    <t>CE-GC-0754</t>
  </si>
  <si>
    <t xml:space="preserve">CECILIA </t>
  </si>
  <si>
    <t>SOLICITID DE PODA</t>
  </si>
  <si>
    <t xml:space="preserve">CE-GR-0720 </t>
  </si>
  <si>
    <t xml:space="preserve"> 3200.09.116-294 Cancelación de solicitud de acompañamiento institucional para jornadas ambientales</t>
  </si>
  <si>
    <t xml:space="preserve">DORIS ULCUE </t>
  </si>
  <si>
    <t>Descuento en deuda de aseo</t>
  </si>
  <si>
    <t>CE-GC-0724</t>
  </si>
  <si>
    <t xml:space="preserve">YIRLEY CUMACO </t>
  </si>
  <si>
    <t xml:space="preserve">SOLICITUD DE LOGISTICA </t>
  </si>
  <si>
    <t xml:space="preserve">CE-GR-0751 </t>
  </si>
  <si>
    <t>SINVITACIÓN 3 CONSEJO MUNICIPAL DE GESTIÓN DEL RIESGO Y DESASTRE</t>
  </si>
  <si>
    <t>CE-GC-0729</t>
  </si>
  <si>
    <t> Oscar Medina Guaca</t>
  </si>
  <si>
    <t>Soporte de pago de descuentos de nómina</t>
  </si>
  <si>
    <t>CE-GT-0808</t>
  </si>
  <si>
    <t>CE-GC-0715</t>
  </si>
  <si>
    <t>LARITZA GERALDINE CHAVEZ MORENO</t>
  </si>
  <si>
    <t xml:space="preserve">SOLIICTUD DE DOCUMENTACIÓN </t>
  </si>
  <si>
    <t xml:space="preserve">YUDY DELGADO </t>
  </si>
  <si>
    <t>CE-GC-0771</t>
  </si>
  <si>
    <t>Margghy Manasse</t>
  </si>
  <si>
    <t>CE-GR-0722</t>
  </si>
  <si>
    <t xml:space="preserve">WILFREDO MURCIA </t>
  </si>
  <si>
    <t>CE-GC-0838</t>
  </si>
  <si>
    <t>OFICIO CONVOCATORIA REUNIÓN ORDINARIA CPESF ABRIL 2026</t>
  </si>
  <si>
    <t>23/04/2026</t>
  </si>
  <si>
    <t>CE-GC-0723</t>
  </si>
  <si>
    <t xml:space="preserve">LILIANA CARDOZO </t>
  </si>
  <si>
    <t xml:space="preserve">REINTEGRO VALORES COBRADOS </t>
  </si>
  <si>
    <t>CE-GC-0813</t>
  </si>
  <si>
    <t xml:space="preserve">RESPUESTA </t>
  </si>
  <si>
    <t>Yaneth Talero Lozano</t>
  </si>
  <si>
    <t>Fwd: Solicitud información</t>
  </si>
  <si>
    <t>CE-GC-0727</t>
  </si>
  <si>
    <t xml:space="preserve">INVITACIÓN A UN A MESA DE TRABAJO </t>
  </si>
  <si>
    <t>CE-GC-0747</t>
  </si>
  <si>
    <t xml:space="preserve">JANETH LOZANO </t>
  </si>
  <si>
    <t>CE-GC-0753</t>
  </si>
  <si>
    <t>secambienterural@florencia-caqueta.gov.co</t>
  </si>
  <si>
    <t>3200.09.116-310 Solicitud de información técnica de indicadores ambientales – I Trimestre 2026.</t>
  </si>
  <si>
    <t>CE-GR-0725</t>
  </si>
  <si>
    <t xml:space="preserve">LUIS ANTONIO TRUJILLO </t>
  </si>
  <si>
    <t xml:space="preserve">CE-GR-0726 </t>
  </si>
  <si>
    <t xml:space="preserve">FLOR ALBA VILLARAGA </t>
  </si>
  <si>
    <t xml:space="preserve">CE-GC-0737 </t>
  </si>
  <si>
    <t>correocertificadonotificaciones@4-72.com.co</t>
  </si>
  <si>
    <t>PUESTA EN CONOCIMIENTO PRESUNTO ACOSO LABORAL CON CONNOTACIÓN SEXUAL Y SOLICITUD DE ACOMPAÑAMIENTO.</t>
  </si>
  <si>
    <t>RAFAEL RICARDO J. BENAVIDEZ</t>
  </si>
  <si>
    <t xml:space="preserve">PROCESO DE ALIMENTOS </t>
  </si>
  <si>
    <t>CE-GT- 0763</t>
  </si>
  <si>
    <t>MANUEL ARTURO</t>
  </si>
  <si>
    <t>Re: CE-GC-0718-RAD 0560-Respuesta a su solicitud con radicado No. 0560 del 07 de abril de 2026. Solicitud devolución de dinero.</t>
  </si>
  <si>
    <t>24/04/2026</t>
  </si>
  <si>
    <t>CARLOS EDUARDO PERALTA JARAMILLO</t>
  </si>
  <si>
    <t>formación sobre recolección de residuos vegetales</t>
  </si>
  <si>
    <t xml:space="preserve">CE-GR-0736 </t>
  </si>
  <si>
    <t>franciscom.jaramillo@fiscalia.gov.co</t>
  </si>
  <si>
    <t xml:space="preserve">FISCALIA </t>
  </si>
  <si>
    <t xml:space="preserve">RV: Solicitud registros videografico – cámaras de seguridad </t>
  </si>
  <si>
    <t>27/04/2026</t>
  </si>
  <si>
    <t>comercialpqr@servintegral.com.co</t>
  </si>
  <si>
    <t>RV: SOLICITUD DEVOLUCIÓN DINEROS COBRADOS Y CANCELACIÓN TARIFA DE ASEO</t>
  </si>
  <si>
    <t>CE-GC-0814-</t>
  </si>
  <si>
    <t>ventanilla.unicasaliente@electrocaqueta.com.co</t>
  </si>
  <si>
    <t>Respuesta a oficio CE-GC-0614 del 13-04-2026 con Rad interno No 2026-1-1-2813 del 14-04-2026</t>
  </si>
  <si>
    <t>gerencia@caquetadiversa.org</t>
  </si>
  <si>
    <t>Solicitud de apoyo de X Festival Folclórico de la Diversidad LGBTIQ+ “Evolucionemos Juntos”.</t>
  </si>
  <si>
    <t xml:space="preserve">CE-GC-0750 </t>
  </si>
  <si>
    <t xml:space="preserve">LINA MARCELA RODRIGUEZ </t>
  </si>
  <si>
    <t>Solicitud de información pago por parte de ElectroCaquetá</t>
  </si>
  <si>
    <t xml:space="preserve">CE-GG-0774 </t>
  </si>
  <si>
    <t>NICOLÁS MAJÉ CÁRDENAS</t>
  </si>
  <si>
    <t>CE-GR-0740</t>
  </si>
  <si>
    <t>caritotrujilloortiz@gmail.com</t>
  </si>
  <si>
    <t>Fwd: REITERACIÓN SOLICITUD URGENTE DE INFORME DE LA ACCIÓN POPULAR No. 18-001-33-33-002-2020-00307-00</t>
  </si>
  <si>
    <t xml:space="preserve">CE-GG-0826 </t>
  </si>
  <si>
    <t xml:space="preserve">	Yina Bolena Toledo Polania</t>
  </si>
  <si>
    <t>CANCELACIÓN DEL SERVICIO</t>
  </si>
  <si>
    <t>CE-GC-0778</t>
  </si>
  <si>
    <t>Gerencia de Cuentas y Recaudo</t>
  </si>
  <si>
    <t>COLFONDO</t>
  </si>
  <si>
    <t>Laisa Kalila Baez Velasquez</t>
  </si>
  <si>
    <t>Presentación Programa - Ruta Recorrer</t>
  </si>
  <si>
    <t xml:space="preserve">LUZ MARY HURTADO POLANIA </t>
  </si>
  <si>
    <t>CE-GC-0744</t>
  </si>
  <si>
    <t xml:space="preserve">Sarelly Andapiña Vargas </t>
  </si>
  <si>
    <t xml:space="preserve">RECOLECCIÓN DE RESIDUOS </t>
  </si>
  <si>
    <t>PLAN DE ACCIÓN ESPECIFICO PAE</t>
  </si>
  <si>
    <t>Luceider H</t>
  </si>
  <si>
    <t>Solicitud poda de árboles</t>
  </si>
  <si>
    <t xml:space="preserve">	GINA MENDEZ</t>
  </si>
  <si>
    <t xml:space="preserve">FERNANDO HERRERA </t>
  </si>
  <si>
    <t>CARLOS EDUARDO OBANDO</t>
  </si>
  <si>
    <t xml:space="preserve"> EXONERACION DE PAGO SERVICIO DE ASEO</t>
  </si>
  <si>
    <t>CE-GC-0755</t>
  </si>
  <si>
    <t>3200.09.116-316 Solicitud de apoyo institucional para jornada de limpieza Barrio la Consolata SERVINTEGRAL</t>
  </si>
  <si>
    <t>CE-GC-0759</t>
  </si>
  <si>
    <t>CE-GC-0864</t>
  </si>
  <si>
    <t>CE-GC-0757</t>
  </si>
  <si>
    <t>Usuarios con terminación del contrato de servicios públicos </t>
  </si>
  <si>
    <t>Respuesta a oficio CE-GC-613 del 13-04-2026 con rad No 2026-1-1-2808 del 14-04-2026</t>
  </si>
  <si>
    <t>28/04/2026</t>
  </si>
  <si>
    <t xml:space="preserve">OTRO </t>
  </si>
  <si>
    <t>JORGE LUIS LARA</t>
  </si>
  <si>
    <t>Información</t>
  </si>
  <si>
    <t>CE-GC-0765</t>
  </si>
  <si>
    <t xml:space="preserve">RUGOBERTO QUILINDO </t>
  </si>
  <si>
    <t xml:space="preserve">SOLICITUD DE CAPACIÓN </t>
  </si>
  <si>
    <t xml:space="preserve">CE-GG-818 </t>
  </si>
  <si>
    <t>OLICITUD URGENTE: Reporte de aprovechamiento y disposición final de residuos - Seguimiento PGIRS.</t>
  </si>
  <si>
    <t>CE-GR-0770</t>
  </si>
  <si>
    <t xml:space="preserve">YEFERSON OME </t>
  </si>
  <si>
    <t xml:space="preserve">RESPUESTA COMUNICACION CE-GC-0549
</t>
  </si>
  <si>
    <t>CE-GC-0764</t>
  </si>
  <si>
    <t>CE-GC-0796</t>
  </si>
  <si>
    <t>Derecho Petición</t>
  </si>
  <si>
    <t>29/04/2026</t>
  </si>
  <si>
    <t>CE-GC-0779</t>
  </si>
  <si>
    <t xml:space="preserve">LUZ MARINA RODRIGUEZ </t>
  </si>
  <si>
    <t xml:space="preserve">SOLICITUD DE RECLAMACIÓN LIQUIDACIÓN DE ASEO </t>
  </si>
  <si>
    <t>CE-GC-0792</t>
  </si>
  <si>
    <t>U</t>
  </si>
  <si>
    <t>Solicitud servicio recolección de residuos vegetales</t>
  </si>
  <si>
    <t>CE-GR-0762</t>
  </si>
  <si>
    <t>3200.09.116-326 Convocatoria a Reunión Extraordinaria</t>
  </si>
  <si>
    <t>CE-GC-0782</t>
  </si>
  <si>
    <t>Grupo SUI AAA - Capacitaciones</t>
  </si>
  <si>
    <t>Invitación a entrenamiento SUI </t>
  </si>
  <si>
    <t>CE-GC-0846</t>
  </si>
  <si>
    <t>SUPERSERVICIOS</t>
  </si>
  <si>
    <t xml:space="preserve">Actualización RUPS </t>
  </si>
  <si>
    <t xml:space="preserve">NILSON MORENO </t>
  </si>
  <si>
    <t>NOTIFICACIÓN REQUERIMIENTO ORDINARIO No.15</t>
  </si>
  <si>
    <t xml:space="preserve">JULIANA VANESA CASTILLO SILVA </t>
  </si>
  <si>
    <t>CERTIFICADO DE RETENCIONES 2026</t>
  </si>
  <si>
    <t xml:space="preserve">JORGE CENTENO </t>
  </si>
  <si>
    <t xml:space="preserve">CE-GC-0767 </t>
  </si>
  <si>
    <t>DIEGO MAURICIO CICERI</t>
  </si>
  <si>
    <t xml:space="preserve">INVITACIÓN REUNIÓN </t>
  </si>
  <si>
    <t>CE-GC-0785</t>
  </si>
  <si>
    <t xml:space="preserve">MARIA ALEJANDRA SABI </t>
  </si>
  <si>
    <t>CE-GC-0776</t>
  </si>
  <si>
    <t>FABIO SILVA</t>
  </si>
  <si>
    <t>CE-GC-0777</t>
  </si>
  <si>
    <t>RUGOBERTO QUILINDO CEPEDA</t>
  </si>
  <si>
    <t>SOLICITUD DE CAPACITACIÓN EN MANEJO INTEGRAL DE RESIDUOS SÓLIDOS</t>
  </si>
  <si>
    <t>30/04/2026</t>
  </si>
  <si>
    <t xml:space="preserve">RESPUESTA DE SOLICITUD </t>
  </si>
  <si>
    <t>Respuesta al oficio CE-GC-0756 del 29-04-2026 con Rad interno 2026-1-1-3216 del 30-04-2026</t>
  </si>
  <si>
    <t xml:space="preserve">LUZ YANET ROJAS </t>
  </si>
  <si>
    <t>SOLICITUD DE COTIZACIÓN</t>
  </si>
  <si>
    <t>Traslado por competencia del oficio rad No 2026-1-1-3196 del 29-04-2026</t>
  </si>
  <si>
    <t xml:space="preserve">CE-GC-0792 </t>
  </si>
  <si>
    <t>YEISON MAURICIO COY ARENAS</t>
  </si>
  <si>
    <t>RADICACIÓN DEMANDA:  RESPONSABILIDAD CIVIL ECTRACONTRACTUAL. FABIO DE JESUS POSADA GONZALEZ Y OTROS. VS. SERVINTEGRAL S.A E.S.P</t>
  </si>
  <si>
    <t>CE-GC-0897</t>
  </si>
  <si>
    <t>JHONN HALYSON GONZALEZ</t>
  </si>
  <si>
    <t>SOLICITUD DE DESCARGA DE DEUDA DE ASEO DE CASA ABANDONADA</t>
  </si>
  <si>
    <t>CE-GC-0795</t>
  </si>
  <si>
    <t>VIANEY RAMIREZ</t>
  </si>
  <si>
    <t>SOLICITUD DE CAPACITACIÓN</t>
  </si>
  <si>
    <t>CE-GG-819</t>
  </si>
  <si>
    <t>Rosalba Vera Figueroa</t>
  </si>
  <si>
    <t xml:space="preserve">FABIO SILVA CASTRO </t>
  </si>
  <si>
    <t xml:space="preserve">YURI PAOLA SALINAS </t>
  </si>
  <si>
    <t>CE-GC-0828</t>
  </si>
  <si>
    <t xml:space="preserve">JOSE LIBARDO MURCIA </t>
  </si>
  <si>
    <t>CE-GC-0804</t>
  </si>
  <si>
    <t xml:space="preserve">19/04/2026-FISICO </t>
  </si>
  <si>
    <t>arrendamientosarmon@gmail.com</t>
  </si>
  <si>
    <t>Fwd: CAMBIO DE TARIFA ASEO</t>
  </si>
  <si>
    <t>DIANA PATRICIA MONTES ZABALA</t>
  </si>
  <si>
    <t xml:space="preserve">PRIMER COMITÉ </t>
  </si>
  <si>
    <t xml:space="preserve">CE-GC-0788 </t>
  </si>
  <si>
    <t>fabianotaya58@gmail.com</t>
  </si>
  <si>
    <t>solicitud de servicio de recolección de desechos</t>
  </si>
  <si>
    <t>CE-GC-0815</t>
  </si>
  <si>
    <t>asesoriajuridica@servintegral.com.co</t>
  </si>
  <si>
    <t>RE: OFICIO CON N° DE RAD 0738</t>
  </si>
  <si>
    <t>MERCEDES TRUJILLO OSPINA</t>
  </si>
  <si>
    <t>SOLICITUD DE CERTIFICADO </t>
  </si>
  <si>
    <t>vdeyanira263@gmail.com</t>
  </si>
  <si>
    <t>Re: Solicitud de certificado de la prestación del servicio</t>
  </si>
  <si>
    <t>CE-GC-0803</t>
  </si>
  <si>
    <t xml:space="preserve">GEORGINA FARFAN </t>
  </si>
  <si>
    <t>OLICITUD DE CERTIFICADO</t>
  </si>
  <si>
    <t>CE-GC-0810</t>
  </si>
  <si>
    <t>CARMEN ARELIS IBARRA</t>
  </si>
  <si>
    <t>CE-GR-0789</t>
  </si>
  <si>
    <t>CARME ARELIS IBARRA</t>
  </si>
  <si>
    <t>SOLICITUD DE PODA </t>
  </si>
  <si>
    <t xml:space="preserve">CE-GR-0790 </t>
  </si>
  <si>
    <t>Reprogramación de Invitación a mesa de trabajo – Ley 1801</t>
  </si>
  <si>
    <t>CE-GC-0794</t>
  </si>
  <si>
    <t> LIQUIDACIÓN DEL SERVICIO DE ASEO SERVINTEGRAL S.A E.S.P</t>
  </si>
  <si>
    <t>3200.09.116-338 Solicitud de apoyo institucional para jornada de limpieza y reforestación Barrio Nueva Colombia SERVINTEGRAL</t>
  </si>
  <si>
    <t>CE-GC-0811</t>
  </si>
  <si>
    <t xml:space="preserve">NESTOR JAVIER SALAS </t>
  </si>
  <si>
    <t> Convocatoria a visita de inspección ocular por denuncia ambiental</t>
  </si>
  <si>
    <t>obrerojac2023@gmail.com</t>
  </si>
  <si>
    <t>solicitud urgente</t>
  </si>
  <si>
    <t>CE-GR-0809</t>
  </si>
  <si>
    <t>tpmundografico@gmail.com</t>
  </si>
  <si>
    <t>oficio 5 mayo comerciantes calle 18a.pdf</t>
  </si>
  <si>
    <t>CE-GC-0910</t>
  </si>
  <si>
    <t xml:space="preserve">HUMBERTO ORTIZ </t>
  </si>
  <si>
    <t xml:space="preserve">SOLICITUD DE AVISO </t>
  </si>
  <si>
    <t>CE-GC-0874</t>
  </si>
  <si>
    <t>catastro@florencia-caqueta.gov.co</t>
  </si>
  <si>
    <t>Re: Derecho de petición – Solicitud de notificación de resolución que decide revisión catastral</t>
  </si>
  <si>
    <t>Traslado por competencia del oficio rad No 2026-1-1-3189 del 29-04-2026</t>
  </si>
  <si>
    <t>DTC_CVR@corpoamazonia.gov.co</t>
  </si>
  <si>
    <t xml:space="preserve">respuesta oficio </t>
  </si>
  <si>
    <t>CE-GC-0837</t>
  </si>
  <si>
    <t>Diana Paola Sánchez Alzate</t>
  </si>
  <si>
    <t>Invitación a reunión virtual – Comité Permanente de Estratificación Socioeconómica CPESF (22 de mayo de 2026)</t>
  </si>
  <si>
    <t>CE-GC-0827</t>
  </si>
  <si>
    <t>JHOAN ALBERTO BRIÑEZ PANTOJA</t>
  </si>
  <si>
    <t xml:space="preserve">SOLICITUD DE VALLA </t>
  </si>
  <si>
    <t>CE-GC-0849</t>
  </si>
  <si>
    <t>ALVARO MAURICIO SALCEDO</t>
  </si>
  <si>
    <t>Consejo Superior de la Judicatura ENT 12400000</t>
  </si>
  <si>
    <t xml:space="preserve">DEIVER MURILLO VELAZQUEZ </t>
  </si>
  <si>
    <t>VINCULACIÓN DIRECTA</t>
  </si>
  <si>
    <t xml:space="preserve">LINDA KATHERINE MAHECHA </t>
  </si>
  <si>
    <t xml:space="preserve">EJECUTIVO SINGULAR MINIMA CUANTIA </t>
  </si>
  <si>
    <t>CE-GT- 0840</t>
  </si>
  <si>
    <t>Respuesta a oficio CE-GC-0802 del 05-05-2026 Rad interno No 2026-1-1-3365 del 06-05-2026</t>
  </si>
  <si>
    <t>Solicitud acompañamiento Jornada de Limpieza y recolección de residuos solidos sector Bohio Barrio Buenos Aires</t>
  </si>
  <si>
    <t xml:space="preserve">REPETIDO  </t>
  </si>
  <si>
    <t>CE-GT-0919</t>
  </si>
  <si>
    <t>RESPUESTA DE OFICIO CE-GH-0752</t>
  </si>
  <si>
    <t>Convocatoria a espacio de socialización de proyecto de educación 
ambiental</t>
  </si>
  <si>
    <t>JORNADA DE LIMPIEZA</t>
  </si>
  <si>
    <t>CE-GC-0836</t>
  </si>
  <si>
    <t>CARLOS ALBERTO MORA</t>
  </si>
  <si>
    <t>CONVOCATORIA MESA TÉCNICA PREVIA A DERRIBAMIENTO DE VIVIENDA</t>
  </si>
  <si>
    <t>CE-GC-0842</t>
  </si>
  <si>
    <t>Solicitud recoleción colchón</t>
  </si>
  <si>
    <t>
FAVIO SANCHEZ TOVAR</t>
  </si>
  <si>
    <t>RV: Solicitud de apoyo interinstitucional para actividad de reforestación</t>
  </si>
  <si>
    <t>JANETH CABRERA FALLA</t>
  </si>
  <si>
    <t xml:space="preserve">OSCAR EDUARDO PIMENTO </t>
  </si>
  <si>
    <t>SOLICITUD DE CERTIFIADO </t>
  </si>
  <si>
    <t>CE-GC-0861</t>
  </si>
  <si>
    <t xml:space="preserve">19/05/2026-FISICO </t>
  </si>
  <si>
    <t>ABOGADOS COSMOPOLITAN BPO S.A.S.</t>
  </si>
  <si>
    <t>Derecho de Petición – Solicitud de transmisión de información a trabajador</t>
  </si>
  <si>
    <t>CE-GT- 0841</t>
  </si>
  <si>
    <t>CONDOMINIO CAMPESTRE PORTAL DE LAS COLINAS</t>
  </si>
  <si>
    <t>Suspensión autorización de ingreso camión recolector tipo compactador - Condominio Portal de las Colinas</t>
  </si>
  <si>
    <t>CE-GR-0839</t>
  </si>
  <si>
    <t>cmgrd.florencia@gestiondelriesgo.gov.co</t>
  </si>
  <si>
    <t>SOLICITUD APOYO INTERINSTITUCIONAL</t>
  </si>
  <si>
    <t>CE-GC-0886</t>
  </si>
  <si>
    <t>frevale9@hotmail.com</t>
  </si>
  <si>
    <t>SOLICITUD DE SERVICIO ADICIONAL DE RESTAURANTE</t>
  </si>
  <si>
    <t>CE-GC-0853</t>
  </si>
  <si>
    <t>Yurania Adames Quigua</t>
  </si>
  <si>
    <t>jac.jesus.angel.gonzales.arias@gmail.com</t>
  </si>
  <si>
    <t>Fwd: SOLICITUD LETREROS PROHIBIDO VOTAR BASURA</t>
  </si>
  <si>
    <t xml:space="preserve">CE-GC-0887 </t>
  </si>
  <si>
    <t>Re: CE-GC-0794 RAD 0755-Respuesta a su solicitud con radicado interno No. 0755 del 05 de mayo de 2026. Reprogramación de invitación a mesa de trabajo – Ley 1801.</t>
  </si>
  <si>
    <t>CE-GC-0866</t>
  </si>
  <si>
    <t>CE-GC-0869</t>
  </si>
  <si>
    <t>ventanillaunica@hospitalmalvinas.gov.co</t>
  </si>
  <si>
    <t>Oficio Solicitud</t>
  </si>
  <si>
    <t>CE-GC-0868</t>
  </si>
  <si>
    <t>3200.09.116-356 Solicitud de apoyo institucional para jornada de limpieza y reforestación Puente López SERVINTEGRAL</t>
  </si>
  <si>
    <t>CE-GC-0865</t>
  </si>
  <si>
    <t>CE-GC-0867</t>
  </si>
  <si>
    <t>aleja20-30@hotmail.com</t>
  </si>
  <si>
    <t xml:space="preserve">Solicitud certificado y acompañamiento Evento </t>
  </si>
  <si>
    <t>CARLOS HUMBERTO MORA TRUJILLO</t>
  </si>
  <si>
    <t>cdgrd.caqueta@gestiondelriesgo.gov.co</t>
  </si>
  <si>
    <t>ASUNTO: Solicitud de apoyo en servicio de aseo para evento institucional</t>
  </si>
  <si>
    <t>13/05/2026</t>
  </si>
  <si>
    <t>CE-GC-0873</t>
  </si>
  <si>
    <t>Respuesta a Oficio CE-GC-0801 del 05-05-2026 con Rad interno No 2026-1-1-3362 del 06-05-2026</t>
  </si>
  <si>
    <t>CE-GG-0885</t>
  </si>
  <si>
    <t>CE-GC-0892</t>
  </si>
  <si>
    <t>PEN</t>
  </si>
  <si>
    <t>CE-GC-0970</t>
  </si>
  <si>
    <t>CE-GR-0870</t>
  </si>
  <si>
    <t>CE-GR-0871</t>
  </si>
  <si>
    <t>CE-GC-0888-</t>
  </si>
  <si>
    <t>contactenos@colpredios.co</t>
  </si>
  <si>
    <t>Re: CE-GC-0814-RAD 0688-Respuesta a su solicitud con radicado interno No. 0688 del 27 de abril de 2026. Solicitud devolución dineros cobrados y cancelación tarifa de aseo.</t>
  </si>
  <si>
    <t>14/05/2026</t>
  </si>
  <si>
    <t>CE-GC-0946</t>
  </si>
  <si>
    <t xml:space="preserve">CE-GC-0904 </t>
  </si>
  <si>
    <t xml:space="preserve">CE-GR-0899 </t>
  </si>
  <si>
    <t>CE-GR-0877</t>
  </si>
  <si>
    <t xml:space="preserve">DUIBER DE JESUS DURAN </t>
  </si>
  <si>
    <t>Invitación Encuentro Comunitario</t>
  </si>
  <si>
    <t>CE-GC-0908</t>
  </si>
  <si>
    <t>Convocatoria a reunión para socialización de problemática por disposición inadecuada de residuos sólidos</t>
  </si>
  <si>
    <t>CE-GC-0924</t>
  </si>
  <si>
    <t xml:space="preserve">LUIS ALFONSO MUÑOZ </t>
  </si>
  <si>
    <t xml:space="preserve">CE-GC-0894 </t>
  </si>
  <si>
    <t>CE-GC-0898</t>
  </si>
  <si>
    <t>CE-GC-0889</t>
  </si>
  <si>
    <t>CE-GC-0945</t>
  </si>
  <si>
    <t>CE-GC-0895</t>
  </si>
  <si>
    <t xml:space="preserve">CE-GR-0900 </t>
  </si>
  <si>
    <t>CE-GC-0896</t>
  </si>
  <si>
    <t>CE-GR-0901</t>
  </si>
  <si>
    <t>CE-GR-0902</t>
  </si>
  <si>
    <t xml:space="preserve">CE-GR-0903 </t>
  </si>
  <si>
    <t>CE-GC-0978</t>
  </si>
  <si>
    <t>CE-GC-0923</t>
  </si>
  <si>
    <t>CE-GC-0925</t>
  </si>
  <si>
    <t>CE-GR-0912</t>
  </si>
  <si>
    <t>CE-GC-0875</t>
  </si>
  <si>
    <t>CE-GC-0926</t>
  </si>
  <si>
    <t>CE-GC-0940-</t>
  </si>
  <si>
    <t>CE-GC-0932</t>
  </si>
  <si>
    <t>Reiteración de recomendaciones médicas y solicitud urgente de medidas laborales y salariales</t>
  </si>
  <si>
    <t>CE-GC-0893</t>
  </si>
  <si>
    <t xml:space="preserve">
FAVIO SANCHEZ TOVAR </t>
  </si>
  <si>
    <t>Solicitud de apoyo en relación a la Sembratón</t>
  </si>
  <si>
    <t>CE-GR-0913</t>
  </si>
  <si>
    <t xml:space="preserve">PEN-COMERCIAL </t>
  </si>
  <si>
    <t xml:space="preserve">PEN COMERCIAL </t>
  </si>
  <si>
    <t>Convocatoria a reunión Ordinaria Mayo del C.P.E.S.F</t>
  </si>
  <si>
    <t xml:space="preserve">CE-GC-0941 </t>
  </si>
  <si>
    <t>angiehincapie9907@gmail.com</t>
  </si>
  <si>
    <t>25/05/2026</t>
  </si>
  <si>
    <t>espuesta a oficio CE-GC-0859 del 13-05-2026 con Rad interno No 2026-1-1-3584 del 13-05-2026</t>
  </si>
  <si>
    <t>Respuesta a oficio CE-GC-0860 del 13-05-2026  con rad interno No 2026-1-1-3601 del 13-05-2026</t>
  </si>
  <si>
    <t>decaq.gubim@policia.gov.co</t>
  </si>
  <si>
    <t>Respuesta a petición</t>
  </si>
  <si>
    <t>CE-GC-0863</t>
  </si>
  <si>
    <t>CE-GC-0933</t>
  </si>
  <si>
    <t>Respuesta Formal – Auto de Apertura Investigación Disciplinaria Rad. 0005/2026</t>
  </si>
  <si>
    <t>Rocío Ortiz</t>
  </si>
  <si>
    <t>SOLICITUD DE SUSPENDER POR COBRO DE ASEO</t>
  </si>
  <si>
    <t xml:space="preserve">MARY LUZ CUELLAR SANCHEZ </t>
  </si>
  <si>
    <t xml:space="preserve">CE-GC-0930 </t>
  </si>
  <si>
    <t>LYDA ZIOMARA VARON GARZON</t>
  </si>
  <si>
    <t xml:space="preserve">	
Solicitud Cotizacion Toma de muestra y análisis de agua potable</t>
  </si>
  <si>
    <t>26/05/2026</t>
  </si>
  <si>
    <t xml:space="preserve">YENSY NAVAES PARRA </t>
  </si>
  <si>
    <t>SOLICITUD DE DEVOLUCIÓN </t>
  </si>
  <si>
    <t>ERIKA ALEJANDRA SÁNCHEZ MUÑETON</t>
  </si>
  <si>
    <t>SOLICITUD ACTUALIZACION CERTIFICADO ACOMPAÑAMIENTO</t>
  </si>
  <si>
    <t>V</t>
  </si>
  <si>
    <t>CE-GC-0934</t>
  </si>
  <si>
    <t>PENDIE-RES</t>
  </si>
  <si>
    <t>Invitación III Feria de Educación y Gestión Ambiental: Día del Medio Ambiente.</t>
  </si>
  <si>
    <t>PENDIE-COMER</t>
  </si>
  <si>
    <t xml:space="preserve">LUZ MARY BERMUDEZ </t>
  </si>
  <si>
    <t>Solicitud certificados de Retenciones año Gravable año 2024</t>
  </si>
  <si>
    <t>PENDIEN-COMER</t>
  </si>
  <si>
    <t>torrespinto_15@hotmail.com</t>
  </si>
  <si>
    <t>RV: Solicitud de retiro de servicio adicional de recolección de basuras</t>
  </si>
  <si>
    <t>27/05/2026</t>
  </si>
  <si>
    <t>PENDIE</t>
  </si>
  <si>
    <t>ingambientalgyp2026@gmail.com</t>
  </si>
  <si>
    <t>Solicitud para recolección y/o recepción de material RAEE</t>
  </si>
  <si>
    <t>CE-GC-0985</t>
  </si>
  <si>
    <t>PEND-COMER</t>
  </si>
  <si>
    <t>PENDI-COMER</t>
  </si>
  <si>
    <t>CE-GC-0955</t>
  </si>
  <si>
    <t>3200.09.116-417 Invitación a jornada de reforestación – Día Mundial del Medio Ambiente</t>
  </si>
  <si>
    <t>CE-GC-0964</t>
  </si>
  <si>
    <t>Francisco Fuentes </t>
  </si>
  <si>
    <t xml:space="preserve">SOLICITUD PODA DE ÁRBOLES </t>
  </si>
  <si>
    <t>28/05/2026</t>
  </si>
  <si>
    <t xml:space="preserve">JAVIER NOBER GIRALDO </t>
  </si>
  <si>
    <t>Notificacion electronica radicado salida No 20268702438791</t>
  </si>
  <si>
    <t>3200.09.116-420 III FERIA DE EDUCACIÓN Y GESTIÓN AMBIENTAL - Stands </t>
  </si>
  <si>
    <t>PENDE-COMER</t>
  </si>
  <si>
    <t>apoyojuridico22024@gmail.com</t>
  </si>
  <si>
    <t>Re: RV:OFICIO CON N° DE RAD 0762</t>
  </si>
  <si>
    <t>RE: OFICIO CON N° DE RAD 0553</t>
  </si>
  <si>
    <t>gestioncomercial@servintegral.com.co</t>
  </si>
  <si>
    <t>ACTUALIZAR RADICADO - RE: OFICIO CON N° DE RAD 0827</t>
  </si>
  <si>
    <t>CE-GC-0976-</t>
  </si>
  <si>
    <t>Re: CE-GC-0946-RAD 0816-Respuesta a su solicitud con radicado interno No. 0816 del 14 de mayo de 2026. Solicitud devolución.</t>
  </si>
  <si>
    <t>CE-GC-0982</t>
  </si>
  <si>
    <t>Respuesta al oficio CE-GC-0935 del 27-05-2026 con radicado interno 2026-1-1-3985 del 29-05-2026</t>
  </si>
  <si>
    <t>PENDIEN-TALE</t>
  </si>
  <si>
    <t>marthaclarosc22@gmail.com</t>
  </si>
  <si>
    <t>Re: MODIFICACION DE TARIFA INMUEBLE DESOCUPADO</t>
  </si>
  <si>
    <t>andreschavarro2306@gmail.com</t>
  </si>
  <si>
    <t>Solicitud de revisión de cobro servicio de recolección de residuos</t>
  </si>
  <si>
    <t>sisredsistred@gmail.com</t>
  </si>
  <si>
    <t>Solicitud de poda de árbol.</t>
  </si>
  <si>
    <t>pambiental.epcflorencia@inpec.gov.co</t>
  </si>
  <si>
    <t>Solicitud información dando respuesta a oficio serviintegral</t>
  </si>
  <si>
    <t>PEND</t>
  </si>
  <si>
    <t>bimej@ejercito.mil.co</t>
  </si>
  <si>
    <t>Reenviar: SOLICITUD INICIO DE PROCESO DE VINCULACION ANTE COING</t>
  </si>
  <si>
    <t xml:space="preserve">SOLICITUD DE ACOMPAÑAMIENTO </t>
  </si>
  <si>
    <t>solicitud de mantenimiento cancha de arena</t>
  </si>
  <si>
    <t>gestionfinanciera@servintegral.com.co</t>
  </si>
  <si>
    <t>RE: Solicitud de Certificado de Retención en la Fuente e ICA si aplica</t>
  </si>
  <si>
    <t>jbarriovilladelprado@gmail.com</t>
  </si>
  <si>
    <t>SOLICITUD DE APOYO JORNADA DE ASEO</t>
  </si>
  <si>
    <t>secsalud@florencia-caqueta.gov.co</t>
  </si>
  <si>
    <t>Fwd: Solicitud de apoyo institucional</t>
  </si>
  <si>
    <t xml:space="preserve">RONALD YEPES </t>
  </si>
  <si>
    <t xml:space="preserve">SOLICITUD DE DESCUENTO </t>
  </si>
  <si>
    <t>asilvag@dian.gov.co</t>
  </si>
  <si>
    <t>Invitación y solicitud de propuestas o sugerencias para el Comité TAC 2026 de la DSIA Florenci</t>
  </si>
  <si>
    <t xml:space="preserve">NURY MARCELA MORENO TOVAR </t>
  </si>
  <si>
    <t xml:space="preserve">LEIDY ALEJANDRA CUELLAR ALZATE </t>
  </si>
  <si>
    <t xml:space="preserve">NUBIA OSORIO MONTILLA </t>
  </si>
  <si>
    <t xml:space="preserve">LUZ DARY MURILLO </t>
  </si>
  <si>
    <t>Solicitud de apoyo institucional</t>
  </si>
  <si>
    <t>DESAFILIACIONES</t>
  </si>
  <si>
    <t xml:space="preserve">LUZ ADRAIANA CHAVARRO </t>
  </si>
  <si>
    <t>SOLUCITUD DE RECOLECIÓN </t>
  </si>
  <si>
    <t>Respuesta al oficio CE-GC-0991 del 04-06-2026 con radicado interno No 2026-1-1-4237 del 04-06-2026</t>
  </si>
  <si>
    <t xml:space="preserve">OFICINA DE ESTRATIFICACIÓN </t>
  </si>
  <si>
    <t>ACTA No 04 _27 MAYO 2026 </t>
  </si>
  <si>
    <t xml:space="preserve">MILLER SILVA </t>
  </si>
  <si>
    <t>solicitud Paz y salvo Miller Silva Polania</t>
  </si>
  <si>
    <t xml:space="preserve">NO SE UTILIZO </t>
  </si>
  <si>
    <t xml:space="preserve">BROHER DE JESUS ARTEAGA TAPIERO </t>
  </si>
  <si>
    <t>CERTIIFCADO DE PAZ Y SALVO</t>
  </si>
  <si>
    <t xml:space="preserve">JULIANA OCAMPO </t>
  </si>
  <si>
    <t>SOLICITUD Y COTIZACION DE DISPOSICION FINAL DE RESIDUOS - PRODIA SAS</t>
  </si>
  <si>
    <t>EDINSON VERA</t>
  </si>
  <si>
    <t>SOLICITUD DE MANTENIMIENTO</t>
  </si>
  <si>
    <t>Remisión de incapacidad médica</t>
  </si>
  <si>
    <t>Invitación Especial al Festival Folclórico</t>
  </si>
  <si>
    <t xml:space="preserve">SOLICITUD DE UN  NUEVO AFORO </t>
  </si>
  <si>
    <t>SOLICITUD DE CAMAR&lt;AS</t>
  </si>
  <si>
    <t xml:space="preserve">TECNOLOGICA </t>
  </si>
  <si>
    <t>ymena@mintrabajo.gov.co</t>
  </si>
  <si>
    <t xml:space="preserve">Solicitud recolección de residuos aprovechables </t>
  </si>
  <si>
    <t xml:space="preserve">AURORA GOMEZ </t>
  </si>
  <si>
    <t xml:space="preserve">ERIKA ESTEFANIA SILVA </t>
  </si>
  <si>
    <t xml:space="preserve">JOSE MARIA ROMERO RODRIGUEZ </t>
  </si>
  <si>
    <t xml:space="preserve">MARIA ESTELLA GARZON </t>
  </si>
  <si>
    <t xml:space="preserve">ARINDA YARA CALDERON </t>
  </si>
  <si>
    <t xml:space="preserve">LUZ DENNY SALINAS </t>
  </si>
  <si>
    <t xml:space="preserve">ANICIOS JONAS MOSQUERA </t>
  </si>
  <si>
    <t xml:space="preserve">EDWIN JOSE CASTRO VALENCIA </t>
  </si>
  <si>
    <t>OLICITUD DE CERTIIFCADO</t>
  </si>
  <si>
    <t xml:space="preserve">NESTOR JARAMILLO </t>
  </si>
  <si>
    <t>Solicitud certificado de paz y salvo</t>
  </si>
  <si>
    <t xml:space="preserve">ELKIN ANTURI </t>
  </si>
  <si>
    <t xml:space="preserve">INCONFORMIDAD CON EL SERVICIO </t>
  </si>
  <si>
    <t> INCONFORMIDAD CON EL SERVICIO </t>
  </si>
  <si>
    <t>ANDREA PAOLA PRIETO MOSQUERA</t>
  </si>
  <si>
    <t>NOTIFICACION ELECTRONICA RADICADO SALIDA NO. 20265000340321</t>
  </si>
  <si>
    <t>EDWARD CAMILO SOTO CLAROS</t>
  </si>
  <si>
    <t>Radicacion demanda ordinaria laboral de primera Instancia</t>
  </si>
  <si>
    <t>HECTOR SILVIO LARA BARRERO</t>
  </si>
  <si>
    <t xml:space="preserve">USURIO DE SERVINTEGRAL </t>
  </si>
  <si>
    <t xml:space="preserve"> SOLICITUD DE CERTIFICADO DE FACTIBILIDAD COBERTURA DEL SERVICIO DE ASEO</t>
  </si>
  <si>
    <t xml:space="preserve">CITACIÓN PARA NORIFICACIÓN PERSONAL </t>
  </si>
  <si>
    <t xml:space="preserve">HORA </t>
  </si>
  <si>
    <t xml:space="preserve">RADICADO POR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</si>
</sst>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42424"/>
      <name val="Segoe UI"/>
      <family val="2"/>
    </font>
    <font>
      <sz val="12"/>
      <color rgb="FF21212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/>
    <xf numFmtId="14" fontId="0" fillId="0" borderId="0" xfId="0" applyNumberFormat="1" applyAlignment="1">
      <alignment vertical="center" wrapText="1"/>
    </xf>
    <xf numFmtId="0" fontId="0" fillId="4" borderId="0" xfId="0" applyFill="1"/>
    <xf numFmtId="0" fontId="1" fillId="2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1" fillId="2" borderId="1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1" fillId="0" borderId="1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1" fillId="5" borderId="1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1" fillId="0" borderId="1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1" fillId="5" borderId="1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6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1" fillId="2" borderId="6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1" fillId="0" borderId="6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6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" fillId="2" borderId="6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/mm/yyyy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outline="0">
        <left style="thin">
          <color indexed="64"/>
        </left>
      </border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colors>
    <mruColors>
      <color rgb="FF9FC22E"/>
      <color rgb="FF30A5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46674-C8CC-442B-BC86-55A7AE4C8E09}" name="Tabla1" displayName="Tabla1" ref="A1:R1009" insertRowShift="1" totalsRowShown="0" headerRowDxfId="28" dataDxfId="27" tableBorderDxfId="26">
  <autoFilter ref="A1:R1009" xr:uid="{19546674-C8CC-442B-BC86-55A7AE4C8E09}"/>
  <tableColumns count="18">
    <tableColumn id="1" xr3:uid="{DBA55B40-94ED-41B4-B0B0-612EFA2BB850}" name="TIPO DE SOLICITUD" dataDxfId="25"/>
    <tableColumn id="2" xr3:uid="{EA4C8B44-E3A7-4657-8874-85980B481442}" name="NOMBRE " dataDxfId="24"/>
    <tableColumn id="3" xr3:uid="{38FFD450-2427-42ED-8FA3-A6AA1DFFCCC3}" name="ENTIDAD" dataDxfId="23"/>
    <tableColumn id="4" xr3:uid="{E94D3193-41CD-49CA-8AC1-3723AA806E59}" name="ASUNTO" dataDxfId="22"/>
    <tableColumn id="5" xr3:uid="{0963208D-2085-40DB-894A-5F290F757804}" name="RADICADO" dataDxfId="21"/>
    <tableColumn id="6" xr3:uid="{E8C02D2D-BF56-4041-ABFF-E5AB885601A1}" name="FECHA DE INGRESO DE LA SOLICITUD" dataDxfId="20"/>
    <tableColumn id="17" xr3:uid="{54F094D3-9F00-415C-B2AB-D944CA6B8CAF}" name="HORA " dataDxfId="19"/>
    <tableColumn id="18" xr3:uid="{17237C1B-FFDE-4E0E-938D-C24AB8A43C81}" name="ANEXOS " dataDxfId="18"/>
    <tableColumn id="7" xr3:uid="{D70C5119-274D-4962-8D1E-001CBF3AEA01}" name="PROCESO  RESPONSABLE" dataDxfId="17"/>
    <tableColumn id="8" xr3:uid="{4FCA4E20-EB01-4BBD-9691-33D2465DFC0F}" name="TERMINO" dataDxfId="16"/>
    <tableColumn id="9" xr3:uid="{A79FD356-AEAC-4D82-8507-44F3675201CC}" name="POSIBLES DIAS RESTANTES" dataDxfId="15">
      <calculatedColumnFormula>IF(AND(F2&lt;&gt;"", L2&lt;&gt;""), NETWORKDAYS(TODAY(), L2-1, FESTIVOS!A$1:A$55), "")</calculatedColumnFormula>
    </tableColumn>
    <tableColumn id="10" xr3:uid="{F2F0F735-2CA6-4F79-AA8A-02DA80B0B9B1}" name="FECHA DE VENCIMIENTO" dataDxfId="14">
      <calculatedColumnFormula>IF(AND(F2&lt;&gt;"", J2&lt;&gt;""), WORKDAY(F2, J2, FESTIVOS!A$1:A$55), "")</calculatedColumnFormula>
    </tableColumn>
    <tableColumn id="11" xr3:uid="{627E9E40-C141-4DAB-82CB-3C4C00AE74AF}" name="RADICADO POR " dataDxfId="13"/>
    <tableColumn id="12" xr3:uid="{95ECEE43-4BFA-4A0E-A05C-A968D5E81167}" name="ALERTA" dataDxfId="12"/>
    <tableColumn id="13" xr3:uid="{B1FCE87A-4279-4058-93ED-2C94DFD84971}" name="ALERTA 2" dataDxfId="11"/>
    <tableColumn id="14" xr3:uid="{36A121F8-5B56-4FB8-9159-BD8C38DB917C}" name="CONSECUTIVO" dataDxfId="10"/>
    <tableColumn id="15" xr3:uid="{DF59DA5B-789B-44CB-BFC9-E6D19579207A}" name="FECHA DE SALIDA" dataDxfId="9"/>
    <tableColumn id="16" xr3:uid="{5BA05881-79EA-43E4-B687-F1A8DA79F333}" name="DIAS QUE LE SOBRARON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8406-0F8C-443C-A1C6-4C1E70F906F2}">
  <dimension ref="A1:U1009"/>
  <sheetViews>
    <sheetView tabSelected="1" topLeftCell="E1" zoomScale="70" zoomScaleNormal="70" workbookViewId="0">
      <selection activeCell="M1" sqref="M1:M1009"/>
    </sheetView>
  </sheetViews>
  <sheetFormatPr baseColWidth="10" defaultColWidth="11.42578125" defaultRowHeight="15" x14ac:dyDescent="0.25"/>
  <cols>
    <col min="1" max="1" width="38.42578125" customWidth="1"/>
    <col min="2" max="2" width="36" customWidth="1"/>
    <col min="3" max="3" width="30.28515625" customWidth="1"/>
    <col min="4" max="4" width="48.140625" customWidth="1"/>
    <col min="5" max="5" width="21.28515625" customWidth="1"/>
    <col min="6" max="7" width="36.5703125" customWidth="1"/>
    <col min="8" max="8" width="17.5703125" customWidth="1"/>
    <col min="9" max="9" width="26.28515625" customWidth="1"/>
    <col min="10" max="10" width="22" customWidth="1"/>
    <col min="11" max="11" width="27.5703125" customWidth="1"/>
    <col min="12" max="12" width="25.140625" customWidth="1"/>
    <col min="13" max="13" width="22.7109375" customWidth="1"/>
    <col min="14" max="14" width="15.5703125" customWidth="1"/>
    <col min="15" max="15" width="25.140625" customWidth="1"/>
    <col min="16" max="16" width="19.140625" customWidth="1"/>
    <col min="17" max="17" width="25.140625" customWidth="1"/>
    <col min="18" max="26" width="11.7109375" customWidth="1"/>
    <col min="27" max="116" width="12.7109375" customWidth="1"/>
    <col min="117" max="1016" width="13.7109375" customWidth="1"/>
    <col min="1017" max="10016" width="14.85546875" customWidth="1"/>
    <col min="10017" max="16384" width="15.85546875" customWidth="1"/>
  </cols>
  <sheetData>
    <row r="1" spans="1:21" s="6" customFormat="1" x14ac:dyDescent="0.25">
      <c r="A1" s="8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1636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1637</v>
      </c>
      <c r="N1" s="4" t="s">
        <v>11</v>
      </c>
      <c r="O1" s="4" t="s">
        <v>12</v>
      </c>
      <c r="P1" s="4" t="s">
        <v>13</v>
      </c>
      <c r="Q1" s="4" t="s">
        <v>14</v>
      </c>
      <c r="R1" s="5" t="s">
        <v>15</v>
      </c>
    </row>
    <row r="2" spans="1:21" x14ac:dyDescent="0.25">
      <c r="A2" s="8" t="s">
        <v>16</v>
      </c>
      <c r="B2" s="7" t="s">
        <v>17</v>
      </c>
      <c r="C2" s="4" t="s">
        <v>18</v>
      </c>
      <c r="D2" s="4" t="s">
        <v>19</v>
      </c>
      <c r="E2" s="4">
        <v>1</v>
      </c>
      <c r="F2" s="9">
        <v>46024</v>
      </c>
      <c r="G2" s="9" t="b">
        <v>0</v>
      </c>
      <c r="H2" s="4" t="b">
        <v>0</v>
      </c>
      <c r="I2" s="28" t="s">
        <v>20</v>
      </c>
      <c r="J2" s="4">
        <f t="shared" ref="J2:J65" si="0">IF(A2="INFORMACIÓN O DOCUMENTOS", 10, IF(A2="CONSULTA", 30, IF(A2="FACTURACIÓN Y COBROS", 15, IF(A2="VINCULACIÓN Y DESVINCULACIÓN", 15, IF(A2="NO ES DE NUESTRA COMPETENCIA", 5, IF(A2="OTRO", 15, ""))))))</f>
        <v>15</v>
      </c>
      <c r="K2" s="4">
        <f ca="1">IF(AND(F2&lt;&gt;"", L2&lt;&gt;""), NETWORKDAYS(TODAY(), L2-1, FESTIVOS!A$1:A$55), "")</f>
        <v>-97</v>
      </c>
      <c r="L2" s="9">
        <f>IF(AND(F2&lt;&gt;"", J2&lt;&gt;""), WORKDAY(F2, J2, FESTIVOS!A$1:A$55), "")</f>
        <v>46048</v>
      </c>
      <c r="M2" s="4" t="s">
        <v>21</v>
      </c>
      <c r="N2" s="4">
        <v>0</v>
      </c>
      <c r="O2" s="4" t="str">
        <f t="shared" ref="O2:O65" ca="1" si="1">IF(OR(K2="", J2=""), "", IF(K2&lt;0, "Vencido", IF(K2&gt;(J2/2), "Supere la mitad", "Bajo la mitad")))</f>
        <v>Vencido</v>
      </c>
      <c r="P2" s="4" t="s">
        <v>22</v>
      </c>
      <c r="Q2" s="9">
        <v>46038</v>
      </c>
      <c r="R2" s="10">
        <f>IF(OR(Q2="", L2=""), "", NETWORKDAYS(L2, Q2, FESTIVOS!A1:A55))</f>
        <v>-7</v>
      </c>
    </row>
    <row r="3" spans="1:21" x14ac:dyDescent="0.25">
      <c r="A3" s="8" t="s">
        <v>16</v>
      </c>
      <c r="B3" s="7" t="s">
        <v>17</v>
      </c>
      <c r="C3" s="4" t="s">
        <v>18</v>
      </c>
      <c r="D3" s="4" t="s">
        <v>19</v>
      </c>
      <c r="E3" s="4">
        <v>2</v>
      </c>
      <c r="F3" s="9">
        <v>46024</v>
      </c>
      <c r="G3" s="9" t="b">
        <v>0</v>
      </c>
      <c r="H3" s="4" t="b">
        <v>0</v>
      </c>
      <c r="I3" s="28" t="s">
        <v>20</v>
      </c>
      <c r="J3" s="4">
        <f t="shared" si="0"/>
        <v>15</v>
      </c>
      <c r="K3" s="4">
        <f ca="1">IF(AND(F3&lt;&gt;"", L3&lt;&gt;""), NETWORKDAYS(TODAY(), L3-1, FESTIVOS!A$1:A$55), "")</f>
        <v>-97</v>
      </c>
      <c r="L3" s="9">
        <f>IF(AND(F3&lt;&gt;"", J3&lt;&gt;""), WORKDAY(F3, J3, FESTIVOS!A$1:A$55), "")</f>
        <v>46048</v>
      </c>
      <c r="M3" s="4" t="s">
        <v>21</v>
      </c>
      <c r="N3" s="4">
        <f t="shared" ref="N3:N65" ca="1" si="2">IF(K3="", "", MAX(0, K3 - (TODAY() - TODAY())))</f>
        <v>0</v>
      </c>
      <c r="O3" s="4" t="str">
        <f t="shared" ca="1" si="1"/>
        <v>Vencido</v>
      </c>
      <c r="P3" s="4" t="s">
        <v>23</v>
      </c>
      <c r="Q3" s="9">
        <v>46041</v>
      </c>
      <c r="R3" s="10">
        <f>IF(OR(Q3="", L3=""), "", NETWORKDAYS(L3, Q3, FESTIVOS!A2:A56))</f>
        <v>-6</v>
      </c>
    </row>
    <row r="4" spans="1:21" x14ac:dyDescent="0.25">
      <c r="A4" s="8" t="s">
        <v>16</v>
      </c>
      <c r="B4" s="7" t="s">
        <v>24</v>
      </c>
      <c r="C4" s="4" t="s">
        <v>25</v>
      </c>
      <c r="D4" s="4" t="s">
        <v>26</v>
      </c>
      <c r="E4" s="4">
        <v>3</v>
      </c>
      <c r="F4" s="9">
        <v>46027</v>
      </c>
      <c r="G4" s="9" t="b">
        <v>0</v>
      </c>
      <c r="H4" s="4" t="b">
        <v>0</v>
      </c>
      <c r="I4" s="28" t="s">
        <v>20</v>
      </c>
      <c r="J4" s="4">
        <f t="shared" si="0"/>
        <v>15</v>
      </c>
      <c r="K4" s="4">
        <f ca="1">IF(AND(F4&lt;&gt;"", L4&lt;&gt;""), NETWORKDAYS(TODAY(), L4-1, FESTIVOS!A$1:A$55), "")</f>
        <v>-97</v>
      </c>
      <c r="L4" s="9">
        <f>IF(AND(F4&lt;&gt;"", J4&lt;&gt;""), WORKDAY(F4, J4, FESTIVOS!A$1:A$55), "")</f>
        <v>46049</v>
      </c>
      <c r="M4" s="4" t="s">
        <v>21</v>
      </c>
      <c r="N4" s="4">
        <f ca="1">IF(K4="", "", MAX(0, K4 - (TODAY() - TODAY())))</f>
        <v>0</v>
      </c>
      <c r="O4" s="4" t="str">
        <f t="shared" ca="1" si="1"/>
        <v>Vencido</v>
      </c>
      <c r="P4" s="4" t="s">
        <v>27</v>
      </c>
      <c r="Q4" s="9">
        <v>46029</v>
      </c>
      <c r="R4" s="10">
        <f>IF(OR(Q4="", L4=""), "", NETWORKDAYS(L4, Q4, FESTIVOS!A3:A57))</f>
        <v>-14</v>
      </c>
      <c r="S4" s="3" t="s">
        <v>28</v>
      </c>
      <c r="T4" s="3"/>
      <c r="U4" s="3"/>
    </row>
    <row r="5" spans="1:21" x14ac:dyDescent="0.25">
      <c r="A5" s="8" t="s">
        <v>16</v>
      </c>
      <c r="B5" s="7" t="s">
        <v>17</v>
      </c>
      <c r="C5" s="4" t="s">
        <v>18</v>
      </c>
      <c r="D5" s="4" t="s">
        <v>19</v>
      </c>
      <c r="E5" s="4">
        <v>4</v>
      </c>
      <c r="F5" s="9">
        <v>46027</v>
      </c>
      <c r="G5" s="9" t="b">
        <v>0</v>
      </c>
      <c r="H5" s="4" t="b">
        <v>0</v>
      </c>
      <c r="I5" s="28" t="s">
        <v>20</v>
      </c>
      <c r="J5" s="4">
        <f t="shared" si="0"/>
        <v>15</v>
      </c>
      <c r="K5" s="4">
        <f ca="1">IF(AND(F5&lt;&gt;"", L5&lt;&gt;""), NETWORKDAYS(TODAY(), L5-1, FESTIVOS!A$1:A$55), "")</f>
        <v>-97</v>
      </c>
      <c r="L5" s="9">
        <f>IF(AND(F5&lt;&gt;"", J5&lt;&gt;""), WORKDAY(F5, J5, FESTIVOS!A$1:A$55), "")</f>
        <v>46049</v>
      </c>
      <c r="M5" s="4" t="s">
        <v>21</v>
      </c>
      <c r="N5" s="4">
        <f t="shared" ca="1" si="2"/>
        <v>0</v>
      </c>
      <c r="O5" s="4" t="str">
        <f t="shared" ca="1" si="1"/>
        <v>Vencido</v>
      </c>
      <c r="P5" s="4" t="s">
        <v>29</v>
      </c>
      <c r="Q5" s="9">
        <v>46038</v>
      </c>
      <c r="R5" s="10">
        <f>IF(OR(Q5="", L5=""), "", NETWORKDAYS(L5, Q5, FESTIVOS!A4:A58))</f>
        <v>-8</v>
      </c>
      <c r="S5" s="3" t="s">
        <v>30</v>
      </c>
      <c r="T5" s="3"/>
      <c r="U5" s="3"/>
    </row>
    <row r="6" spans="1:21" x14ac:dyDescent="0.25">
      <c r="A6" s="8" t="s">
        <v>16</v>
      </c>
      <c r="B6" s="7" t="s">
        <v>31</v>
      </c>
      <c r="C6" s="4" t="s">
        <v>32</v>
      </c>
      <c r="D6" s="4" t="s">
        <v>33</v>
      </c>
      <c r="E6" s="4">
        <v>5</v>
      </c>
      <c r="F6" s="9">
        <v>46028</v>
      </c>
      <c r="G6" s="9" t="b">
        <v>0</v>
      </c>
      <c r="H6" s="4" t="b">
        <v>0</v>
      </c>
      <c r="I6" s="28" t="s">
        <v>20</v>
      </c>
      <c r="J6" s="4">
        <f t="shared" si="0"/>
        <v>15</v>
      </c>
      <c r="K6" s="4">
        <f ca="1">IF(AND(F6&lt;&gt;"", L6&lt;&gt;""), NETWORKDAYS(TODAY(), L6-1, FESTIVOS!A$1:A$55), "")</f>
        <v>-96</v>
      </c>
      <c r="L6" s="9">
        <f>IF(AND(F6&lt;&gt;"", J6&lt;&gt;""), WORKDAY(F6, J6, FESTIVOS!A$1:A$55), "")</f>
        <v>46050</v>
      </c>
      <c r="M6" s="4" t="s">
        <v>21</v>
      </c>
      <c r="N6" s="4">
        <f t="shared" ca="1" si="2"/>
        <v>0</v>
      </c>
      <c r="O6" s="4" t="str">
        <f t="shared" ca="1" si="1"/>
        <v>Vencido</v>
      </c>
      <c r="P6" s="4" t="s">
        <v>34</v>
      </c>
      <c r="Q6" s="9">
        <v>46038</v>
      </c>
      <c r="R6" s="10">
        <f>IF(OR(Q6="", L6=""), "", NETWORKDAYS(L6, Q6, FESTIVOS!A5:A59))</f>
        <v>-9</v>
      </c>
    </row>
    <row r="7" spans="1:21" x14ac:dyDescent="0.25">
      <c r="A7" s="8" t="s">
        <v>16</v>
      </c>
      <c r="B7" s="7" t="s">
        <v>35</v>
      </c>
      <c r="C7" s="4" t="s">
        <v>32</v>
      </c>
      <c r="D7" s="4" t="s">
        <v>36</v>
      </c>
      <c r="E7" s="4">
        <v>6</v>
      </c>
      <c r="F7" s="9">
        <v>46028</v>
      </c>
      <c r="G7" s="9" t="b">
        <v>0</v>
      </c>
      <c r="H7" s="4" t="b">
        <v>0</v>
      </c>
      <c r="I7" s="28" t="s">
        <v>20</v>
      </c>
      <c r="J7" s="4">
        <f t="shared" si="0"/>
        <v>15</v>
      </c>
      <c r="K7" s="4">
        <f ca="1">IF(AND(F7&lt;&gt;"", L7&lt;&gt;""), NETWORKDAYS(TODAY(), L7-1, FESTIVOS!A$1:A$55), "")</f>
        <v>-96</v>
      </c>
      <c r="L7" s="9">
        <f>IF(AND(F7&lt;&gt;"", J7&lt;&gt;""), WORKDAY(F7, J7, FESTIVOS!A$1:A$55), "")</f>
        <v>46050</v>
      </c>
      <c r="M7" s="4" t="s">
        <v>21</v>
      </c>
      <c r="N7" s="4">
        <f t="shared" ca="1" si="2"/>
        <v>0</v>
      </c>
      <c r="O7" s="4" t="str">
        <f t="shared" ca="1" si="1"/>
        <v>Vencido</v>
      </c>
      <c r="P7" s="4" t="s">
        <v>37</v>
      </c>
      <c r="Q7" s="4" t="b">
        <v>0</v>
      </c>
      <c r="R7" s="10" t="e">
        <f>IF(OR(Q7="", L7=""), "", NETWORKDAYS(L7, Q7, FESTIVOS!A6:A60))</f>
        <v>#VALUE!</v>
      </c>
    </row>
    <row r="8" spans="1:21" x14ac:dyDescent="0.25">
      <c r="A8" s="8" t="s">
        <v>16</v>
      </c>
      <c r="B8" s="7" t="s">
        <v>38</v>
      </c>
      <c r="C8" s="4" t="s">
        <v>25</v>
      </c>
      <c r="D8" s="4" t="s">
        <v>39</v>
      </c>
      <c r="E8" s="4">
        <v>7</v>
      </c>
      <c r="F8" s="9">
        <v>46028</v>
      </c>
      <c r="G8" s="9" t="b">
        <v>0</v>
      </c>
      <c r="H8" s="4" t="b">
        <v>0</v>
      </c>
      <c r="I8" s="28" t="s">
        <v>20</v>
      </c>
      <c r="J8" s="4">
        <f t="shared" si="0"/>
        <v>15</v>
      </c>
      <c r="K8" s="4">
        <f ca="1">IF(AND(F8&lt;&gt;"", L8&lt;&gt;""), NETWORKDAYS(TODAY(), L8-1, FESTIVOS!A$1:A$55), "")</f>
        <v>-96</v>
      </c>
      <c r="L8" s="9">
        <f>IF(AND(F8&lt;&gt;"", J8&lt;&gt;""), WORKDAY(F8, J8, FESTIVOS!A$1:A$55), "")</f>
        <v>46050</v>
      </c>
      <c r="M8" s="4" t="s">
        <v>21</v>
      </c>
      <c r="N8" s="4">
        <f t="shared" ca="1" si="2"/>
        <v>0</v>
      </c>
      <c r="O8" s="4" t="str">
        <f t="shared" ca="1" si="1"/>
        <v>Vencido</v>
      </c>
      <c r="P8" s="4" t="s">
        <v>40</v>
      </c>
      <c r="Q8" s="9">
        <v>46050</v>
      </c>
      <c r="R8" s="10">
        <f>IF(OR(Q8="", L8=""), "", NETWORKDAYS(L8, Q8, FESTIVOS!A7:A61))</f>
        <v>1</v>
      </c>
    </row>
    <row r="9" spans="1:21" x14ac:dyDescent="0.25">
      <c r="A9" s="8" t="s">
        <v>16</v>
      </c>
      <c r="B9" s="7" t="s">
        <v>41</v>
      </c>
      <c r="C9" s="4" t="s">
        <v>42</v>
      </c>
      <c r="D9" s="4" t="s">
        <v>43</v>
      </c>
      <c r="E9" s="4">
        <v>8</v>
      </c>
      <c r="F9" s="9">
        <v>46028</v>
      </c>
      <c r="G9" s="9" t="b">
        <v>0</v>
      </c>
      <c r="H9" s="4" t="b">
        <v>0</v>
      </c>
      <c r="I9" s="28" t="s">
        <v>44</v>
      </c>
      <c r="J9" s="4">
        <f t="shared" si="0"/>
        <v>15</v>
      </c>
      <c r="K9" s="4">
        <f ca="1">IF(AND(F9&lt;&gt;"", L9&lt;&gt;""), NETWORKDAYS(TODAY(), L9-1, FESTIVOS!A$1:A$55), "")</f>
        <v>-96</v>
      </c>
      <c r="L9" s="9">
        <f>IF(AND(F9&lt;&gt;"", J9&lt;&gt;""), WORKDAY(F9, J9, FESTIVOS!A$1:A$55), "")</f>
        <v>46050</v>
      </c>
      <c r="M9" s="4" t="s">
        <v>21</v>
      </c>
      <c r="N9" s="4">
        <f t="shared" ca="1" si="2"/>
        <v>0</v>
      </c>
      <c r="O9" s="4" t="str">
        <f t="shared" ca="1" si="1"/>
        <v>Vencido</v>
      </c>
      <c r="P9" s="4" t="b">
        <v>0</v>
      </c>
      <c r="Q9" s="4" t="b">
        <v>0</v>
      </c>
      <c r="R9" s="10" t="e">
        <f>IF(OR(Q9="", L9=""), "", NETWORKDAYS(L9, Q9, FESTIVOS!A8:A62))</f>
        <v>#VALUE!</v>
      </c>
    </row>
    <row r="10" spans="1:21" x14ac:dyDescent="0.25">
      <c r="A10" s="8" t="s">
        <v>16</v>
      </c>
      <c r="B10" s="7" t="s">
        <v>45</v>
      </c>
      <c r="C10" s="4" t="s">
        <v>46</v>
      </c>
      <c r="D10" s="4" t="s">
        <v>39</v>
      </c>
      <c r="E10" s="4">
        <v>9</v>
      </c>
      <c r="F10" s="9">
        <v>46028</v>
      </c>
      <c r="G10" s="9" t="b">
        <v>0</v>
      </c>
      <c r="H10" s="4" t="b">
        <v>0</v>
      </c>
      <c r="I10" s="28" t="s">
        <v>20</v>
      </c>
      <c r="J10" s="4">
        <f t="shared" si="0"/>
        <v>15</v>
      </c>
      <c r="K10" s="4">
        <f ca="1">IF(AND(F10&lt;&gt;"", L10&lt;&gt;""), NETWORKDAYS(TODAY(), L10-1, FESTIVOS!A$1:A$55), "")</f>
        <v>-96</v>
      </c>
      <c r="L10" s="9">
        <f>IF(AND(F10&lt;&gt;"", J10&lt;&gt;""), WORKDAY(F10, J10, FESTIVOS!A$1:A$55), "")</f>
        <v>46050</v>
      </c>
      <c r="M10" s="4" t="s">
        <v>21</v>
      </c>
      <c r="N10" s="4">
        <f t="shared" ca="1" si="2"/>
        <v>0</v>
      </c>
      <c r="O10" s="4" t="str">
        <f t="shared" ca="1" si="1"/>
        <v>Vencido</v>
      </c>
      <c r="P10" s="4" t="s">
        <v>47</v>
      </c>
      <c r="Q10" s="9">
        <v>46041</v>
      </c>
      <c r="R10" s="10">
        <f>IF(OR(Q10="", L10=""), "", NETWORKDAYS(L10, Q10, FESTIVOS!A9:A63))</f>
        <v>-8</v>
      </c>
    </row>
    <row r="11" spans="1:21" x14ac:dyDescent="0.25">
      <c r="A11" s="8" t="s">
        <v>16</v>
      </c>
      <c r="B11" s="7" t="s">
        <v>48</v>
      </c>
      <c r="C11" s="4" t="s">
        <v>46</v>
      </c>
      <c r="D11" s="4" t="s">
        <v>49</v>
      </c>
      <c r="E11" s="4">
        <v>10</v>
      </c>
      <c r="F11" s="9">
        <v>46029</v>
      </c>
      <c r="G11" s="9" t="b">
        <v>0</v>
      </c>
      <c r="H11" s="4" t="b">
        <v>0</v>
      </c>
      <c r="I11" s="28" t="s">
        <v>20</v>
      </c>
      <c r="J11" s="4">
        <f t="shared" si="0"/>
        <v>15</v>
      </c>
      <c r="K11" s="4">
        <f ca="1">IF(AND(F11&lt;&gt;"", L11&lt;&gt;""), NETWORKDAYS(TODAY(), L11-1, FESTIVOS!A$1:A$55), "")</f>
        <v>-95</v>
      </c>
      <c r="L11" s="9">
        <f>IF(AND(F11&lt;&gt;"", J11&lt;&gt;""), WORKDAY(F11, J11, FESTIVOS!A$1:A$55), "")</f>
        <v>46051</v>
      </c>
      <c r="M11" s="4" t="s">
        <v>21</v>
      </c>
      <c r="N11" s="4">
        <f t="shared" ca="1" si="2"/>
        <v>0</v>
      </c>
      <c r="O11" s="4" t="str">
        <f t="shared" ca="1" si="1"/>
        <v>Vencido</v>
      </c>
      <c r="P11" s="4" t="s">
        <v>50</v>
      </c>
      <c r="Q11" s="9">
        <v>46037</v>
      </c>
      <c r="R11" s="10">
        <f>IF(OR(Q11="", L11=""), "", NETWORKDAYS(L11, Q11, FESTIVOS!A10:A64))</f>
        <v>-11</v>
      </c>
    </row>
    <row r="12" spans="1:21" x14ac:dyDescent="0.25">
      <c r="A12" s="8" t="s">
        <v>16</v>
      </c>
      <c r="B12" s="7" t="s">
        <v>51</v>
      </c>
      <c r="C12" s="4" t="s">
        <v>46</v>
      </c>
      <c r="D12" s="4" t="s">
        <v>52</v>
      </c>
      <c r="E12" s="4">
        <v>11</v>
      </c>
      <c r="F12" s="9">
        <v>46029</v>
      </c>
      <c r="G12" s="9" t="b">
        <v>0</v>
      </c>
      <c r="H12" s="4" t="b">
        <v>0</v>
      </c>
      <c r="I12" s="28" t="s">
        <v>44</v>
      </c>
      <c r="J12" s="4">
        <f t="shared" si="0"/>
        <v>15</v>
      </c>
      <c r="K12" s="4">
        <f ca="1">IF(AND(F12&lt;&gt;"", L12&lt;&gt;""), NETWORKDAYS(TODAY(), L12-1, FESTIVOS!A$1:A$55), "")</f>
        <v>-95</v>
      </c>
      <c r="L12" s="9">
        <f>IF(AND(F12&lt;&gt;"", J12&lt;&gt;""), WORKDAY(F12, J12, FESTIVOS!A$1:A$55), "")</f>
        <v>46051</v>
      </c>
      <c r="M12" s="4" t="s">
        <v>21</v>
      </c>
      <c r="N12" s="4">
        <f t="shared" ca="1" si="2"/>
        <v>0</v>
      </c>
      <c r="O12" s="4" t="str">
        <f t="shared" ca="1" si="1"/>
        <v>Vencido</v>
      </c>
      <c r="P12" s="4" t="b">
        <v>0</v>
      </c>
      <c r="Q12" s="4" t="b">
        <v>0</v>
      </c>
      <c r="R12" s="10" t="e">
        <f>IF(OR(Q12="", L12=""), "", NETWORKDAYS(L12, Q12, FESTIVOS!A11:A65))</f>
        <v>#VALUE!</v>
      </c>
    </row>
    <row r="13" spans="1:21" x14ac:dyDescent="0.25">
      <c r="A13" s="8" t="s">
        <v>16</v>
      </c>
      <c r="B13" s="7" t="s">
        <v>53</v>
      </c>
      <c r="C13" s="4" t="s">
        <v>46</v>
      </c>
      <c r="D13" s="4" t="s">
        <v>54</v>
      </c>
      <c r="E13" s="4">
        <v>12</v>
      </c>
      <c r="F13" s="9">
        <v>46030</v>
      </c>
      <c r="G13" s="9" t="b">
        <v>0</v>
      </c>
      <c r="H13" s="4" t="b">
        <v>0</v>
      </c>
      <c r="I13" s="28" t="s">
        <v>20</v>
      </c>
      <c r="J13" s="4">
        <f t="shared" si="0"/>
        <v>15</v>
      </c>
      <c r="K13" s="4">
        <f ca="1">IF(AND(F13&lt;&gt;"", L13&lt;&gt;""), NETWORKDAYS(TODAY(), L13-1, FESTIVOS!A$1:A$55), "")</f>
        <v>-94</v>
      </c>
      <c r="L13" s="9">
        <f>IF(AND(F13&lt;&gt;"", J13&lt;&gt;""), WORKDAY(F13, J13, FESTIVOS!A$1:A$55), "")</f>
        <v>46052</v>
      </c>
      <c r="M13" s="4" t="s">
        <v>21</v>
      </c>
      <c r="N13" s="4">
        <f t="shared" ca="1" si="2"/>
        <v>0</v>
      </c>
      <c r="O13" s="4" t="str">
        <f t="shared" ca="1" si="1"/>
        <v>Vencido</v>
      </c>
      <c r="P13" s="4" t="s">
        <v>55</v>
      </c>
      <c r="Q13" s="9">
        <v>46036</v>
      </c>
      <c r="R13" s="10">
        <f>IF(OR(Q13="", L13=""), "", NETWORKDAYS(L13, Q13, FESTIVOS!A12:A66))</f>
        <v>-13</v>
      </c>
    </row>
    <row r="14" spans="1:21" ht="15.75" customHeight="1" x14ac:dyDescent="0.25">
      <c r="A14" s="8" t="s">
        <v>16</v>
      </c>
      <c r="B14" s="7" t="s">
        <v>56</v>
      </c>
      <c r="C14" s="4" t="s">
        <v>57</v>
      </c>
      <c r="D14" s="4" t="s">
        <v>58</v>
      </c>
      <c r="E14" s="4">
        <v>13</v>
      </c>
      <c r="F14" s="9">
        <v>46030</v>
      </c>
      <c r="G14" s="9" t="b">
        <v>0</v>
      </c>
      <c r="H14" s="4" t="b">
        <v>0</v>
      </c>
      <c r="I14" s="28" t="s">
        <v>44</v>
      </c>
      <c r="J14" s="4">
        <f t="shared" si="0"/>
        <v>15</v>
      </c>
      <c r="K14" s="4">
        <f ca="1">IF(AND(F14&lt;&gt;"", L14&lt;&gt;""), NETWORKDAYS(TODAY(), L14-1, FESTIVOS!A$1:A$55), "")</f>
        <v>-94</v>
      </c>
      <c r="L14" s="9">
        <f>IF(AND(F14&lt;&gt;"", J14&lt;&gt;""), WORKDAY(F14, J14, FESTIVOS!A$1:A$55), "")</f>
        <v>46052</v>
      </c>
      <c r="M14" s="4" t="s">
        <v>21</v>
      </c>
      <c r="N14" s="4">
        <f t="shared" ca="1" si="2"/>
        <v>0</v>
      </c>
      <c r="O14" s="4" t="str">
        <f t="shared" ca="1" si="1"/>
        <v>Vencido</v>
      </c>
      <c r="P14" s="4" t="s">
        <v>55</v>
      </c>
      <c r="Q14" s="9">
        <v>46036</v>
      </c>
      <c r="R14" s="10">
        <f>IF(OR(Q14="", L14=""), "", NETWORKDAYS(L14, Q14, FESTIVOS!A13:A67))</f>
        <v>-13</v>
      </c>
    </row>
    <row r="15" spans="1:21" s="1" customFormat="1" x14ac:dyDescent="0.25">
      <c r="A15" s="8" t="s">
        <v>16</v>
      </c>
      <c r="B15" s="7" t="s">
        <v>59</v>
      </c>
      <c r="C15" s="4" t="s">
        <v>60</v>
      </c>
      <c r="D15" s="4" t="s">
        <v>61</v>
      </c>
      <c r="E15" s="4">
        <v>14</v>
      </c>
      <c r="F15" s="9">
        <v>46030</v>
      </c>
      <c r="G15" s="9" t="b">
        <v>0</v>
      </c>
      <c r="H15" s="4" t="b">
        <v>0</v>
      </c>
      <c r="I15" s="28" t="s">
        <v>20</v>
      </c>
      <c r="J15" s="4">
        <f t="shared" si="0"/>
        <v>15</v>
      </c>
      <c r="K15" s="4">
        <f ca="1">IF(AND(F15&lt;&gt;"", L15&lt;&gt;""), NETWORKDAYS(TODAY(), L15-1, FESTIVOS!A$1:A$55), "")</f>
        <v>-94</v>
      </c>
      <c r="L15" s="9">
        <f>IF(AND(F15&lt;&gt;"", J15&lt;&gt;""), WORKDAY(F15, J15, FESTIVOS!A$1:A$55), "")</f>
        <v>46052</v>
      </c>
      <c r="M15" s="4" t="s">
        <v>21</v>
      </c>
      <c r="N15" s="4">
        <f t="shared" ca="1" si="2"/>
        <v>0</v>
      </c>
      <c r="O15" s="4" t="str">
        <f t="shared" ca="1" si="1"/>
        <v>Vencido</v>
      </c>
      <c r="P15" s="9" t="s">
        <v>62</v>
      </c>
      <c r="Q15" s="9">
        <v>46035</v>
      </c>
      <c r="R15" s="10">
        <f>IF(OR(Q15="", L15=""), "", NETWORKDAYS(L15, Q15, FESTIVOS!A14:A68))</f>
        <v>-14</v>
      </c>
      <c r="S15"/>
      <c r="T15"/>
    </row>
    <row r="16" spans="1:21" ht="28.9" customHeight="1" x14ac:dyDescent="0.25">
      <c r="A16" s="8" t="s">
        <v>16</v>
      </c>
      <c r="B16" s="7" t="s">
        <v>63</v>
      </c>
      <c r="C16" s="4" t="s">
        <v>64</v>
      </c>
      <c r="D16" s="4" t="s">
        <v>65</v>
      </c>
      <c r="E16" s="4">
        <v>15</v>
      </c>
      <c r="F16" s="9">
        <v>46030</v>
      </c>
      <c r="G16" s="9" t="b">
        <v>0</v>
      </c>
      <c r="H16" s="4" t="b">
        <v>0</v>
      </c>
      <c r="I16" s="28" t="s">
        <v>66</v>
      </c>
      <c r="J16" s="4">
        <f t="shared" si="0"/>
        <v>15</v>
      </c>
      <c r="K16" s="4">
        <f ca="1">IF(AND(F16&lt;&gt;"", L16&lt;&gt;""), NETWORKDAYS(TODAY(), L16-1, FESTIVOS!A$1:A$55), "")</f>
        <v>-94</v>
      </c>
      <c r="L16" s="9">
        <f>IF(AND(F16&lt;&gt;"", J16&lt;&gt;""), WORKDAY(F16, J16, FESTIVOS!A$1:A$55), "")</f>
        <v>46052</v>
      </c>
      <c r="M16" s="4" t="s">
        <v>21</v>
      </c>
      <c r="N16" s="4">
        <f t="shared" ca="1" si="2"/>
        <v>0</v>
      </c>
      <c r="O16" s="4" t="str">
        <f t="shared" ca="1" si="1"/>
        <v>Vencido</v>
      </c>
      <c r="P16" s="4" t="s">
        <v>37</v>
      </c>
      <c r="Q16" s="9" t="b">
        <v>0</v>
      </c>
      <c r="R16" s="10" t="e">
        <f>IF(OR(Q16="", L16=""), "", NETWORKDAYS(L16, Q16, FESTIVOS!A15:A69))</f>
        <v>#VALUE!</v>
      </c>
    </row>
    <row r="17" spans="1:18" ht="27" customHeight="1" x14ac:dyDescent="0.25">
      <c r="A17" s="8" t="s">
        <v>16</v>
      </c>
      <c r="B17" s="7" t="s">
        <v>63</v>
      </c>
      <c r="C17" s="4" t="s">
        <v>64</v>
      </c>
      <c r="D17" s="4" t="s">
        <v>67</v>
      </c>
      <c r="E17" s="4">
        <v>16</v>
      </c>
      <c r="F17" s="9">
        <v>46030</v>
      </c>
      <c r="G17" s="9" t="b">
        <v>0</v>
      </c>
      <c r="H17" s="4" t="b">
        <v>0</v>
      </c>
      <c r="I17" s="28" t="s">
        <v>20</v>
      </c>
      <c r="J17" s="4">
        <f t="shared" si="0"/>
        <v>15</v>
      </c>
      <c r="K17" s="4">
        <f ca="1">IF(AND(F17&lt;&gt;"", L17&lt;&gt;""), NETWORKDAYS(TODAY(), L17-1, FESTIVOS!A$1:A$55), "")</f>
        <v>-94</v>
      </c>
      <c r="L17" s="9">
        <f>IF(AND(F17&lt;&gt;"", J17&lt;&gt;""), WORKDAY(F17, J17, FESTIVOS!A$1:A$55), "")</f>
        <v>46052</v>
      </c>
      <c r="M17" s="4" t="s">
        <v>21</v>
      </c>
      <c r="N17" s="4">
        <f t="shared" ca="1" si="2"/>
        <v>0</v>
      </c>
      <c r="O17" s="4" t="str">
        <f t="shared" ca="1" si="1"/>
        <v>Vencido</v>
      </c>
      <c r="P17" s="4" t="s">
        <v>37</v>
      </c>
      <c r="Q17" s="9" t="b">
        <v>0</v>
      </c>
      <c r="R17" s="10" t="e">
        <f>IF(OR(Q17="", L17=""), "", NETWORKDAYS(L17, Q17, FESTIVOS!A16:A70))</f>
        <v>#VALUE!</v>
      </c>
    </row>
    <row r="18" spans="1:18" x14ac:dyDescent="0.25">
      <c r="A18" s="8" t="s">
        <v>16</v>
      </c>
      <c r="B18" s="7" t="s">
        <v>68</v>
      </c>
      <c r="C18" s="4" t="s">
        <v>69</v>
      </c>
      <c r="D18" s="4" t="s">
        <v>70</v>
      </c>
      <c r="E18" s="4">
        <v>17</v>
      </c>
      <c r="F18" s="9">
        <v>46030</v>
      </c>
      <c r="G18" s="9" t="b">
        <v>0</v>
      </c>
      <c r="H18" s="4" t="b">
        <v>0</v>
      </c>
      <c r="I18" s="28" t="s">
        <v>20</v>
      </c>
      <c r="J18" s="4">
        <f t="shared" si="0"/>
        <v>15</v>
      </c>
      <c r="K18" s="4">
        <f ca="1">IF(AND(F18&lt;&gt;"", L18&lt;&gt;""), NETWORKDAYS(TODAY(), L18-1, FESTIVOS!A$1:A$55), "")</f>
        <v>-94</v>
      </c>
      <c r="L18" s="9">
        <f>IF(AND(F18&lt;&gt;"", J18&lt;&gt;""), WORKDAY(F18, J18, FESTIVOS!A$1:A$55), "")</f>
        <v>46052</v>
      </c>
      <c r="M18" s="4" t="s">
        <v>21</v>
      </c>
      <c r="N18" s="4">
        <f t="shared" ca="1" si="2"/>
        <v>0</v>
      </c>
      <c r="O18" s="4" t="str">
        <f t="shared" ca="1" si="1"/>
        <v>Vencido</v>
      </c>
      <c r="P18" s="4" t="s">
        <v>37</v>
      </c>
      <c r="Q18" s="9" t="b">
        <v>0</v>
      </c>
      <c r="R18" s="10" t="e">
        <f>IF(OR(Q18="", L18=""), "", NETWORKDAYS(L18, Q18, FESTIVOS!A17:A71))</f>
        <v>#VALUE!</v>
      </c>
    </row>
    <row r="19" spans="1:18" x14ac:dyDescent="0.25">
      <c r="A19" s="8" t="s">
        <v>16</v>
      </c>
      <c r="B19" s="7" t="s">
        <v>68</v>
      </c>
      <c r="C19" s="4" t="s">
        <v>69</v>
      </c>
      <c r="D19" s="4" t="s">
        <v>71</v>
      </c>
      <c r="E19" s="4">
        <v>18</v>
      </c>
      <c r="F19" s="9">
        <v>46031</v>
      </c>
      <c r="G19" s="9" t="b">
        <v>0</v>
      </c>
      <c r="H19" s="4" t="b">
        <v>0</v>
      </c>
      <c r="I19" s="28" t="s">
        <v>20</v>
      </c>
      <c r="J19" s="4">
        <f t="shared" si="0"/>
        <v>15</v>
      </c>
      <c r="K19" s="4">
        <f ca="1">IF(AND(F19&lt;&gt;"", L19&lt;&gt;""), NETWORKDAYS(TODAY(), L19-1, FESTIVOS!A$1:A$55), "")</f>
        <v>-92</v>
      </c>
      <c r="L19" s="9">
        <f>IF(AND(F19&lt;&gt;"", J19&lt;&gt;""), WORKDAY(F19, J19, FESTIVOS!A$1:A$55), "")</f>
        <v>46055</v>
      </c>
      <c r="M19" s="4" t="s">
        <v>21</v>
      </c>
      <c r="N19" s="4">
        <f t="shared" ca="1" si="2"/>
        <v>0</v>
      </c>
      <c r="O19" s="4" t="str">
        <f t="shared" ca="1" si="1"/>
        <v>Vencido</v>
      </c>
      <c r="P19" s="4" t="s">
        <v>37</v>
      </c>
      <c r="Q19" s="9" t="b">
        <v>0</v>
      </c>
      <c r="R19" s="10" t="e">
        <f>IF(OR(Q19="", L19=""), "", NETWORKDAYS(L19, Q19, FESTIVOS!A18:A72))</f>
        <v>#VALUE!</v>
      </c>
    </row>
    <row r="20" spans="1:18" ht="32.450000000000003" customHeight="1" x14ac:dyDescent="0.25">
      <c r="A20" s="8" t="s">
        <v>16</v>
      </c>
      <c r="B20" s="7" t="s">
        <v>72</v>
      </c>
      <c r="C20" s="4" t="s">
        <v>46</v>
      </c>
      <c r="D20" s="4" t="s">
        <v>73</v>
      </c>
      <c r="E20" s="4">
        <v>19</v>
      </c>
      <c r="F20" s="9">
        <v>46031</v>
      </c>
      <c r="G20" s="9" t="b">
        <v>0</v>
      </c>
      <c r="H20" s="4" t="b">
        <v>0</v>
      </c>
      <c r="I20" s="28" t="s">
        <v>20</v>
      </c>
      <c r="J20" s="4">
        <f t="shared" si="0"/>
        <v>15</v>
      </c>
      <c r="K20" s="4">
        <f ca="1">IF(AND(F20&lt;&gt;"", L20&lt;&gt;""), NETWORKDAYS(TODAY(), L20-1, FESTIVOS!A$1:A$55), "")</f>
        <v>-92</v>
      </c>
      <c r="L20" s="9">
        <f>IF(AND(F20&lt;&gt;"", J20&lt;&gt;""), WORKDAY(F20, J20, FESTIVOS!A$1:A$55), "")</f>
        <v>46055</v>
      </c>
      <c r="M20" s="4" t="s">
        <v>21</v>
      </c>
      <c r="N20" s="4">
        <f t="shared" ca="1" si="2"/>
        <v>0</v>
      </c>
      <c r="O20" s="4" t="str">
        <f t="shared" ca="1" si="1"/>
        <v>Vencido</v>
      </c>
      <c r="P20" s="9" t="s">
        <v>74</v>
      </c>
      <c r="Q20" s="9">
        <v>46043</v>
      </c>
      <c r="R20" s="10">
        <f>IF(OR(Q20="", L20=""), "", NETWORKDAYS(L20, Q20, FESTIVOS!A19:A73))</f>
        <v>-9</v>
      </c>
    </row>
    <row r="21" spans="1:18" x14ac:dyDescent="0.25">
      <c r="A21" s="8" t="s">
        <v>16</v>
      </c>
      <c r="B21" s="7" t="s">
        <v>75</v>
      </c>
      <c r="C21" s="4" t="s">
        <v>46</v>
      </c>
      <c r="D21" s="4" t="s">
        <v>76</v>
      </c>
      <c r="E21" s="4">
        <v>20</v>
      </c>
      <c r="F21" s="9">
        <v>46035</v>
      </c>
      <c r="G21" s="9" t="b">
        <v>0</v>
      </c>
      <c r="H21" s="4" t="b">
        <v>0</v>
      </c>
      <c r="I21" s="28" t="s">
        <v>20</v>
      </c>
      <c r="J21" s="4">
        <f t="shared" si="0"/>
        <v>15</v>
      </c>
      <c r="K21" s="4">
        <f ca="1">IF(AND(F21&lt;&gt;"", L21&lt;&gt;""), NETWORKDAYS(TODAY(), L21-1, FESTIVOS!A$1:A$55), "")</f>
        <v>-92</v>
      </c>
      <c r="L21" s="9">
        <f>IF(AND(F21&lt;&gt;"", J21&lt;&gt;""), WORKDAY(F21, J21, FESTIVOS!A$1:A$55), "")</f>
        <v>46056</v>
      </c>
      <c r="M21" s="4" t="s">
        <v>21</v>
      </c>
      <c r="N21" s="4">
        <f t="shared" ca="1" si="2"/>
        <v>0</v>
      </c>
      <c r="O21" s="4" t="b">
        <v>0</v>
      </c>
      <c r="P21" s="4" t="s">
        <v>77</v>
      </c>
      <c r="Q21" s="9">
        <v>46037</v>
      </c>
      <c r="R21" s="10">
        <f>IF(OR(Q21="", L21=""), "", NETWORKDAYS(L21, Q21, FESTIVOS!A20:A74))</f>
        <v>-14</v>
      </c>
    </row>
    <row r="22" spans="1:18" ht="30" customHeight="1" x14ac:dyDescent="0.25">
      <c r="A22" s="8" t="s">
        <v>16</v>
      </c>
      <c r="B22" s="7" t="s">
        <v>78</v>
      </c>
      <c r="C22" s="4" t="s">
        <v>46</v>
      </c>
      <c r="D22" s="4" t="s">
        <v>79</v>
      </c>
      <c r="E22" s="4">
        <v>21</v>
      </c>
      <c r="F22" s="9">
        <v>46035</v>
      </c>
      <c r="G22" s="9" t="b">
        <v>0</v>
      </c>
      <c r="H22" s="4" t="b">
        <v>0</v>
      </c>
      <c r="I22" s="28" t="s">
        <v>80</v>
      </c>
      <c r="J22" s="4">
        <f t="shared" si="0"/>
        <v>15</v>
      </c>
      <c r="K22" s="4">
        <f ca="1">IF(AND(F22&lt;&gt;"", L22&lt;&gt;""), NETWORKDAYS(TODAY(), L22-1, FESTIVOS!A$1:A$55), "")</f>
        <v>-92</v>
      </c>
      <c r="L22" s="9">
        <f>IF(AND(F22&lt;&gt;"", J22&lt;&gt;""), WORKDAY(F22, J22, FESTIVOS!A$1:A$55), "")</f>
        <v>46056</v>
      </c>
      <c r="M22" s="4" t="s">
        <v>21</v>
      </c>
      <c r="N22" s="4">
        <f t="shared" ca="1" si="2"/>
        <v>0</v>
      </c>
      <c r="O22" s="4" t="str">
        <f t="shared" ca="1" si="1"/>
        <v>Vencido</v>
      </c>
      <c r="P22" s="4" t="s">
        <v>37</v>
      </c>
      <c r="Q22" s="9" t="b">
        <v>0</v>
      </c>
      <c r="R22" s="10" t="e">
        <f>IF(OR(Q22="", L22=""), "", NETWORKDAYS(L22, Q22, FESTIVOS!A21:A75))</f>
        <v>#VALUE!</v>
      </c>
    </row>
    <row r="23" spans="1:18" x14ac:dyDescent="0.25">
      <c r="A23" s="8" t="s">
        <v>16</v>
      </c>
      <c r="B23" s="7" t="s">
        <v>81</v>
      </c>
      <c r="C23" s="4" t="s">
        <v>46</v>
      </c>
      <c r="D23" s="4" t="s">
        <v>82</v>
      </c>
      <c r="E23" s="4">
        <v>22</v>
      </c>
      <c r="F23" s="9">
        <v>46035</v>
      </c>
      <c r="G23" s="9" t="b">
        <v>0</v>
      </c>
      <c r="H23" s="4" t="b">
        <v>0</v>
      </c>
      <c r="I23" s="28" t="s">
        <v>66</v>
      </c>
      <c r="J23" s="4">
        <f t="shared" si="0"/>
        <v>15</v>
      </c>
      <c r="K23" s="4">
        <f ca="1">IF(AND(F23&lt;&gt;"", L23&lt;&gt;""), NETWORKDAYS(TODAY(), L23-1, FESTIVOS!A$1:A$55), "")</f>
        <v>-92</v>
      </c>
      <c r="L23" s="9">
        <f>IF(AND(F23&lt;&gt;"", J23&lt;&gt;""), WORKDAY(F23, J23, FESTIVOS!A$1:A$55), "")</f>
        <v>46056</v>
      </c>
      <c r="M23" s="4" t="s">
        <v>21</v>
      </c>
      <c r="N23" s="4">
        <f t="shared" ca="1" si="2"/>
        <v>0</v>
      </c>
      <c r="O23" s="4" t="str">
        <f t="shared" ca="1" si="1"/>
        <v>Vencido</v>
      </c>
      <c r="P23" s="4" t="s">
        <v>55</v>
      </c>
      <c r="Q23" s="9">
        <v>46036</v>
      </c>
      <c r="R23" s="10">
        <f>IF(OR(Q23="", L23=""), "", NETWORKDAYS(L23, Q23, FESTIVOS!A22:A76))</f>
        <v>-15</v>
      </c>
    </row>
    <row r="24" spans="1:18" x14ac:dyDescent="0.25">
      <c r="A24" s="8" t="s">
        <v>16</v>
      </c>
      <c r="B24" s="7" t="s">
        <v>83</v>
      </c>
      <c r="C24" s="4" t="s">
        <v>84</v>
      </c>
      <c r="D24" s="4" t="s">
        <v>85</v>
      </c>
      <c r="E24" s="4">
        <v>23</v>
      </c>
      <c r="F24" s="9">
        <v>46035</v>
      </c>
      <c r="G24" s="9" t="b">
        <v>0</v>
      </c>
      <c r="H24" s="4" t="b">
        <v>0</v>
      </c>
      <c r="I24" s="28" t="s">
        <v>20</v>
      </c>
      <c r="J24" s="4">
        <f t="shared" si="0"/>
        <v>15</v>
      </c>
      <c r="K24" s="4">
        <f ca="1">IF(AND(F24&lt;&gt;"", L24&lt;&gt;""), NETWORKDAYS(TODAY(), L24-1, FESTIVOS!A$1:A$55), "")</f>
        <v>-92</v>
      </c>
      <c r="L24" s="9">
        <f>IF(AND(F24&lt;&gt;"", J24&lt;&gt;""), WORKDAY(F24, J24, FESTIVOS!A$1:A$55), "")</f>
        <v>46056</v>
      </c>
      <c r="M24" s="4" t="s">
        <v>21</v>
      </c>
      <c r="N24" s="4">
        <f t="shared" ca="1" si="2"/>
        <v>0</v>
      </c>
      <c r="O24" s="4" t="str">
        <f t="shared" ca="1" si="1"/>
        <v>Vencido</v>
      </c>
      <c r="P24" s="4" t="s">
        <v>55</v>
      </c>
      <c r="Q24" s="9">
        <v>46036</v>
      </c>
      <c r="R24" s="10">
        <f>IF(OR(Q24="", L24=""), "", NETWORKDAYS(L24, Q24, FESTIVOS!A23:A77))</f>
        <v>-15</v>
      </c>
    </row>
    <row r="25" spans="1:18" x14ac:dyDescent="0.25">
      <c r="A25" s="8" t="s">
        <v>16</v>
      </c>
      <c r="B25" s="7" t="s">
        <v>83</v>
      </c>
      <c r="C25" s="4" t="s">
        <v>84</v>
      </c>
      <c r="D25" s="4" t="s">
        <v>85</v>
      </c>
      <c r="E25" s="4">
        <v>24</v>
      </c>
      <c r="F25" s="9">
        <v>46035</v>
      </c>
      <c r="G25" s="9" t="b">
        <v>0</v>
      </c>
      <c r="H25" s="4" t="b">
        <v>0</v>
      </c>
      <c r="I25" s="28" t="s">
        <v>20</v>
      </c>
      <c r="J25" s="4">
        <f t="shared" si="0"/>
        <v>15</v>
      </c>
      <c r="K25" s="4">
        <f ca="1">IF(AND(F25&lt;&gt;"", L25&lt;&gt;""), NETWORKDAYS(TODAY(), L25-1, FESTIVOS!A$1:A$55), "")</f>
        <v>-92</v>
      </c>
      <c r="L25" s="9">
        <f>IF(AND(F25&lt;&gt;"", J25&lt;&gt;""), WORKDAY(F25, J25, FESTIVOS!A$1:A$55), "")</f>
        <v>46056</v>
      </c>
      <c r="M25" s="4" t="s">
        <v>21</v>
      </c>
      <c r="N25" s="4">
        <f t="shared" ca="1" si="2"/>
        <v>0</v>
      </c>
      <c r="O25" s="4" t="str">
        <f t="shared" ca="1" si="1"/>
        <v>Vencido</v>
      </c>
      <c r="P25" s="4" t="s">
        <v>55</v>
      </c>
      <c r="Q25" s="9">
        <v>46036</v>
      </c>
      <c r="R25" s="10">
        <f>IF(OR(Q25="", L25=""), "", NETWORKDAYS(L25, Q25, FESTIVOS!A24:A78))</f>
        <v>-15</v>
      </c>
    </row>
    <row r="26" spans="1:18" x14ac:dyDescent="0.25">
      <c r="A26" s="8" t="s">
        <v>16</v>
      </c>
      <c r="B26" s="7" t="s">
        <v>83</v>
      </c>
      <c r="C26" s="4" t="s">
        <v>84</v>
      </c>
      <c r="D26" s="4" t="s">
        <v>85</v>
      </c>
      <c r="E26" s="4">
        <v>25</v>
      </c>
      <c r="F26" s="9">
        <v>46035</v>
      </c>
      <c r="G26" s="9" t="b">
        <v>0</v>
      </c>
      <c r="H26" s="4" t="b">
        <v>0</v>
      </c>
      <c r="I26" s="28" t="s">
        <v>20</v>
      </c>
      <c r="J26" s="4">
        <f t="shared" si="0"/>
        <v>15</v>
      </c>
      <c r="K26" s="4">
        <f ca="1">IF(AND(F26&lt;&gt;"", L26&lt;&gt;""), NETWORKDAYS(TODAY(), L26-1, FESTIVOS!A$1:A$55), "")</f>
        <v>-92</v>
      </c>
      <c r="L26" s="9">
        <f>IF(AND(F26&lt;&gt;"", J26&lt;&gt;""), WORKDAY(F26, J26, FESTIVOS!A$1:A$55), "")</f>
        <v>46056</v>
      </c>
      <c r="M26" s="4" t="s">
        <v>21</v>
      </c>
      <c r="N26" s="4">
        <f t="shared" ca="1" si="2"/>
        <v>0</v>
      </c>
      <c r="O26" s="4" t="str">
        <f t="shared" ca="1" si="1"/>
        <v>Vencido</v>
      </c>
      <c r="P26" s="4" t="s">
        <v>55</v>
      </c>
      <c r="Q26" s="9">
        <v>46036</v>
      </c>
      <c r="R26" s="10">
        <f>IF(OR(Q26="", L26=""), "", NETWORKDAYS(L26, Q26, FESTIVOS!A25:A79))</f>
        <v>-15</v>
      </c>
    </row>
    <row r="27" spans="1:18" x14ac:dyDescent="0.25">
      <c r="A27" s="8" t="s">
        <v>16</v>
      </c>
      <c r="B27" s="7" t="s">
        <v>83</v>
      </c>
      <c r="C27" s="4" t="s">
        <v>84</v>
      </c>
      <c r="D27" s="4" t="s">
        <v>85</v>
      </c>
      <c r="E27" s="4">
        <v>26</v>
      </c>
      <c r="F27" s="9">
        <v>46035</v>
      </c>
      <c r="G27" s="9" t="b">
        <v>0</v>
      </c>
      <c r="H27" s="4" t="b">
        <v>0</v>
      </c>
      <c r="I27" s="28" t="s">
        <v>20</v>
      </c>
      <c r="J27" s="4">
        <f t="shared" si="0"/>
        <v>15</v>
      </c>
      <c r="K27" s="4">
        <f ca="1">IF(AND(F27&lt;&gt;"", L27&lt;&gt;""), NETWORKDAYS(TODAY(), L27-1, FESTIVOS!A$1:A$55), "")</f>
        <v>-92</v>
      </c>
      <c r="L27" s="9">
        <f>IF(AND(F27&lt;&gt;"", J27&lt;&gt;""), WORKDAY(F27, J27, FESTIVOS!A$1:A$55), "")</f>
        <v>46056</v>
      </c>
      <c r="M27" s="4" t="s">
        <v>21</v>
      </c>
      <c r="N27" s="4">
        <f t="shared" ca="1" si="2"/>
        <v>0</v>
      </c>
      <c r="O27" s="4" t="str">
        <f t="shared" ca="1" si="1"/>
        <v>Vencido</v>
      </c>
      <c r="P27" s="4" t="s">
        <v>55</v>
      </c>
      <c r="Q27" s="9">
        <v>46036</v>
      </c>
      <c r="R27" s="10">
        <f>IF(OR(Q27="", L27=""), "", NETWORKDAYS(L27, Q27, FESTIVOS!A26:A80))</f>
        <v>-15</v>
      </c>
    </row>
    <row r="28" spans="1:18" x14ac:dyDescent="0.25">
      <c r="A28" s="8" t="s">
        <v>16</v>
      </c>
      <c r="B28" s="7" t="s">
        <v>83</v>
      </c>
      <c r="C28" s="4" t="s">
        <v>84</v>
      </c>
      <c r="D28" s="4" t="s">
        <v>85</v>
      </c>
      <c r="E28" s="4">
        <v>27</v>
      </c>
      <c r="F28" s="9">
        <v>46035</v>
      </c>
      <c r="G28" s="9" t="b">
        <v>0</v>
      </c>
      <c r="H28" s="4" t="b">
        <v>0</v>
      </c>
      <c r="I28" s="28" t="s">
        <v>20</v>
      </c>
      <c r="J28" s="4">
        <f t="shared" si="0"/>
        <v>15</v>
      </c>
      <c r="K28" s="4">
        <f ca="1">IF(AND(F28&lt;&gt;"", L28&lt;&gt;""), NETWORKDAYS(TODAY(), L28-1, FESTIVOS!A$1:A$55), "")</f>
        <v>-92</v>
      </c>
      <c r="L28" s="9">
        <f>IF(AND(F28&lt;&gt;"", J28&lt;&gt;""), WORKDAY(F28, J28, FESTIVOS!A$1:A$55), "")</f>
        <v>46056</v>
      </c>
      <c r="M28" s="4" t="s">
        <v>21</v>
      </c>
      <c r="N28" s="4">
        <f t="shared" ca="1" si="2"/>
        <v>0</v>
      </c>
      <c r="O28" s="4" t="str">
        <f t="shared" ca="1" si="1"/>
        <v>Vencido</v>
      </c>
      <c r="P28" s="4" t="s">
        <v>55</v>
      </c>
      <c r="Q28" s="9">
        <v>46036</v>
      </c>
      <c r="R28" s="10">
        <f>IF(OR(Q28="", L28=""), "", NETWORKDAYS(L28, Q28, FESTIVOS!A27:A81))</f>
        <v>-15</v>
      </c>
    </row>
    <row r="29" spans="1:18" x14ac:dyDescent="0.25">
      <c r="A29" s="8" t="s">
        <v>16</v>
      </c>
      <c r="B29" s="7" t="s">
        <v>86</v>
      </c>
      <c r="C29" s="4" t="s">
        <v>87</v>
      </c>
      <c r="D29" s="4" t="s">
        <v>88</v>
      </c>
      <c r="E29" s="4">
        <v>28</v>
      </c>
      <c r="F29" s="9">
        <v>46035</v>
      </c>
      <c r="G29" s="9" t="b">
        <v>0</v>
      </c>
      <c r="H29" s="4" t="b">
        <v>0</v>
      </c>
      <c r="I29" s="28" t="s">
        <v>20</v>
      </c>
      <c r="J29" s="4">
        <f t="shared" si="0"/>
        <v>15</v>
      </c>
      <c r="K29" s="4">
        <f ca="1">IF(AND(F29&lt;&gt;"", L29&lt;&gt;""), NETWORKDAYS(TODAY(), L29-1, FESTIVOS!A$1:A$55), "")</f>
        <v>-92</v>
      </c>
      <c r="L29" s="9">
        <f>IF(AND(F29&lt;&gt;"", J29&lt;&gt;""), WORKDAY(F29, J29, FESTIVOS!A$1:A$55), "")</f>
        <v>46056</v>
      </c>
      <c r="M29" s="4" t="s">
        <v>21</v>
      </c>
      <c r="N29" s="4">
        <f t="shared" ca="1" si="2"/>
        <v>0</v>
      </c>
      <c r="O29" s="4" t="str">
        <f t="shared" ca="1" si="1"/>
        <v>Vencido</v>
      </c>
      <c r="P29" s="4" t="s">
        <v>55</v>
      </c>
      <c r="Q29" s="9">
        <v>46036</v>
      </c>
      <c r="R29" s="10">
        <f>IF(OR(Q29="", L29=""), "", NETWORKDAYS(L29, Q29, FESTIVOS!A28:A82))</f>
        <v>-15</v>
      </c>
    </row>
    <row r="30" spans="1:18" x14ac:dyDescent="0.25">
      <c r="A30" s="8" t="s">
        <v>16</v>
      </c>
      <c r="B30" s="7" t="s">
        <v>89</v>
      </c>
      <c r="C30" s="4" t="s">
        <v>90</v>
      </c>
      <c r="D30" s="4" t="s">
        <v>91</v>
      </c>
      <c r="E30" s="4">
        <v>29</v>
      </c>
      <c r="F30" s="9">
        <v>46036</v>
      </c>
      <c r="G30" s="9" t="b">
        <v>0</v>
      </c>
      <c r="H30" s="4" t="b">
        <v>0</v>
      </c>
      <c r="I30" s="28" t="s">
        <v>20</v>
      </c>
      <c r="J30" s="4">
        <f t="shared" si="0"/>
        <v>15</v>
      </c>
      <c r="K30" s="4">
        <f ca="1">IF(AND(F30&lt;&gt;"", L30&lt;&gt;""), NETWORKDAYS(TODAY(), L30-1, FESTIVOS!A$1:A$55), "")</f>
        <v>-91</v>
      </c>
      <c r="L30" s="9">
        <f>IF(AND(F30&lt;&gt;"", J30&lt;&gt;""), WORKDAY(F30, J30, FESTIVOS!A$1:A$55), "")</f>
        <v>46057</v>
      </c>
      <c r="M30" s="4" t="s">
        <v>21</v>
      </c>
      <c r="N30" s="4">
        <f t="shared" ca="1" si="2"/>
        <v>0</v>
      </c>
      <c r="O30" s="4" t="str">
        <f t="shared" ca="1" si="1"/>
        <v>Vencido</v>
      </c>
      <c r="P30" s="4" t="s">
        <v>55</v>
      </c>
      <c r="Q30" s="9">
        <v>46036</v>
      </c>
      <c r="R30" s="10">
        <f>IF(OR(Q30="", L30=""), "", NETWORKDAYS(L30, Q30, FESTIVOS!A29:A83))</f>
        <v>-16</v>
      </c>
    </row>
    <row r="31" spans="1:18" x14ac:dyDescent="0.25">
      <c r="A31" s="8" t="s">
        <v>16</v>
      </c>
      <c r="B31" s="7" t="s">
        <v>92</v>
      </c>
      <c r="C31" s="4" t="s">
        <v>93</v>
      </c>
      <c r="D31" s="4" t="s">
        <v>94</v>
      </c>
      <c r="E31" s="4">
        <v>30</v>
      </c>
      <c r="F31" s="9">
        <v>46036</v>
      </c>
      <c r="G31" s="9" t="b">
        <v>0</v>
      </c>
      <c r="H31" s="4" t="b">
        <v>0</v>
      </c>
      <c r="I31" s="28" t="s">
        <v>80</v>
      </c>
      <c r="J31" s="4">
        <f t="shared" si="0"/>
        <v>15</v>
      </c>
      <c r="K31" s="4">
        <f ca="1">IF(AND(F31&lt;&gt;"", L31&lt;&gt;""), NETWORKDAYS(TODAY(), L31-1, FESTIVOS!A$1:A$55), "")</f>
        <v>-91</v>
      </c>
      <c r="L31" s="9">
        <f>IF(AND(F31&lt;&gt;"", J31&lt;&gt;""), WORKDAY(F31, J31, FESTIVOS!A$1:A$55), "")</f>
        <v>46057</v>
      </c>
      <c r="M31" s="4" t="s">
        <v>21</v>
      </c>
      <c r="N31" s="4">
        <f t="shared" ca="1" si="2"/>
        <v>0</v>
      </c>
      <c r="O31" s="4" t="str">
        <f t="shared" ca="1" si="1"/>
        <v>Vencido</v>
      </c>
      <c r="P31" s="4" t="s">
        <v>55</v>
      </c>
      <c r="Q31" s="9">
        <v>46036</v>
      </c>
      <c r="R31" s="10">
        <f>IF(OR(Q31="", L31=""), "", NETWORKDAYS(L31, Q31, FESTIVOS!A30:A84))</f>
        <v>-16</v>
      </c>
    </row>
    <row r="32" spans="1:18" x14ac:dyDescent="0.25">
      <c r="A32" s="8" t="s">
        <v>16</v>
      </c>
      <c r="B32" s="7" t="s">
        <v>95</v>
      </c>
      <c r="C32" s="4" t="s">
        <v>46</v>
      </c>
      <c r="D32" s="4" t="s">
        <v>96</v>
      </c>
      <c r="E32" s="4">
        <v>31</v>
      </c>
      <c r="F32" s="9">
        <v>46036</v>
      </c>
      <c r="G32" s="9" t="b">
        <v>0</v>
      </c>
      <c r="H32" s="4" t="b">
        <v>0</v>
      </c>
      <c r="I32" s="28" t="s">
        <v>20</v>
      </c>
      <c r="J32" s="4">
        <f t="shared" si="0"/>
        <v>15</v>
      </c>
      <c r="K32" s="4">
        <f ca="1">IF(AND(F32&lt;&gt;"", L32&lt;&gt;""), NETWORKDAYS(TODAY(), L32-1, FESTIVOS!A$1:A$55), "")</f>
        <v>-91</v>
      </c>
      <c r="L32" s="9">
        <f>IF(AND(F32&lt;&gt;"", J32&lt;&gt;""), WORKDAY(F32, J32, FESTIVOS!A$1:A$55), "")</f>
        <v>46057</v>
      </c>
      <c r="M32" s="4" t="s">
        <v>21</v>
      </c>
      <c r="N32" s="4">
        <f t="shared" ca="1" si="2"/>
        <v>0</v>
      </c>
      <c r="O32" s="4" t="str">
        <f t="shared" ca="1" si="1"/>
        <v>Vencido</v>
      </c>
      <c r="P32" s="4" t="s">
        <v>55</v>
      </c>
      <c r="Q32" s="9">
        <v>46036</v>
      </c>
      <c r="R32" s="10">
        <f>IF(OR(Q32="", L32=""), "", NETWORKDAYS(L32, Q32, FESTIVOS!A31:A85))</f>
        <v>-16</v>
      </c>
    </row>
    <row r="33" spans="1:18" x14ac:dyDescent="0.25">
      <c r="A33" s="8" t="s">
        <v>16</v>
      </c>
      <c r="B33" s="7" t="s">
        <v>97</v>
      </c>
      <c r="C33" s="4" t="s">
        <v>46</v>
      </c>
      <c r="D33" s="4" t="s">
        <v>98</v>
      </c>
      <c r="E33" s="4">
        <v>32</v>
      </c>
      <c r="F33" s="9">
        <v>46036</v>
      </c>
      <c r="G33" s="9" t="b">
        <v>0</v>
      </c>
      <c r="H33" s="4" t="b">
        <v>0</v>
      </c>
      <c r="I33" s="28" t="s">
        <v>20</v>
      </c>
      <c r="J33" s="4">
        <f t="shared" si="0"/>
        <v>15</v>
      </c>
      <c r="K33" s="4">
        <f ca="1">IF(AND(F33&lt;&gt;"", L33&lt;&gt;""), NETWORKDAYS(TODAY(), L33-1, FESTIVOS!A$1:A$55), "")</f>
        <v>-91</v>
      </c>
      <c r="L33" s="9">
        <f>IF(AND(F33&lt;&gt;"", J33&lt;&gt;""), WORKDAY(F33, J33, FESTIVOS!A$1:A$55), "")</f>
        <v>46057</v>
      </c>
      <c r="M33" s="4" t="s">
        <v>21</v>
      </c>
      <c r="N33" s="4">
        <f t="shared" ca="1" si="2"/>
        <v>0</v>
      </c>
      <c r="O33" s="4" t="str">
        <f t="shared" ca="1" si="1"/>
        <v>Vencido</v>
      </c>
      <c r="P33" s="4" t="s">
        <v>55</v>
      </c>
      <c r="Q33" s="9">
        <v>46036</v>
      </c>
      <c r="R33" s="10">
        <f>IF(OR(Q33="", L33=""), "", NETWORKDAYS(L33, Q33, FESTIVOS!A32:A86))</f>
        <v>-16</v>
      </c>
    </row>
    <row r="34" spans="1:18" x14ac:dyDescent="0.25">
      <c r="A34" s="8" t="s">
        <v>16</v>
      </c>
      <c r="B34" s="7" t="s">
        <v>99</v>
      </c>
      <c r="C34" s="4" t="s">
        <v>46</v>
      </c>
      <c r="D34" s="4" t="s">
        <v>98</v>
      </c>
      <c r="E34" s="4">
        <v>33</v>
      </c>
      <c r="F34" s="9">
        <v>46036</v>
      </c>
      <c r="G34" s="9" t="b">
        <v>0</v>
      </c>
      <c r="H34" s="4" t="b">
        <v>0</v>
      </c>
      <c r="I34" s="28" t="s">
        <v>20</v>
      </c>
      <c r="J34" s="4">
        <f t="shared" si="0"/>
        <v>15</v>
      </c>
      <c r="K34" s="4">
        <f ca="1">IF(AND(F34&lt;&gt;"", L34&lt;&gt;""), NETWORKDAYS(TODAY(), L34-1, FESTIVOS!A$1:A$55), "")</f>
        <v>-91</v>
      </c>
      <c r="L34" s="9">
        <f>IF(AND(F34&lt;&gt;"", J34&lt;&gt;""), WORKDAY(F34, J34, FESTIVOS!A$1:A$55), "")</f>
        <v>46057</v>
      </c>
      <c r="M34" s="4" t="s">
        <v>21</v>
      </c>
      <c r="N34" s="4">
        <f t="shared" ca="1" si="2"/>
        <v>0</v>
      </c>
      <c r="O34" s="4" t="str">
        <f t="shared" ca="1" si="1"/>
        <v>Vencido</v>
      </c>
      <c r="P34" s="4" t="s">
        <v>55</v>
      </c>
      <c r="Q34" s="9">
        <v>46036</v>
      </c>
      <c r="R34" s="10">
        <f>IF(OR(Q34="", L34=""), "", NETWORKDAYS(L34, Q34, FESTIVOS!A33:A87))</f>
        <v>-16</v>
      </c>
    </row>
    <row r="35" spans="1:18" x14ac:dyDescent="0.25">
      <c r="A35" s="8" t="s">
        <v>16</v>
      </c>
      <c r="B35" s="7" t="s">
        <v>100</v>
      </c>
      <c r="C35" s="4" t="s">
        <v>46</v>
      </c>
      <c r="D35" s="4" t="s">
        <v>98</v>
      </c>
      <c r="E35" s="4">
        <v>34</v>
      </c>
      <c r="F35" s="9">
        <v>46036</v>
      </c>
      <c r="G35" s="9" t="b">
        <v>0</v>
      </c>
      <c r="H35" s="4" t="b">
        <v>0</v>
      </c>
      <c r="I35" s="28" t="s">
        <v>20</v>
      </c>
      <c r="J35" s="4">
        <f t="shared" si="0"/>
        <v>15</v>
      </c>
      <c r="K35" s="4">
        <f ca="1">IF(AND(F35&lt;&gt;"", L35&lt;&gt;""), NETWORKDAYS(TODAY(), L35-1, FESTIVOS!A$1:A$55), "")</f>
        <v>-91</v>
      </c>
      <c r="L35" s="9">
        <f>IF(AND(F35&lt;&gt;"", J35&lt;&gt;""), WORKDAY(F35, J35, FESTIVOS!A$1:A$55), "")</f>
        <v>46057</v>
      </c>
      <c r="M35" s="4" t="s">
        <v>21</v>
      </c>
      <c r="N35" s="4">
        <f t="shared" ca="1" si="2"/>
        <v>0</v>
      </c>
      <c r="O35" s="4" t="str">
        <f t="shared" ca="1" si="1"/>
        <v>Vencido</v>
      </c>
      <c r="P35" s="4" t="s">
        <v>55</v>
      </c>
      <c r="Q35" s="9">
        <v>46036</v>
      </c>
      <c r="R35" s="10">
        <f>IF(OR(Q35="", L35=""), "", NETWORKDAYS(L35, Q35, FESTIVOS!A34:A88))</f>
        <v>-16</v>
      </c>
    </row>
    <row r="36" spans="1:18" x14ac:dyDescent="0.25">
      <c r="A36" s="8" t="s">
        <v>16</v>
      </c>
      <c r="B36" s="7" t="s">
        <v>101</v>
      </c>
      <c r="C36" s="4" t="s">
        <v>46</v>
      </c>
      <c r="D36" s="4" t="s">
        <v>98</v>
      </c>
      <c r="E36" s="4">
        <v>35</v>
      </c>
      <c r="F36" s="9">
        <v>46036</v>
      </c>
      <c r="G36" s="9" t="b">
        <v>0</v>
      </c>
      <c r="H36" s="4" t="b">
        <v>0</v>
      </c>
      <c r="I36" s="28" t="s">
        <v>20</v>
      </c>
      <c r="J36" s="4">
        <f t="shared" si="0"/>
        <v>15</v>
      </c>
      <c r="K36" s="4">
        <f ca="1">IF(AND(F36&lt;&gt;"", L36&lt;&gt;""), NETWORKDAYS(TODAY(), L36-1, FESTIVOS!A$1:A$55), "")</f>
        <v>-91</v>
      </c>
      <c r="L36" s="9">
        <f>IF(AND(F36&lt;&gt;"", J36&lt;&gt;""), WORKDAY(F36, J36, FESTIVOS!A$1:A$55), "")</f>
        <v>46057</v>
      </c>
      <c r="M36" s="4" t="s">
        <v>21</v>
      </c>
      <c r="N36" s="4">
        <f t="shared" ca="1" si="2"/>
        <v>0</v>
      </c>
      <c r="O36" s="4" t="str">
        <f t="shared" ca="1" si="1"/>
        <v>Vencido</v>
      </c>
      <c r="P36" s="4" t="s">
        <v>55</v>
      </c>
      <c r="Q36" s="9">
        <v>46036</v>
      </c>
      <c r="R36" s="10">
        <f>IF(OR(Q36="", L36=""), "", NETWORKDAYS(L36, Q36, FESTIVOS!A35:A89))</f>
        <v>-16</v>
      </c>
    </row>
    <row r="37" spans="1:18" x14ac:dyDescent="0.25">
      <c r="A37" s="8" t="s">
        <v>16</v>
      </c>
      <c r="B37" s="7" t="s">
        <v>17</v>
      </c>
      <c r="C37" s="4" t="s">
        <v>84</v>
      </c>
      <c r="D37" s="4" t="s">
        <v>102</v>
      </c>
      <c r="E37" s="4">
        <v>36</v>
      </c>
      <c r="F37" s="9">
        <v>46037</v>
      </c>
      <c r="G37" s="9" t="b">
        <v>0</v>
      </c>
      <c r="H37" s="4" t="b">
        <v>0</v>
      </c>
      <c r="I37" s="28" t="s">
        <v>20</v>
      </c>
      <c r="J37" s="4">
        <f t="shared" si="0"/>
        <v>15</v>
      </c>
      <c r="K37" s="4">
        <f ca="1">IF(AND(F37&lt;&gt;"", L37&lt;&gt;""), NETWORKDAYS(TODAY(), L37-1, FESTIVOS!A$1:A$55), "")</f>
        <v>-90</v>
      </c>
      <c r="L37" s="9">
        <f>IF(AND(F37&lt;&gt;"", J37&lt;&gt;""), WORKDAY(F37, J37, FESTIVOS!A$1:A$55), "")</f>
        <v>46058</v>
      </c>
      <c r="M37" s="4" t="s">
        <v>21</v>
      </c>
      <c r="N37" s="4">
        <f t="shared" ca="1" si="2"/>
        <v>0</v>
      </c>
      <c r="O37" s="4" t="str">
        <f t="shared" ca="1" si="1"/>
        <v>Vencido</v>
      </c>
      <c r="P37" s="4" t="s">
        <v>55</v>
      </c>
      <c r="Q37" s="9">
        <v>46036</v>
      </c>
      <c r="R37" s="10">
        <f>IF(OR(Q37="", L37=""), "", NETWORKDAYS(L37, Q37, FESTIVOS!A36:A90))</f>
        <v>-17</v>
      </c>
    </row>
    <row r="38" spans="1:18" x14ac:dyDescent="0.25">
      <c r="A38" s="8" t="s">
        <v>16</v>
      </c>
      <c r="B38" s="7" t="s">
        <v>17</v>
      </c>
      <c r="C38" s="4" t="s">
        <v>84</v>
      </c>
      <c r="D38" s="4" t="s">
        <v>102</v>
      </c>
      <c r="E38" s="4">
        <v>37</v>
      </c>
      <c r="F38" s="9">
        <v>46037</v>
      </c>
      <c r="G38" s="9" t="b">
        <v>0</v>
      </c>
      <c r="H38" s="4" t="b">
        <v>0</v>
      </c>
      <c r="I38" s="28" t="s">
        <v>20</v>
      </c>
      <c r="J38" s="4">
        <f t="shared" si="0"/>
        <v>15</v>
      </c>
      <c r="K38" s="4">
        <f ca="1">IF(AND(F38&lt;&gt;"", L38&lt;&gt;""), NETWORKDAYS(TODAY(), L38-1, FESTIVOS!A$1:A$55), "")</f>
        <v>-90</v>
      </c>
      <c r="L38" s="9">
        <f>IF(AND(F38&lt;&gt;"", J38&lt;&gt;""), WORKDAY(F38, J38, FESTIVOS!A$1:A$55), "")</f>
        <v>46058</v>
      </c>
      <c r="M38" s="4" t="s">
        <v>21</v>
      </c>
      <c r="N38" s="4">
        <f t="shared" ca="1" si="2"/>
        <v>0</v>
      </c>
      <c r="O38" s="4" t="str">
        <f t="shared" ca="1" si="1"/>
        <v>Vencido</v>
      </c>
      <c r="P38" s="4" t="s">
        <v>55</v>
      </c>
      <c r="Q38" s="9">
        <v>46036</v>
      </c>
      <c r="R38" s="10">
        <f>IF(OR(Q38="", L38=""), "", NETWORKDAYS(L38, Q38, FESTIVOS!A37:A91))</f>
        <v>-17</v>
      </c>
    </row>
    <row r="39" spans="1:18" x14ac:dyDescent="0.25">
      <c r="A39" s="8" t="s">
        <v>16</v>
      </c>
      <c r="B39" s="7" t="s">
        <v>17</v>
      </c>
      <c r="C39" s="4" t="s">
        <v>84</v>
      </c>
      <c r="D39" s="4" t="s">
        <v>102</v>
      </c>
      <c r="E39" s="4">
        <v>38</v>
      </c>
      <c r="F39" s="9">
        <v>46037</v>
      </c>
      <c r="G39" s="9" t="b">
        <v>0</v>
      </c>
      <c r="H39" s="4" t="b">
        <v>0</v>
      </c>
      <c r="I39" s="28" t="s">
        <v>20</v>
      </c>
      <c r="J39" s="4">
        <f t="shared" si="0"/>
        <v>15</v>
      </c>
      <c r="K39" s="4">
        <f ca="1">IF(AND(F39&lt;&gt;"", L39&lt;&gt;""), NETWORKDAYS(TODAY(), L39-1, FESTIVOS!A$1:A$55), "")</f>
        <v>-90</v>
      </c>
      <c r="L39" s="9">
        <f>IF(AND(F39&lt;&gt;"", J39&lt;&gt;""), WORKDAY(F39, J39, FESTIVOS!A$1:A$55), "")</f>
        <v>46058</v>
      </c>
      <c r="M39" s="4" t="s">
        <v>21</v>
      </c>
      <c r="N39" s="4">
        <f t="shared" ca="1" si="2"/>
        <v>0</v>
      </c>
      <c r="O39" s="4" t="str">
        <f t="shared" ca="1" si="1"/>
        <v>Vencido</v>
      </c>
      <c r="P39" s="4" t="s">
        <v>55</v>
      </c>
      <c r="Q39" s="9">
        <v>46036</v>
      </c>
      <c r="R39" s="10">
        <f>IF(OR(Q39="", L39=""), "", NETWORKDAYS(L39, Q39, FESTIVOS!A38:A92))</f>
        <v>-17</v>
      </c>
    </row>
    <row r="40" spans="1:18" x14ac:dyDescent="0.25">
      <c r="A40" s="8" t="s">
        <v>16</v>
      </c>
      <c r="B40" s="7" t="s">
        <v>103</v>
      </c>
      <c r="C40" s="4" t="s">
        <v>46</v>
      </c>
      <c r="D40" s="4" t="s">
        <v>104</v>
      </c>
      <c r="E40" s="4">
        <v>39</v>
      </c>
      <c r="F40" s="9">
        <v>46037</v>
      </c>
      <c r="G40" s="9" t="b">
        <v>0</v>
      </c>
      <c r="H40" s="4" t="b">
        <v>0</v>
      </c>
      <c r="I40" s="28" t="s">
        <v>66</v>
      </c>
      <c r="J40" s="4">
        <f t="shared" si="0"/>
        <v>15</v>
      </c>
      <c r="K40" s="4">
        <f ca="1">IF(AND(F40&lt;&gt;"", L40&lt;&gt;""), NETWORKDAYS(TODAY(), L40-1, FESTIVOS!A$1:A$55), "")</f>
        <v>-90</v>
      </c>
      <c r="L40" s="9">
        <f>IF(AND(F40&lt;&gt;"", J40&lt;&gt;""), WORKDAY(F40, J40, FESTIVOS!A$1:A$55), "")</f>
        <v>46058</v>
      </c>
      <c r="M40" s="4" t="s">
        <v>21</v>
      </c>
      <c r="N40" s="4">
        <f t="shared" ca="1" si="2"/>
        <v>0</v>
      </c>
      <c r="O40" s="4" t="str">
        <f t="shared" ca="1" si="1"/>
        <v>Vencido</v>
      </c>
      <c r="P40" s="4" t="s">
        <v>55</v>
      </c>
      <c r="Q40" s="9">
        <v>46036</v>
      </c>
      <c r="R40" s="10">
        <f>IF(OR(Q40="", L40=""), "", NETWORKDAYS(L40, Q40, FESTIVOS!A39:A93))</f>
        <v>-17</v>
      </c>
    </row>
    <row r="41" spans="1:18" x14ac:dyDescent="0.25">
      <c r="A41" s="8" t="s">
        <v>16</v>
      </c>
      <c r="B41" s="7" t="s">
        <v>105</v>
      </c>
      <c r="C41" s="4" t="s">
        <v>46</v>
      </c>
      <c r="D41" s="4" t="s">
        <v>106</v>
      </c>
      <c r="E41" s="4">
        <v>40</v>
      </c>
      <c r="F41" s="9">
        <v>46037</v>
      </c>
      <c r="G41" s="9" t="b">
        <v>0</v>
      </c>
      <c r="H41" s="4" t="b">
        <v>0</v>
      </c>
      <c r="I41" s="28" t="s">
        <v>20</v>
      </c>
      <c r="J41" s="4">
        <f t="shared" si="0"/>
        <v>15</v>
      </c>
      <c r="K41" s="4">
        <f ca="1">IF(AND(F41&lt;&gt;"", L41&lt;&gt;""), NETWORKDAYS(TODAY(), L41-1, FESTIVOS!A$1:A$55), "")</f>
        <v>-90</v>
      </c>
      <c r="L41" s="9">
        <f>IF(AND(F41&lt;&gt;"", J41&lt;&gt;""), WORKDAY(F41, J41, FESTIVOS!A$1:A$55), "")</f>
        <v>46058</v>
      </c>
      <c r="M41" s="4" t="s">
        <v>21</v>
      </c>
      <c r="N41" s="4">
        <f t="shared" ca="1" si="2"/>
        <v>0</v>
      </c>
      <c r="O41" s="4" t="str">
        <f t="shared" ca="1" si="1"/>
        <v>Vencido</v>
      </c>
      <c r="P41" s="4" t="s">
        <v>55</v>
      </c>
      <c r="Q41" s="9">
        <v>46036</v>
      </c>
      <c r="R41" s="10">
        <f>IF(OR(Q41="", L41=""), "", NETWORKDAYS(L41, Q41, FESTIVOS!A40:A94))</f>
        <v>-17</v>
      </c>
    </row>
    <row r="42" spans="1:18" x14ac:dyDescent="0.25">
      <c r="A42" s="8" t="s">
        <v>16</v>
      </c>
      <c r="B42" s="7" t="s">
        <v>83</v>
      </c>
      <c r="C42" s="4" t="s">
        <v>84</v>
      </c>
      <c r="D42" s="4" t="s">
        <v>85</v>
      </c>
      <c r="E42" s="4">
        <v>41</v>
      </c>
      <c r="F42" s="9">
        <v>46037</v>
      </c>
      <c r="G42" s="9" t="b">
        <v>0</v>
      </c>
      <c r="H42" s="4" t="b">
        <v>0</v>
      </c>
      <c r="I42" s="28" t="s">
        <v>20</v>
      </c>
      <c r="J42" s="4">
        <f t="shared" si="0"/>
        <v>15</v>
      </c>
      <c r="K42" s="4">
        <f ca="1">IF(AND(F42&lt;&gt;"", L42&lt;&gt;""), NETWORKDAYS(TODAY(), L42-1, FESTIVOS!A$1:A$55), "")</f>
        <v>-90</v>
      </c>
      <c r="L42" s="9">
        <f>IF(AND(F42&lt;&gt;"", J42&lt;&gt;""), WORKDAY(F42, J42, FESTIVOS!A$1:A$55), "")</f>
        <v>46058</v>
      </c>
      <c r="M42" s="4" t="s">
        <v>21</v>
      </c>
      <c r="N42" s="4">
        <f t="shared" ca="1" si="2"/>
        <v>0</v>
      </c>
      <c r="O42" s="4" t="str">
        <f t="shared" ca="1" si="1"/>
        <v>Vencido</v>
      </c>
      <c r="P42" s="4" t="s">
        <v>55</v>
      </c>
      <c r="Q42" s="9">
        <v>46036</v>
      </c>
      <c r="R42" s="10">
        <f>IF(OR(Q42="", L42=""), "", NETWORKDAYS(L42, Q42, FESTIVOS!A41:A95))</f>
        <v>-17</v>
      </c>
    </row>
    <row r="43" spans="1:18" x14ac:dyDescent="0.25">
      <c r="A43" s="8" t="s">
        <v>16</v>
      </c>
      <c r="B43" s="7" t="s">
        <v>83</v>
      </c>
      <c r="C43" s="4" t="s">
        <v>84</v>
      </c>
      <c r="D43" s="4" t="s">
        <v>85</v>
      </c>
      <c r="E43" s="4">
        <v>42</v>
      </c>
      <c r="F43" s="9">
        <v>46037</v>
      </c>
      <c r="G43" s="9" t="b">
        <v>0</v>
      </c>
      <c r="H43" s="4" t="b">
        <v>0</v>
      </c>
      <c r="I43" s="28" t="s">
        <v>20</v>
      </c>
      <c r="J43" s="4">
        <f t="shared" si="0"/>
        <v>15</v>
      </c>
      <c r="K43" s="4">
        <f ca="1">IF(AND(F43&lt;&gt;"", L43&lt;&gt;""), NETWORKDAYS(TODAY(), L43-1, FESTIVOS!A$1:A$55), "")</f>
        <v>-90</v>
      </c>
      <c r="L43" s="9">
        <f>IF(AND(F43&lt;&gt;"", J43&lt;&gt;""), WORKDAY(F43, J43, FESTIVOS!A$1:A$55), "")</f>
        <v>46058</v>
      </c>
      <c r="M43" s="4" t="s">
        <v>21</v>
      </c>
      <c r="N43" s="4">
        <f t="shared" ca="1" si="2"/>
        <v>0</v>
      </c>
      <c r="O43" s="4" t="str">
        <f t="shared" ca="1" si="1"/>
        <v>Vencido</v>
      </c>
      <c r="P43" s="4" t="s">
        <v>55</v>
      </c>
      <c r="Q43" s="9">
        <v>46036</v>
      </c>
      <c r="R43" s="10">
        <f>IF(OR(Q43="", L43=""), "", NETWORKDAYS(L43, Q43, FESTIVOS!A42:A96))</f>
        <v>-17</v>
      </c>
    </row>
    <row r="44" spans="1:18" x14ac:dyDescent="0.25">
      <c r="A44" s="8" t="s">
        <v>16</v>
      </c>
      <c r="B44" s="7" t="s">
        <v>83</v>
      </c>
      <c r="C44" s="4" t="s">
        <v>84</v>
      </c>
      <c r="D44" s="4" t="s">
        <v>85</v>
      </c>
      <c r="E44" s="4">
        <v>43</v>
      </c>
      <c r="F44" s="9">
        <v>46037</v>
      </c>
      <c r="G44" s="9" t="b">
        <v>0</v>
      </c>
      <c r="H44" s="4" t="b">
        <v>0</v>
      </c>
      <c r="I44" s="28" t="s">
        <v>20</v>
      </c>
      <c r="J44" s="4">
        <f t="shared" si="0"/>
        <v>15</v>
      </c>
      <c r="K44" s="4">
        <f ca="1">IF(AND(F44&lt;&gt;"", L44&lt;&gt;""), NETWORKDAYS(TODAY(), L44-1, FESTIVOS!A$1:A$55), "")</f>
        <v>-90</v>
      </c>
      <c r="L44" s="9">
        <f>IF(AND(F44&lt;&gt;"", J44&lt;&gt;""), WORKDAY(F44, J44, FESTIVOS!A$1:A$55), "")</f>
        <v>46058</v>
      </c>
      <c r="M44" s="4" t="s">
        <v>21</v>
      </c>
      <c r="N44" s="4">
        <f t="shared" ca="1" si="2"/>
        <v>0</v>
      </c>
      <c r="O44" s="4" t="str">
        <f t="shared" ca="1" si="1"/>
        <v>Vencido</v>
      </c>
      <c r="P44" s="4" t="s">
        <v>55</v>
      </c>
      <c r="Q44" s="9">
        <v>46036</v>
      </c>
      <c r="R44" s="10">
        <f>IF(OR(Q44="", L44=""), "", NETWORKDAYS(L44, Q44, FESTIVOS!A43:A97))</f>
        <v>-17</v>
      </c>
    </row>
    <row r="45" spans="1:18" x14ac:dyDescent="0.25">
      <c r="A45" s="8" t="s">
        <v>16</v>
      </c>
      <c r="B45" s="7" t="s">
        <v>83</v>
      </c>
      <c r="C45" s="4" t="s">
        <v>84</v>
      </c>
      <c r="D45" s="4" t="s">
        <v>85</v>
      </c>
      <c r="E45" s="4">
        <v>44</v>
      </c>
      <c r="F45" s="9">
        <v>46037</v>
      </c>
      <c r="G45" s="9" t="b">
        <v>0</v>
      </c>
      <c r="H45" s="4" t="b">
        <v>0</v>
      </c>
      <c r="I45" s="28" t="s">
        <v>20</v>
      </c>
      <c r="J45" s="4">
        <f t="shared" si="0"/>
        <v>15</v>
      </c>
      <c r="K45" s="4">
        <f ca="1">IF(AND(F45&lt;&gt;"", L45&lt;&gt;""), NETWORKDAYS(TODAY(), L45-1, FESTIVOS!A$1:A$55), "")</f>
        <v>-90</v>
      </c>
      <c r="L45" s="9">
        <f>IF(AND(F45&lt;&gt;"", J45&lt;&gt;""), WORKDAY(F45, J45, FESTIVOS!A$1:A$55), "")</f>
        <v>46058</v>
      </c>
      <c r="M45" s="4" t="s">
        <v>21</v>
      </c>
      <c r="N45" s="4">
        <f t="shared" ca="1" si="2"/>
        <v>0</v>
      </c>
      <c r="O45" s="4" t="str">
        <f t="shared" ca="1" si="1"/>
        <v>Vencido</v>
      </c>
      <c r="P45" s="4" t="s">
        <v>55</v>
      </c>
      <c r="Q45" s="9">
        <v>46036</v>
      </c>
      <c r="R45" s="10">
        <f>IF(OR(Q45="", L45=""), "", NETWORKDAYS(L45, Q45, FESTIVOS!A44:A98))</f>
        <v>-17</v>
      </c>
    </row>
    <row r="46" spans="1:18" x14ac:dyDescent="0.25">
      <c r="A46" s="8" t="s">
        <v>16</v>
      </c>
      <c r="B46" s="7" t="s">
        <v>83</v>
      </c>
      <c r="C46" s="4" t="s">
        <v>84</v>
      </c>
      <c r="D46" s="4" t="s">
        <v>85</v>
      </c>
      <c r="E46" s="4">
        <v>45</v>
      </c>
      <c r="F46" s="9">
        <v>46037</v>
      </c>
      <c r="G46" s="9" t="b">
        <v>0</v>
      </c>
      <c r="H46" s="4" t="b">
        <v>0</v>
      </c>
      <c r="I46" s="28" t="s">
        <v>20</v>
      </c>
      <c r="J46" s="4">
        <f t="shared" si="0"/>
        <v>15</v>
      </c>
      <c r="K46" s="4">
        <f ca="1">IF(AND(F46&lt;&gt;"", L46&lt;&gt;""), NETWORKDAYS(TODAY(), L46-1, FESTIVOS!A$1:A$55), "")</f>
        <v>-90</v>
      </c>
      <c r="L46" s="9">
        <f>IF(AND(F46&lt;&gt;"", J46&lt;&gt;""), WORKDAY(F46, J46, FESTIVOS!A$1:A$55), "")</f>
        <v>46058</v>
      </c>
      <c r="M46" s="4" t="s">
        <v>21</v>
      </c>
      <c r="N46" s="4">
        <f t="shared" ca="1" si="2"/>
        <v>0</v>
      </c>
      <c r="O46" s="4" t="str">
        <f t="shared" ca="1" si="1"/>
        <v>Vencido</v>
      </c>
      <c r="P46" s="4" t="s">
        <v>55</v>
      </c>
      <c r="Q46" s="9">
        <v>46036</v>
      </c>
      <c r="R46" s="10">
        <f>IF(OR(Q46="", L46=""), "", NETWORKDAYS(L46, Q46, FESTIVOS!A45:A99))</f>
        <v>-17</v>
      </c>
    </row>
    <row r="47" spans="1:18" x14ac:dyDescent="0.25">
      <c r="A47" s="8" t="s">
        <v>16</v>
      </c>
      <c r="B47" s="7" t="s">
        <v>83</v>
      </c>
      <c r="C47" s="4" t="s">
        <v>84</v>
      </c>
      <c r="D47" s="4" t="s">
        <v>85</v>
      </c>
      <c r="E47" s="4">
        <v>46</v>
      </c>
      <c r="F47" s="9">
        <v>46037</v>
      </c>
      <c r="G47" s="9" t="b">
        <v>0</v>
      </c>
      <c r="H47" s="4" t="b">
        <v>0</v>
      </c>
      <c r="I47" s="28" t="s">
        <v>20</v>
      </c>
      <c r="J47" s="4">
        <f t="shared" si="0"/>
        <v>15</v>
      </c>
      <c r="K47" s="4">
        <f ca="1">IF(AND(F47&lt;&gt;"", L47&lt;&gt;""), NETWORKDAYS(TODAY(), L47-1, FESTIVOS!A$1:A$55), "")</f>
        <v>-90</v>
      </c>
      <c r="L47" s="9">
        <f>IF(AND(F47&lt;&gt;"", J47&lt;&gt;""), WORKDAY(F47, J47, FESTIVOS!A$1:A$55), "")</f>
        <v>46058</v>
      </c>
      <c r="M47" s="4" t="s">
        <v>21</v>
      </c>
      <c r="N47" s="4">
        <f t="shared" ca="1" si="2"/>
        <v>0</v>
      </c>
      <c r="O47" s="4" t="str">
        <f t="shared" ca="1" si="1"/>
        <v>Vencido</v>
      </c>
      <c r="P47" s="4" t="s">
        <v>55</v>
      </c>
      <c r="Q47" s="9">
        <v>46036</v>
      </c>
      <c r="R47" s="10">
        <f>IF(OR(Q47="", L47=""), "", NETWORKDAYS(L47, Q47, FESTIVOS!A46:A100))</f>
        <v>-17</v>
      </c>
    </row>
    <row r="48" spans="1:18" x14ac:dyDescent="0.25">
      <c r="A48" s="8" t="s">
        <v>16</v>
      </c>
      <c r="B48" s="7" t="s">
        <v>107</v>
      </c>
      <c r="C48" s="4" t="s">
        <v>46</v>
      </c>
      <c r="D48" s="4" t="s">
        <v>108</v>
      </c>
      <c r="E48" s="4">
        <v>47</v>
      </c>
      <c r="F48" s="9">
        <v>46038</v>
      </c>
      <c r="G48" s="9" t="b">
        <v>0</v>
      </c>
      <c r="H48" s="4" t="b">
        <v>0</v>
      </c>
      <c r="I48" s="28" t="s">
        <v>66</v>
      </c>
      <c r="J48" s="4">
        <f t="shared" si="0"/>
        <v>15</v>
      </c>
      <c r="K48" s="4">
        <f ca="1">IF(AND(F48&lt;&gt;"", L48&lt;&gt;""), NETWORKDAYS(TODAY(), L48-1, FESTIVOS!A$1:A$55), "")</f>
        <v>-89</v>
      </c>
      <c r="L48" s="9">
        <f>IF(AND(F48&lt;&gt;"", J48&lt;&gt;""), WORKDAY(F48, J48, FESTIVOS!A$1:A$55), "")</f>
        <v>46059</v>
      </c>
      <c r="M48" s="4" t="s">
        <v>21</v>
      </c>
      <c r="N48" s="4">
        <f t="shared" ca="1" si="2"/>
        <v>0</v>
      </c>
      <c r="O48" s="4" t="str">
        <f t="shared" ca="1" si="1"/>
        <v>Vencido</v>
      </c>
      <c r="P48" s="4" t="s">
        <v>55</v>
      </c>
      <c r="Q48" s="9">
        <v>46036</v>
      </c>
      <c r="R48" s="10">
        <f>IF(OR(Q48="", L48=""), "", NETWORKDAYS(L48, Q48, FESTIVOS!A47:A101))</f>
        <v>-18</v>
      </c>
    </row>
    <row r="49" spans="1:18" x14ac:dyDescent="0.25">
      <c r="A49" s="8" t="s">
        <v>16</v>
      </c>
      <c r="B49" s="7" t="s">
        <v>109</v>
      </c>
      <c r="C49" s="4" t="s">
        <v>46</v>
      </c>
      <c r="D49" s="4" t="s">
        <v>110</v>
      </c>
      <c r="E49" s="4">
        <v>48</v>
      </c>
      <c r="F49" s="9">
        <v>46038</v>
      </c>
      <c r="G49" s="9" t="b">
        <v>0</v>
      </c>
      <c r="H49" s="4" t="b">
        <v>0</v>
      </c>
      <c r="I49" s="28" t="s">
        <v>20</v>
      </c>
      <c r="J49" s="4">
        <f t="shared" si="0"/>
        <v>15</v>
      </c>
      <c r="K49" s="4">
        <f ca="1">IF(AND(F49&lt;&gt;"", L49&lt;&gt;""), NETWORKDAYS(TODAY(), L49-1, FESTIVOS!A$1:A$55), "")</f>
        <v>-89</v>
      </c>
      <c r="L49" s="9">
        <f>IF(AND(F49&lt;&gt;"", J49&lt;&gt;""), WORKDAY(F49, J49, FESTIVOS!A$1:A$55), "")</f>
        <v>46059</v>
      </c>
      <c r="M49" s="4" t="s">
        <v>21</v>
      </c>
      <c r="N49" s="4">
        <f t="shared" ca="1" si="2"/>
        <v>0</v>
      </c>
      <c r="O49" s="4" t="str">
        <f t="shared" ca="1" si="1"/>
        <v>Vencido</v>
      </c>
      <c r="P49" s="4" t="s">
        <v>55</v>
      </c>
      <c r="Q49" s="9">
        <v>46036</v>
      </c>
      <c r="R49" s="10">
        <f>IF(OR(Q49="", L49=""), "", NETWORKDAYS(L49, Q49, FESTIVOS!A48:A102))</f>
        <v>-18</v>
      </c>
    </row>
    <row r="50" spans="1:18" x14ac:dyDescent="0.25">
      <c r="A50" s="8" t="s">
        <v>16</v>
      </c>
      <c r="B50" s="7" t="s">
        <v>111</v>
      </c>
      <c r="C50" s="4" t="s">
        <v>46</v>
      </c>
      <c r="D50" s="4" t="s">
        <v>61</v>
      </c>
      <c r="E50" s="4">
        <v>49</v>
      </c>
      <c r="F50" s="9">
        <v>46041</v>
      </c>
      <c r="G50" s="9" t="b">
        <v>0</v>
      </c>
      <c r="H50" s="4" t="b">
        <v>0</v>
      </c>
      <c r="I50" s="28" t="s">
        <v>20</v>
      </c>
      <c r="J50" s="4">
        <f t="shared" si="0"/>
        <v>15</v>
      </c>
      <c r="K50" s="4">
        <f ca="1">IF(AND(F50&lt;&gt;"", L50&lt;&gt;""), NETWORKDAYS(TODAY(), L50-1, FESTIVOS!A$1:A$55), "")</f>
        <v>-87</v>
      </c>
      <c r="L50" s="9">
        <f>IF(AND(F50&lt;&gt;"", J50&lt;&gt;""), WORKDAY(F50, J50, FESTIVOS!A$1:A$55), "")</f>
        <v>46062</v>
      </c>
      <c r="M50" s="4" t="s">
        <v>21</v>
      </c>
      <c r="N50" s="4">
        <f t="shared" ca="1" si="2"/>
        <v>0</v>
      </c>
      <c r="O50" s="4" t="str">
        <f t="shared" ca="1" si="1"/>
        <v>Vencido</v>
      </c>
      <c r="P50" s="4" t="s">
        <v>55</v>
      </c>
      <c r="Q50" s="9">
        <v>46036</v>
      </c>
      <c r="R50" s="10">
        <f>IF(OR(Q50="", L50=""), "", NETWORKDAYS(L50, Q50, FESTIVOS!A49:A103))</f>
        <v>-19</v>
      </c>
    </row>
    <row r="51" spans="1:18" x14ac:dyDescent="0.25">
      <c r="A51" s="8" t="s">
        <v>16</v>
      </c>
      <c r="B51" s="7" t="s">
        <v>112</v>
      </c>
      <c r="C51" s="4" t="s">
        <v>46</v>
      </c>
      <c r="D51" s="4" t="s">
        <v>61</v>
      </c>
      <c r="E51" s="4">
        <v>50</v>
      </c>
      <c r="F51" s="9">
        <v>46041</v>
      </c>
      <c r="G51" s="9" t="b">
        <v>0</v>
      </c>
      <c r="H51" s="4" t="b">
        <v>0</v>
      </c>
      <c r="I51" s="28" t="s">
        <v>20</v>
      </c>
      <c r="J51" s="4">
        <f t="shared" si="0"/>
        <v>15</v>
      </c>
      <c r="K51" s="4">
        <f ca="1">IF(AND(F51&lt;&gt;"", L51&lt;&gt;""), NETWORKDAYS(TODAY(), L51-1, FESTIVOS!A$1:A$55), "")</f>
        <v>-87</v>
      </c>
      <c r="L51" s="9">
        <f>IF(AND(F51&lt;&gt;"", J51&lt;&gt;""), WORKDAY(F51, J51, FESTIVOS!A$1:A$55), "")</f>
        <v>46062</v>
      </c>
      <c r="M51" s="4" t="s">
        <v>21</v>
      </c>
      <c r="N51" s="4">
        <f t="shared" ca="1" si="2"/>
        <v>0</v>
      </c>
      <c r="O51" s="4" t="str">
        <f t="shared" ca="1" si="1"/>
        <v>Vencido</v>
      </c>
      <c r="P51" s="4" t="s">
        <v>55</v>
      </c>
      <c r="Q51" s="9">
        <v>46036</v>
      </c>
      <c r="R51" s="10">
        <f>IF(OR(Q51="", L51=""), "", NETWORKDAYS(L51, Q51, FESTIVOS!A50:A104))</f>
        <v>-19</v>
      </c>
    </row>
    <row r="52" spans="1:18" x14ac:dyDescent="0.25">
      <c r="A52" s="8" t="s">
        <v>16</v>
      </c>
      <c r="B52" s="7" t="s">
        <v>113</v>
      </c>
      <c r="C52" s="4" t="s">
        <v>46</v>
      </c>
      <c r="D52" s="4" t="s">
        <v>114</v>
      </c>
      <c r="E52" s="4">
        <v>51</v>
      </c>
      <c r="F52" s="9">
        <v>46041</v>
      </c>
      <c r="G52" s="9" t="b">
        <v>0</v>
      </c>
      <c r="H52" s="4" t="b">
        <v>0</v>
      </c>
      <c r="I52" s="28" t="s">
        <v>20</v>
      </c>
      <c r="J52" s="4">
        <f t="shared" si="0"/>
        <v>15</v>
      </c>
      <c r="K52" s="4">
        <f ca="1">IF(AND(F52&lt;&gt;"", L52&lt;&gt;""), NETWORKDAYS(TODAY(), L52-1, FESTIVOS!A$1:A$55), "")</f>
        <v>-87</v>
      </c>
      <c r="L52" s="9">
        <f>IF(AND(F52&lt;&gt;"", J52&lt;&gt;""), WORKDAY(F52, J52, FESTIVOS!A$1:A$55), "")</f>
        <v>46062</v>
      </c>
      <c r="M52" s="4" t="s">
        <v>21</v>
      </c>
      <c r="N52" s="4">
        <f t="shared" ca="1" si="2"/>
        <v>0</v>
      </c>
      <c r="O52" s="4" t="str">
        <f t="shared" ca="1" si="1"/>
        <v>Vencido</v>
      </c>
      <c r="P52" s="4" t="s">
        <v>55</v>
      </c>
      <c r="Q52" s="9">
        <v>46036</v>
      </c>
      <c r="R52" s="10">
        <f>IF(OR(Q52="", L52=""), "", NETWORKDAYS(L52, Q52, FESTIVOS!A51:A105))</f>
        <v>-19</v>
      </c>
    </row>
    <row r="53" spans="1:18" x14ac:dyDescent="0.25">
      <c r="A53" s="8" t="s">
        <v>16</v>
      </c>
      <c r="B53" s="7" t="s">
        <v>115</v>
      </c>
      <c r="C53" s="4" t="s">
        <v>46</v>
      </c>
      <c r="D53" s="4" t="s">
        <v>116</v>
      </c>
      <c r="E53" s="4">
        <v>52</v>
      </c>
      <c r="F53" s="9">
        <v>46041</v>
      </c>
      <c r="G53" s="9" t="b">
        <v>0</v>
      </c>
      <c r="H53" s="4" t="b">
        <v>0</v>
      </c>
      <c r="I53" s="28" t="s">
        <v>20</v>
      </c>
      <c r="J53" s="4">
        <f t="shared" si="0"/>
        <v>15</v>
      </c>
      <c r="K53" s="4">
        <f ca="1">IF(AND(F53&lt;&gt;"", L53&lt;&gt;""), NETWORKDAYS(TODAY(), L53-1, FESTIVOS!A$1:A$55), "")</f>
        <v>-87</v>
      </c>
      <c r="L53" s="9">
        <f>IF(AND(F53&lt;&gt;"", J53&lt;&gt;""), WORKDAY(F53, J53, FESTIVOS!A$1:A$55), "")</f>
        <v>46062</v>
      </c>
      <c r="M53" s="4" t="s">
        <v>21</v>
      </c>
      <c r="N53" s="4">
        <f t="shared" ca="1" si="2"/>
        <v>0</v>
      </c>
      <c r="O53" s="4" t="str">
        <f t="shared" ca="1" si="1"/>
        <v>Vencido</v>
      </c>
      <c r="P53" s="4" t="s">
        <v>55</v>
      </c>
      <c r="Q53" s="9">
        <v>46036</v>
      </c>
      <c r="R53" s="10">
        <f>IF(OR(Q53="", L53=""), "", NETWORKDAYS(L53, Q53, FESTIVOS!A52:A106))</f>
        <v>-19</v>
      </c>
    </row>
    <row r="54" spans="1:18" x14ac:dyDescent="0.25">
      <c r="A54" s="8" t="s">
        <v>16</v>
      </c>
      <c r="B54" s="7" t="s">
        <v>117</v>
      </c>
      <c r="C54" s="4" t="s">
        <v>46</v>
      </c>
      <c r="D54" s="4" t="s">
        <v>61</v>
      </c>
      <c r="E54" s="4">
        <v>53</v>
      </c>
      <c r="F54" s="9">
        <v>46041</v>
      </c>
      <c r="G54" s="9" t="b">
        <v>0</v>
      </c>
      <c r="H54" s="4" t="b">
        <v>0</v>
      </c>
      <c r="I54" s="28" t="s">
        <v>20</v>
      </c>
      <c r="J54" s="4">
        <f t="shared" si="0"/>
        <v>15</v>
      </c>
      <c r="K54" s="4">
        <f ca="1">IF(AND(F54&lt;&gt;"", L54&lt;&gt;""), NETWORKDAYS(TODAY(), L54-1, FESTIVOS!A$1:A$55), "")</f>
        <v>-87</v>
      </c>
      <c r="L54" s="9">
        <f>IF(AND(F54&lt;&gt;"", J54&lt;&gt;""), WORKDAY(F54, J54, FESTIVOS!A$1:A$55), "")</f>
        <v>46062</v>
      </c>
      <c r="M54" s="4" t="s">
        <v>21</v>
      </c>
      <c r="N54" s="4">
        <f t="shared" ca="1" si="2"/>
        <v>0</v>
      </c>
      <c r="O54" s="4" t="str">
        <f t="shared" ca="1" si="1"/>
        <v>Vencido</v>
      </c>
      <c r="P54" s="4" t="s">
        <v>55</v>
      </c>
      <c r="Q54" s="9">
        <v>46036</v>
      </c>
      <c r="R54" s="10">
        <f>IF(OR(Q54="", L54=""), "", NETWORKDAYS(L54, Q54, FESTIVOS!A53:A107))</f>
        <v>-19</v>
      </c>
    </row>
    <row r="55" spans="1:18" x14ac:dyDescent="0.25">
      <c r="A55" s="8" t="s">
        <v>16</v>
      </c>
      <c r="B55" s="7" t="s">
        <v>118</v>
      </c>
      <c r="C55" s="4" t="s">
        <v>46</v>
      </c>
      <c r="D55" s="4" t="s">
        <v>61</v>
      </c>
      <c r="E55" s="4">
        <v>54</v>
      </c>
      <c r="F55" s="9">
        <v>46041</v>
      </c>
      <c r="G55" s="9" t="b">
        <v>0</v>
      </c>
      <c r="H55" s="4" t="b">
        <v>0</v>
      </c>
      <c r="I55" s="28" t="s">
        <v>20</v>
      </c>
      <c r="J55" s="4">
        <f t="shared" si="0"/>
        <v>15</v>
      </c>
      <c r="K55" s="4">
        <f ca="1">IF(AND(F55&lt;&gt;"", L55&lt;&gt;""), NETWORKDAYS(TODAY(), L55-1, FESTIVOS!A$1:A$55), "")</f>
        <v>-87</v>
      </c>
      <c r="L55" s="9">
        <f>IF(AND(F55&lt;&gt;"", J55&lt;&gt;""), WORKDAY(F55, J55, FESTIVOS!A$1:A$55), "")</f>
        <v>46062</v>
      </c>
      <c r="M55" s="4" t="s">
        <v>21</v>
      </c>
      <c r="N55" s="4">
        <f t="shared" ca="1" si="2"/>
        <v>0</v>
      </c>
      <c r="O55" s="4" t="str">
        <f t="shared" ca="1" si="1"/>
        <v>Vencido</v>
      </c>
      <c r="P55" s="4" t="s">
        <v>55</v>
      </c>
      <c r="Q55" s="9">
        <v>46036</v>
      </c>
      <c r="R55" s="10">
        <f>IF(OR(Q55="", L55=""), "", NETWORKDAYS(L55, Q55, FESTIVOS!A54:A108))</f>
        <v>-19</v>
      </c>
    </row>
    <row r="56" spans="1:18" x14ac:dyDescent="0.25">
      <c r="A56" s="8" t="s">
        <v>16</v>
      </c>
      <c r="B56" s="7" t="s">
        <v>119</v>
      </c>
      <c r="C56" s="4" t="s">
        <v>46</v>
      </c>
      <c r="D56" s="4" t="s">
        <v>120</v>
      </c>
      <c r="E56" s="4">
        <v>55</v>
      </c>
      <c r="F56" s="9">
        <v>46041</v>
      </c>
      <c r="G56" s="9" t="b">
        <v>0</v>
      </c>
      <c r="H56" s="4" t="b">
        <v>0</v>
      </c>
      <c r="I56" s="28" t="s">
        <v>20</v>
      </c>
      <c r="J56" s="4">
        <f t="shared" si="0"/>
        <v>15</v>
      </c>
      <c r="K56" s="4">
        <f ca="1">IF(AND(F56&lt;&gt;"", L56&lt;&gt;""), NETWORKDAYS(TODAY(), L56-1, FESTIVOS!A$1:A$55), "")</f>
        <v>-87</v>
      </c>
      <c r="L56" s="9">
        <f>IF(AND(F56&lt;&gt;"", J56&lt;&gt;""), WORKDAY(F56, J56, FESTIVOS!A$1:A$55), "")</f>
        <v>46062</v>
      </c>
      <c r="M56" s="4" t="s">
        <v>21</v>
      </c>
      <c r="N56" s="4">
        <f t="shared" ca="1" si="2"/>
        <v>0</v>
      </c>
      <c r="O56" s="4" t="str">
        <f t="shared" ca="1" si="1"/>
        <v>Vencido</v>
      </c>
      <c r="P56" s="4" t="s">
        <v>55</v>
      </c>
      <c r="Q56" s="9">
        <v>46036</v>
      </c>
      <c r="R56" s="10">
        <f>IF(OR(Q56="", L56=""), "", NETWORKDAYS(L56, Q56, FESTIVOS!A55:A109))</f>
        <v>-19</v>
      </c>
    </row>
    <row r="57" spans="1:18" x14ac:dyDescent="0.25">
      <c r="A57" s="8" t="s">
        <v>16</v>
      </c>
      <c r="B57" s="7" t="s">
        <v>121</v>
      </c>
      <c r="C57" s="4" t="s">
        <v>46</v>
      </c>
      <c r="D57" s="4" t="s">
        <v>122</v>
      </c>
      <c r="E57" s="4">
        <v>56</v>
      </c>
      <c r="F57" s="9">
        <v>46042</v>
      </c>
      <c r="G57" s="9" t="b">
        <v>0</v>
      </c>
      <c r="H57" s="4" t="b">
        <v>0</v>
      </c>
      <c r="I57" s="28" t="s">
        <v>66</v>
      </c>
      <c r="J57" s="4">
        <f t="shared" si="0"/>
        <v>15</v>
      </c>
      <c r="K57" s="4">
        <f ca="1">IF(AND(F57&lt;&gt;"", L57&lt;&gt;""), NETWORKDAYS(TODAY(), L57-1, FESTIVOS!A$1:A$55), "")</f>
        <v>-87</v>
      </c>
      <c r="L57" s="9">
        <f>IF(AND(F57&lt;&gt;"", J57&lt;&gt;""), WORKDAY(F57, J57, FESTIVOS!A$1:A$55), "")</f>
        <v>46063</v>
      </c>
      <c r="M57" s="4" t="s">
        <v>21</v>
      </c>
      <c r="N57" s="4">
        <f t="shared" ca="1" si="2"/>
        <v>0</v>
      </c>
      <c r="O57" s="4" t="str">
        <f t="shared" ca="1" si="1"/>
        <v>Vencido</v>
      </c>
      <c r="P57" s="4" t="s">
        <v>55</v>
      </c>
      <c r="Q57" s="9">
        <v>46036</v>
      </c>
      <c r="R57" s="10">
        <f>IF(OR(Q57="", L57=""), "", NETWORKDAYS(L57, Q57, FESTIVOS!A56:A110))</f>
        <v>-20</v>
      </c>
    </row>
    <row r="58" spans="1:18" x14ac:dyDescent="0.25">
      <c r="A58" s="8" t="s">
        <v>16</v>
      </c>
      <c r="B58" s="7" t="s">
        <v>123</v>
      </c>
      <c r="C58" s="4" t="s">
        <v>46</v>
      </c>
      <c r="D58" s="4" t="s">
        <v>124</v>
      </c>
      <c r="E58" s="4">
        <v>57</v>
      </c>
      <c r="F58" s="9">
        <v>46042</v>
      </c>
      <c r="G58" s="9" t="b">
        <v>0</v>
      </c>
      <c r="H58" s="4" t="b">
        <v>0</v>
      </c>
      <c r="I58" s="28" t="s">
        <v>80</v>
      </c>
      <c r="J58" s="4">
        <f t="shared" si="0"/>
        <v>15</v>
      </c>
      <c r="K58" s="4">
        <f ca="1">IF(AND(F58&lt;&gt;"", L58&lt;&gt;""), NETWORKDAYS(TODAY(), L58-1, FESTIVOS!A$1:A$55), "")</f>
        <v>-87</v>
      </c>
      <c r="L58" s="9">
        <f>IF(AND(F58&lt;&gt;"", J58&lt;&gt;""), WORKDAY(F58, J58, FESTIVOS!A$1:A$55), "")</f>
        <v>46063</v>
      </c>
      <c r="M58" s="4" t="s">
        <v>21</v>
      </c>
      <c r="N58" s="4">
        <f t="shared" ca="1" si="2"/>
        <v>0</v>
      </c>
      <c r="O58" s="4" t="str">
        <f t="shared" ca="1" si="1"/>
        <v>Vencido</v>
      </c>
      <c r="P58" s="4" t="s">
        <v>55</v>
      </c>
      <c r="Q58" s="9">
        <v>46036</v>
      </c>
      <c r="R58" s="10">
        <f>IF(OR(Q58="", L58=""), "", NETWORKDAYS(L58, Q58, FESTIVOS!A57:A111))</f>
        <v>-20</v>
      </c>
    </row>
    <row r="59" spans="1:18" x14ac:dyDescent="0.25">
      <c r="A59" s="8" t="s">
        <v>16</v>
      </c>
      <c r="B59" s="7" t="s">
        <v>125</v>
      </c>
      <c r="C59" s="4" t="s">
        <v>126</v>
      </c>
      <c r="D59" s="4" t="s">
        <v>127</v>
      </c>
      <c r="E59" s="4">
        <v>58</v>
      </c>
      <c r="F59" s="9">
        <v>46042</v>
      </c>
      <c r="G59" s="9" t="b">
        <v>0</v>
      </c>
      <c r="H59" s="4" t="b">
        <v>0</v>
      </c>
      <c r="I59" s="28" t="s">
        <v>44</v>
      </c>
      <c r="J59" s="4">
        <f t="shared" si="0"/>
        <v>15</v>
      </c>
      <c r="K59" s="4">
        <f ca="1">IF(AND(F59&lt;&gt;"", L59&lt;&gt;""), NETWORKDAYS(TODAY(), L59-1, FESTIVOS!A$1:A$55), "")</f>
        <v>-87</v>
      </c>
      <c r="L59" s="9">
        <f>IF(AND(F59&lt;&gt;"", J59&lt;&gt;""), WORKDAY(F59, J59, FESTIVOS!A$1:A$55), "")</f>
        <v>46063</v>
      </c>
      <c r="M59" s="4" t="s">
        <v>21</v>
      </c>
      <c r="N59" s="4">
        <f t="shared" ca="1" si="2"/>
        <v>0</v>
      </c>
      <c r="O59" s="4" t="str">
        <f t="shared" ca="1" si="1"/>
        <v>Vencido</v>
      </c>
      <c r="P59" s="4" t="s">
        <v>55</v>
      </c>
      <c r="Q59" s="9">
        <v>46036</v>
      </c>
      <c r="R59" s="10">
        <f>IF(OR(Q59="", L59=""), "", NETWORKDAYS(L59, Q59, FESTIVOS!A58:A112))</f>
        <v>-20</v>
      </c>
    </row>
    <row r="60" spans="1:18" x14ac:dyDescent="0.25">
      <c r="A60" s="8" t="s">
        <v>16</v>
      </c>
      <c r="B60" s="7" t="s">
        <v>128</v>
      </c>
      <c r="C60" s="4" t="s">
        <v>129</v>
      </c>
      <c r="D60" s="4" t="s">
        <v>130</v>
      </c>
      <c r="E60" s="4">
        <v>59</v>
      </c>
      <c r="F60" s="9">
        <v>46042</v>
      </c>
      <c r="G60" s="9" t="b">
        <v>0</v>
      </c>
      <c r="H60" s="4" t="b">
        <v>0</v>
      </c>
      <c r="I60" s="28" t="s">
        <v>80</v>
      </c>
      <c r="J60" s="4">
        <f t="shared" si="0"/>
        <v>15</v>
      </c>
      <c r="K60" s="4">
        <f ca="1">IF(AND(F60&lt;&gt;"", L60&lt;&gt;""), NETWORKDAYS(TODAY(), L60-1, FESTIVOS!A$1:A$55), "")</f>
        <v>-87</v>
      </c>
      <c r="L60" s="9">
        <f>IF(AND(F60&lt;&gt;"", J60&lt;&gt;""), WORKDAY(F60, J60, FESTIVOS!A$1:A$55), "")</f>
        <v>46063</v>
      </c>
      <c r="M60" s="4" t="s">
        <v>21</v>
      </c>
      <c r="N60" s="4">
        <f t="shared" ca="1" si="2"/>
        <v>0</v>
      </c>
      <c r="O60" s="4" t="str">
        <f t="shared" ca="1" si="1"/>
        <v>Vencido</v>
      </c>
      <c r="P60" s="4" t="s">
        <v>55</v>
      </c>
      <c r="Q60" s="9">
        <v>46036</v>
      </c>
      <c r="R60" s="10">
        <f>IF(OR(Q60="", L60=""), "", NETWORKDAYS(L60, Q60, FESTIVOS!A59:A113))</f>
        <v>-20</v>
      </c>
    </row>
    <row r="61" spans="1:18" x14ac:dyDescent="0.25">
      <c r="A61" s="8" t="s">
        <v>16</v>
      </c>
      <c r="B61" s="7" t="s">
        <v>131</v>
      </c>
      <c r="C61" s="4" t="s">
        <v>84</v>
      </c>
      <c r="D61" s="4" t="s">
        <v>85</v>
      </c>
      <c r="E61" s="4">
        <v>60</v>
      </c>
      <c r="F61" s="9">
        <v>46042</v>
      </c>
      <c r="G61" s="9" t="b">
        <v>0</v>
      </c>
      <c r="H61" s="4" t="b">
        <v>0</v>
      </c>
      <c r="I61" s="28" t="s">
        <v>20</v>
      </c>
      <c r="J61" s="4">
        <f t="shared" si="0"/>
        <v>15</v>
      </c>
      <c r="K61" s="4">
        <f ca="1">IF(AND(F61&lt;&gt;"", L61&lt;&gt;""), NETWORKDAYS(TODAY(), L61-1, FESTIVOS!A$1:A$55), "")</f>
        <v>-87</v>
      </c>
      <c r="L61" s="9">
        <f>IF(AND(F61&lt;&gt;"", J61&lt;&gt;""), WORKDAY(F61, J61, FESTIVOS!A$1:A$55), "")</f>
        <v>46063</v>
      </c>
      <c r="M61" s="4" t="s">
        <v>21</v>
      </c>
      <c r="N61" s="4">
        <f t="shared" ca="1" si="2"/>
        <v>0</v>
      </c>
      <c r="O61" s="4" t="str">
        <f t="shared" ca="1" si="1"/>
        <v>Vencido</v>
      </c>
      <c r="P61" s="4" t="s">
        <v>55</v>
      </c>
      <c r="Q61" s="9">
        <v>46036</v>
      </c>
      <c r="R61" s="10">
        <f>IF(OR(Q61="", L61=""), "", NETWORKDAYS(L61, Q61, FESTIVOS!A60:A114))</f>
        <v>-20</v>
      </c>
    </row>
    <row r="62" spans="1:18" x14ac:dyDescent="0.25">
      <c r="A62" s="8" t="s">
        <v>16</v>
      </c>
      <c r="B62" s="7" t="s">
        <v>131</v>
      </c>
      <c r="C62" s="4" t="s">
        <v>84</v>
      </c>
      <c r="D62" s="4" t="s">
        <v>85</v>
      </c>
      <c r="E62" s="4">
        <v>61</v>
      </c>
      <c r="F62" s="9">
        <v>46042</v>
      </c>
      <c r="G62" s="9" t="b">
        <v>0</v>
      </c>
      <c r="H62" s="4" t="b">
        <v>0</v>
      </c>
      <c r="I62" s="28" t="s">
        <v>20</v>
      </c>
      <c r="J62" s="4">
        <f t="shared" si="0"/>
        <v>15</v>
      </c>
      <c r="K62" s="4">
        <f ca="1">IF(AND(F62&lt;&gt;"", L62&lt;&gt;""), NETWORKDAYS(TODAY(), L62-1, FESTIVOS!A$1:A$55), "")</f>
        <v>-87</v>
      </c>
      <c r="L62" s="9">
        <f>IF(AND(F62&lt;&gt;"", J62&lt;&gt;""), WORKDAY(F62, J62, FESTIVOS!A$1:A$55), "")</f>
        <v>46063</v>
      </c>
      <c r="M62" s="4" t="s">
        <v>21</v>
      </c>
      <c r="N62" s="4">
        <f t="shared" ca="1" si="2"/>
        <v>0</v>
      </c>
      <c r="O62" s="4" t="str">
        <f t="shared" ca="1" si="1"/>
        <v>Vencido</v>
      </c>
      <c r="P62" s="4" t="s">
        <v>55</v>
      </c>
      <c r="Q62" s="9">
        <v>46036</v>
      </c>
      <c r="R62" s="10">
        <f>IF(OR(Q62="", L62=""), "", NETWORKDAYS(L62, Q62, FESTIVOS!A61:A115))</f>
        <v>-20</v>
      </c>
    </row>
    <row r="63" spans="1:18" x14ac:dyDescent="0.25">
      <c r="A63" s="8" t="s">
        <v>16</v>
      </c>
      <c r="B63" s="7" t="s">
        <v>131</v>
      </c>
      <c r="C63" s="4" t="s">
        <v>84</v>
      </c>
      <c r="D63" s="4" t="s">
        <v>85</v>
      </c>
      <c r="E63" s="4">
        <v>62</v>
      </c>
      <c r="F63" s="9">
        <v>46042</v>
      </c>
      <c r="G63" s="9" t="b">
        <v>0</v>
      </c>
      <c r="H63" s="4" t="b">
        <v>0</v>
      </c>
      <c r="I63" s="28" t="s">
        <v>20</v>
      </c>
      <c r="J63" s="4">
        <f t="shared" si="0"/>
        <v>15</v>
      </c>
      <c r="K63" s="4">
        <f ca="1">IF(AND(F63&lt;&gt;"", L63&lt;&gt;""), NETWORKDAYS(TODAY(), L63-1, FESTIVOS!A$1:A$55), "")</f>
        <v>-87</v>
      </c>
      <c r="L63" s="9">
        <f>IF(AND(F63&lt;&gt;"", J63&lt;&gt;""), WORKDAY(F63, J63, FESTIVOS!A$1:A$55), "")</f>
        <v>46063</v>
      </c>
      <c r="M63" s="4" t="s">
        <v>21</v>
      </c>
      <c r="N63" s="4">
        <f t="shared" ca="1" si="2"/>
        <v>0</v>
      </c>
      <c r="O63" s="4" t="str">
        <f t="shared" ca="1" si="1"/>
        <v>Vencido</v>
      </c>
      <c r="P63" s="4" t="s">
        <v>55</v>
      </c>
      <c r="Q63" s="9">
        <v>46036</v>
      </c>
      <c r="R63" s="10">
        <f>IF(OR(Q63="", L63=""), "", NETWORKDAYS(L63, Q63, FESTIVOS!A62:A116))</f>
        <v>-20</v>
      </c>
    </row>
    <row r="64" spans="1:18" x14ac:dyDescent="0.25">
      <c r="A64" s="8" t="s">
        <v>16</v>
      </c>
      <c r="B64" s="7" t="s">
        <v>131</v>
      </c>
      <c r="C64" s="4" t="s">
        <v>84</v>
      </c>
      <c r="D64" s="4" t="s">
        <v>85</v>
      </c>
      <c r="E64" s="4">
        <v>63</v>
      </c>
      <c r="F64" s="9">
        <v>46042</v>
      </c>
      <c r="G64" s="9" t="b">
        <v>0</v>
      </c>
      <c r="H64" s="4" t="b">
        <v>0</v>
      </c>
      <c r="I64" s="28" t="s">
        <v>20</v>
      </c>
      <c r="J64" s="4">
        <f t="shared" si="0"/>
        <v>15</v>
      </c>
      <c r="K64" s="4">
        <f ca="1">IF(AND(F64&lt;&gt;"", L64&lt;&gt;""), NETWORKDAYS(TODAY(), L64-1, FESTIVOS!A$1:A$55), "")</f>
        <v>-87</v>
      </c>
      <c r="L64" s="9">
        <f>IF(AND(F64&lt;&gt;"", J64&lt;&gt;""), WORKDAY(F64, J64, FESTIVOS!A$1:A$55), "")</f>
        <v>46063</v>
      </c>
      <c r="M64" s="4" t="s">
        <v>21</v>
      </c>
      <c r="N64" s="4">
        <f t="shared" ca="1" si="2"/>
        <v>0</v>
      </c>
      <c r="O64" s="4" t="str">
        <f t="shared" ca="1" si="1"/>
        <v>Vencido</v>
      </c>
      <c r="P64" s="4" t="s">
        <v>55</v>
      </c>
      <c r="Q64" s="9">
        <v>46036</v>
      </c>
      <c r="R64" s="10">
        <f>IF(OR(Q64="", L64=""), "", NETWORKDAYS(L64, Q64, FESTIVOS!A63:A117))</f>
        <v>-20</v>
      </c>
    </row>
    <row r="65" spans="1:18" x14ac:dyDescent="0.25">
      <c r="A65" s="8" t="s">
        <v>16</v>
      </c>
      <c r="B65" s="7" t="s">
        <v>131</v>
      </c>
      <c r="C65" s="4" t="s">
        <v>84</v>
      </c>
      <c r="D65" s="4" t="s">
        <v>85</v>
      </c>
      <c r="E65" s="4">
        <v>64</v>
      </c>
      <c r="F65" s="9">
        <v>46042</v>
      </c>
      <c r="G65" s="9" t="b">
        <v>0</v>
      </c>
      <c r="H65" s="4" t="b">
        <v>0</v>
      </c>
      <c r="I65" s="28" t="s">
        <v>20</v>
      </c>
      <c r="J65" s="4">
        <f t="shared" si="0"/>
        <v>15</v>
      </c>
      <c r="K65" s="4">
        <f ca="1">IF(AND(F65&lt;&gt;"", L65&lt;&gt;""), NETWORKDAYS(TODAY(), L65-1, FESTIVOS!A$1:A$55), "")</f>
        <v>-87</v>
      </c>
      <c r="L65" s="9">
        <f>IF(AND(F65&lt;&gt;"", J65&lt;&gt;""), WORKDAY(F65, J65, FESTIVOS!A$1:A$55), "")</f>
        <v>46063</v>
      </c>
      <c r="M65" s="4" t="s">
        <v>21</v>
      </c>
      <c r="N65" s="4">
        <f t="shared" ca="1" si="2"/>
        <v>0</v>
      </c>
      <c r="O65" s="4" t="str">
        <f t="shared" ca="1" si="1"/>
        <v>Vencido</v>
      </c>
      <c r="P65" s="4" t="s">
        <v>55</v>
      </c>
      <c r="Q65" s="9">
        <v>46036</v>
      </c>
      <c r="R65" s="10">
        <f>IF(OR(Q65="", L65=""), "", NETWORKDAYS(L65, Q65, FESTIVOS!A64:A118))</f>
        <v>-20</v>
      </c>
    </row>
    <row r="66" spans="1:18" x14ac:dyDescent="0.25">
      <c r="A66" s="8" t="s">
        <v>16</v>
      </c>
      <c r="B66" s="7" t="s">
        <v>131</v>
      </c>
      <c r="C66" s="4" t="s">
        <v>84</v>
      </c>
      <c r="D66" s="4" t="s">
        <v>85</v>
      </c>
      <c r="E66" s="4">
        <v>65</v>
      </c>
      <c r="F66" s="9">
        <v>46042</v>
      </c>
      <c r="G66" s="9" t="b">
        <v>0</v>
      </c>
      <c r="H66" s="4" t="b">
        <v>0</v>
      </c>
      <c r="I66" s="28" t="s">
        <v>20</v>
      </c>
      <c r="J66" s="4">
        <f t="shared" ref="J66:J129" si="3">IF(A66="INFORMACIÓN O DOCUMENTOS", 10, IF(A66="CONSULTA", 30, IF(A66="FACTURACIÓN Y COBROS", 15, IF(A66="VINCULACIÓN Y DESVINCULACIÓN", 15, IF(A66="NO ES DE NUESTRA COMPETENCIA", 5, IF(A66="OTRO", 15, ""))))))</f>
        <v>15</v>
      </c>
      <c r="K66" s="4">
        <f ca="1">IF(AND(F66&lt;&gt;"", L66&lt;&gt;""), NETWORKDAYS(TODAY(), L66-1, FESTIVOS!A$1:A$55), "")</f>
        <v>-87</v>
      </c>
      <c r="L66" s="9">
        <f>IF(AND(F66&lt;&gt;"", J66&lt;&gt;""), WORKDAY(F66, J66, FESTIVOS!A$1:A$55), "")</f>
        <v>46063</v>
      </c>
      <c r="M66" s="4" t="s">
        <v>21</v>
      </c>
      <c r="N66" s="4">
        <f t="shared" ref="N66:N129" ca="1" si="4">IF(K66="", "", MAX(0, K66 - (TODAY() - TODAY())))</f>
        <v>0</v>
      </c>
      <c r="O66" s="4" t="str">
        <f t="shared" ref="O66:O129" ca="1" si="5">IF(OR(K66="", J66=""), "", IF(K66&lt;0, "Vencido", IF(K66&gt;(J66/2), "Supere la mitad", "Bajo la mitad")))</f>
        <v>Vencido</v>
      </c>
      <c r="P66" s="4" t="s">
        <v>55</v>
      </c>
      <c r="Q66" s="9">
        <v>46036</v>
      </c>
      <c r="R66" s="10">
        <f>IF(OR(Q66="", L66=""), "", NETWORKDAYS(L66, Q66, FESTIVOS!A65:A119))</f>
        <v>-20</v>
      </c>
    </row>
    <row r="67" spans="1:18" x14ac:dyDescent="0.25">
      <c r="A67" s="8" t="s">
        <v>16</v>
      </c>
      <c r="B67" s="7" t="s">
        <v>131</v>
      </c>
      <c r="C67" s="4" t="s">
        <v>84</v>
      </c>
      <c r="D67" s="4" t="s">
        <v>85</v>
      </c>
      <c r="E67" s="4">
        <v>66</v>
      </c>
      <c r="F67" s="9">
        <v>46042</v>
      </c>
      <c r="G67" s="9" t="b">
        <v>0</v>
      </c>
      <c r="H67" s="4" t="b">
        <v>0</v>
      </c>
      <c r="I67" s="28" t="s">
        <v>20</v>
      </c>
      <c r="J67" s="4">
        <f t="shared" si="3"/>
        <v>15</v>
      </c>
      <c r="K67" s="4">
        <f ca="1">IF(AND(F67&lt;&gt;"", L67&lt;&gt;""), NETWORKDAYS(TODAY(), L67-1, FESTIVOS!A$1:A$55), "")</f>
        <v>-87</v>
      </c>
      <c r="L67" s="9">
        <f>IF(AND(F67&lt;&gt;"", J67&lt;&gt;""), WORKDAY(F67, J67, FESTIVOS!A$1:A$55), "")</f>
        <v>46063</v>
      </c>
      <c r="M67" s="4" t="s">
        <v>21</v>
      </c>
      <c r="N67" s="4">
        <f t="shared" ca="1" si="4"/>
        <v>0</v>
      </c>
      <c r="O67" s="4" t="str">
        <f t="shared" ca="1" si="5"/>
        <v>Vencido</v>
      </c>
      <c r="P67" s="4" t="s">
        <v>55</v>
      </c>
      <c r="Q67" s="9">
        <v>46036</v>
      </c>
      <c r="R67" s="10">
        <f>IF(OR(Q67="", L67=""), "", NETWORKDAYS(L67, Q67, FESTIVOS!A66:A120))</f>
        <v>-20</v>
      </c>
    </row>
    <row r="68" spans="1:18" x14ac:dyDescent="0.25">
      <c r="A68" s="8" t="s">
        <v>16</v>
      </c>
      <c r="B68" s="7" t="s">
        <v>131</v>
      </c>
      <c r="C68" s="4" t="s">
        <v>84</v>
      </c>
      <c r="D68" s="4" t="s">
        <v>85</v>
      </c>
      <c r="E68" s="4">
        <v>67</v>
      </c>
      <c r="F68" s="9">
        <v>46042</v>
      </c>
      <c r="G68" s="9" t="b">
        <v>0</v>
      </c>
      <c r="H68" s="4" t="b">
        <v>0</v>
      </c>
      <c r="I68" s="28" t="s">
        <v>20</v>
      </c>
      <c r="J68" s="4">
        <f t="shared" si="3"/>
        <v>15</v>
      </c>
      <c r="K68" s="4">
        <f ca="1">IF(AND(F68&lt;&gt;"", L68&lt;&gt;""), NETWORKDAYS(TODAY(), L68-1, FESTIVOS!A$1:A$55), "")</f>
        <v>-87</v>
      </c>
      <c r="L68" s="9">
        <f>IF(AND(F68&lt;&gt;"", J68&lt;&gt;""), WORKDAY(F68, J68, FESTIVOS!A$1:A$55), "")</f>
        <v>46063</v>
      </c>
      <c r="M68" s="4" t="s">
        <v>21</v>
      </c>
      <c r="N68" s="4">
        <f t="shared" ca="1" si="4"/>
        <v>0</v>
      </c>
      <c r="O68" s="4" t="str">
        <f t="shared" ca="1" si="5"/>
        <v>Vencido</v>
      </c>
      <c r="P68" s="4" t="s">
        <v>55</v>
      </c>
      <c r="Q68" s="9">
        <v>46036</v>
      </c>
      <c r="R68" s="10">
        <f>IF(OR(Q68="", L68=""), "", NETWORKDAYS(L68, Q68, FESTIVOS!A67:A121))</f>
        <v>-20</v>
      </c>
    </row>
    <row r="69" spans="1:18" x14ac:dyDescent="0.25">
      <c r="A69" s="8" t="s">
        <v>16</v>
      </c>
      <c r="B69" s="7" t="s">
        <v>132</v>
      </c>
      <c r="C69" s="4" t="s">
        <v>46</v>
      </c>
      <c r="D69" s="4" t="s">
        <v>133</v>
      </c>
      <c r="E69" s="4">
        <v>68</v>
      </c>
      <c r="F69" s="9">
        <v>46042</v>
      </c>
      <c r="G69" s="9" t="b">
        <v>0</v>
      </c>
      <c r="H69" s="4" t="b">
        <v>0</v>
      </c>
      <c r="I69" s="28" t="s">
        <v>66</v>
      </c>
      <c r="J69" s="4">
        <f t="shared" si="3"/>
        <v>15</v>
      </c>
      <c r="K69" s="4">
        <f ca="1">IF(AND(F69&lt;&gt;"", L69&lt;&gt;""), NETWORKDAYS(TODAY(), L69-1, FESTIVOS!A$1:A$55), "")</f>
        <v>-87</v>
      </c>
      <c r="L69" s="9">
        <f>IF(AND(F69&lt;&gt;"", J69&lt;&gt;""), WORKDAY(F69, J69, FESTIVOS!A$1:A$55), "")</f>
        <v>46063</v>
      </c>
      <c r="M69" s="4" t="s">
        <v>21</v>
      </c>
      <c r="N69" s="4">
        <f t="shared" ca="1" si="4"/>
        <v>0</v>
      </c>
      <c r="O69" s="4" t="str">
        <f t="shared" ca="1" si="5"/>
        <v>Vencido</v>
      </c>
      <c r="P69" s="4" t="s">
        <v>55</v>
      </c>
      <c r="Q69" s="9">
        <v>46036</v>
      </c>
      <c r="R69" s="10">
        <f>IF(OR(Q69="", L69=""), "", NETWORKDAYS(L69, Q69, FESTIVOS!A68:A122))</f>
        <v>-20</v>
      </c>
    </row>
    <row r="70" spans="1:18" x14ac:dyDescent="0.25">
      <c r="A70" s="8" t="s">
        <v>16</v>
      </c>
      <c r="B70" s="7" t="s">
        <v>134</v>
      </c>
      <c r="C70" s="4" t="s">
        <v>46</v>
      </c>
      <c r="D70" s="4" t="s">
        <v>135</v>
      </c>
      <c r="E70" s="4">
        <v>69</v>
      </c>
      <c r="F70" s="9">
        <v>46042</v>
      </c>
      <c r="G70" s="9" t="b">
        <v>0</v>
      </c>
      <c r="H70" s="4" t="b">
        <v>0</v>
      </c>
      <c r="I70" s="28" t="s">
        <v>66</v>
      </c>
      <c r="J70" s="4">
        <f t="shared" si="3"/>
        <v>15</v>
      </c>
      <c r="K70" s="4">
        <f ca="1">IF(AND(F70&lt;&gt;"", L70&lt;&gt;""), NETWORKDAYS(TODAY(), L70-1, FESTIVOS!A$1:A$55), "")</f>
        <v>-87</v>
      </c>
      <c r="L70" s="9">
        <f>IF(AND(F70&lt;&gt;"", J70&lt;&gt;""), WORKDAY(F70, J70, FESTIVOS!A$1:A$55), "")</f>
        <v>46063</v>
      </c>
      <c r="M70" s="4" t="s">
        <v>21</v>
      </c>
      <c r="N70" s="4">
        <f t="shared" ca="1" si="4"/>
        <v>0</v>
      </c>
      <c r="O70" s="4" t="str">
        <f t="shared" ca="1" si="5"/>
        <v>Vencido</v>
      </c>
      <c r="P70" s="4" t="s">
        <v>55</v>
      </c>
      <c r="Q70" s="9">
        <v>46036</v>
      </c>
      <c r="R70" s="10">
        <f>IF(OR(Q70="", L70=""), "", NETWORKDAYS(L70, Q70, FESTIVOS!A69:A123))</f>
        <v>-20</v>
      </c>
    </row>
    <row r="71" spans="1:18" x14ac:dyDescent="0.25">
      <c r="A71" s="8" t="s">
        <v>16</v>
      </c>
      <c r="B71" s="7" t="s">
        <v>92</v>
      </c>
      <c r="C71" s="4" t="s">
        <v>93</v>
      </c>
      <c r="D71" s="4" t="s">
        <v>136</v>
      </c>
      <c r="E71" s="4">
        <v>70</v>
      </c>
      <c r="F71" s="9">
        <v>46042</v>
      </c>
      <c r="G71" s="9" t="b">
        <v>0</v>
      </c>
      <c r="H71" s="4" t="b">
        <v>0</v>
      </c>
      <c r="I71" s="28" t="s">
        <v>80</v>
      </c>
      <c r="J71" s="4">
        <f t="shared" si="3"/>
        <v>15</v>
      </c>
      <c r="K71" s="4">
        <f ca="1">IF(AND(F71&lt;&gt;"", L71&lt;&gt;""), NETWORKDAYS(TODAY(), L71-1, FESTIVOS!A$1:A$55), "")</f>
        <v>-87</v>
      </c>
      <c r="L71" s="9">
        <f>IF(AND(F71&lt;&gt;"", J71&lt;&gt;""), WORKDAY(F71, J71, FESTIVOS!A$1:A$55), "")</f>
        <v>46063</v>
      </c>
      <c r="M71" s="4" t="s">
        <v>21</v>
      </c>
      <c r="N71" s="4">
        <f t="shared" ca="1" si="4"/>
        <v>0</v>
      </c>
      <c r="O71" s="4" t="str">
        <f t="shared" ca="1" si="5"/>
        <v>Vencido</v>
      </c>
      <c r="P71" s="4" t="s">
        <v>55</v>
      </c>
      <c r="Q71" s="9">
        <v>46036</v>
      </c>
      <c r="R71" s="10">
        <f>IF(OR(Q71="", L71=""), "", NETWORKDAYS(L71, Q71, FESTIVOS!A70:A124))</f>
        <v>-20</v>
      </c>
    </row>
    <row r="72" spans="1:18" x14ac:dyDescent="0.25">
      <c r="A72" s="8" t="s">
        <v>16</v>
      </c>
      <c r="B72" s="7" t="s">
        <v>137</v>
      </c>
      <c r="C72" s="4" t="s">
        <v>90</v>
      </c>
      <c r="D72" s="4" t="s">
        <v>138</v>
      </c>
      <c r="E72" s="4">
        <v>71</v>
      </c>
      <c r="F72" s="9">
        <v>46042</v>
      </c>
      <c r="G72" s="9" t="b">
        <v>0</v>
      </c>
      <c r="H72" s="4" t="b">
        <v>0</v>
      </c>
      <c r="I72" s="28" t="s">
        <v>20</v>
      </c>
      <c r="J72" s="4">
        <f t="shared" si="3"/>
        <v>15</v>
      </c>
      <c r="K72" s="4">
        <f ca="1">IF(AND(F72&lt;&gt;"", L72&lt;&gt;""), NETWORKDAYS(TODAY(), L72-1, FESTIVOS!A$1:A$55), "")</f>
        <v>-87</v>
      </c>
      <c r="L72" s="9">
        <f>IF(AND(F72&lt;&gt;"", J72&lt;&gt;""), WORKDAY(F72, J72, FESTIVOS!A$1:A$55), "")</f>
        <v>46063</v>
      </c>
      <c r="M72" s="4" t="s">
        <v>21</v>
      </c>
      <c r="N72" s="4">
        <f t="shared" ca="1" si="4"/>
        <v>0</v>
      </c>
      <c r="O72" s="4" t="str">
        <f t="shared" ca="1" si="5"/>
        <v>Vencido</v>
      </c>
      <c r="P72" s="4" t="s">
        <v>55</v>
      </c>
      <c r="Q72" s="9">
        <v>46036</v>
      </c>
      <c r="R72" s="10">
        <f>IF(OR(Q72="", L72=""), "", NETWORKDAYS(L72, Q72, FESTIVOS!A71:A125))</f>
        <v>-20</v>
      </c>
    </row>
    <row r="73" spans="1:18" x14ac:dyDescent="0.25">
      <c r="A73" s="8" t="s">
        <v>16</v>
      </c>
      <c r="B73" s="7" t="s">
        <v>17</v>
      </c>
      <c r="C73" s="4" t="s">
        <v>84</v>
      </c>
      <c r="D73" s="4" t="s">
        <v>102</v>
      </c>
      <c r="E73" s="4">
        <v>72</v>
      </c>
      <c r="F73" s="9">
        <v>46042</v>
      </c>
      <c r="G73" s="9" t="b">
        <v>0</v>
      </c>
      <c r="H73" s="4" t="b">
        <v>0</v>
      </c>
      <c r="I73" s="28" t="s">
        <v>20</v>
      </c>
      <c r="J73" s="4">
        <f t="shared" si="3"/>
        <v>15</v>
      </c>
      <c r="K73" s="4">
        <f ca="1">IF(AND(F73&lt;&gt;"", L73&lt;&gt;""), NETWORKDAYS(TODAY(), L73-1, FESTIVOS!A$1:A$55), "")</f>
        <v>-87</v>
      </c>
      <c r="L73" s="9">
        <f>IF(AND(F73&lt;&gt;"", J73&lt;&gt;""), WORKDAY(F73, J73, FESTIVOS!A$1:A$55), "")</f>
        <v>46063</v>
      </c>
      <c r="M73" s="4" t="s">
        <v>21</v>
      </c>
      <c r="N73" s="4">
        <f t="shared" ca="1" si="4"/>
        <v>0</v>
      </c>
      <c r="O73" s="4" t="str">
        <f t="shared" ca="1" si="5"/>
        <v>Vencido</v>
      </c>
      <c r="P73" s="4" t="s">
        <v>55</v>
      </c>
      <c r="Q73" s="9">
        <v>46036</v>
      </c>
      <c r="R73" s="10">
        <f>IF(OR(Q73="", L73=""), "", NETWORKDAYS(L73, Q73, FESTIVOS!A72:A126))</f>
        <v>-20</v>
      </c>
    </row>
    <row r="74" spans="1:18" x14ac:dyDescent="0.25">
      <c r="A74" s="8" t="s">
        <v>16</v>
      </c>
      <c r="B74" s="7" t="s">
        <v>139</v>
      </c>
      <c r="C74" s="4" t="s">
        <v>46</v>
      </c>
      <c r="D74" s="4" t="s">
        <v>140</v>
      </c>
      <c r="E74" s="4">
        <v>73</v>
      </c>
      <c r="F74" s="9">
        <v>46042</v>
      </c>
      <c r="G74" s="9" t="b">
        <v>0</v>
      </c>
      <c r="H74" s="4" t="b">
        <v>0</v>
      </c>
      <c r="I74" s="28" t="s">
        <v>20</v>
      </c>
      <c r="J74" s="4">
        <f t="shared" si="3"/>
        <v>15</v>
      </c>
      <c r="K74" s="4">
        <f ca="1">IF(AND(F74&lt;&gt;"", L74&lt;&gt;""), NETWORKDAYS(TODAY(), L74-1, FESTIVOS!A$1:A$55), "")</f>
        <v>-87</v>
      </c>
      <c r="L74" s="9">
        <f>IF(AND(F74&lt;&gt;"", J74&lt;&gt;""), WORKDAY(F74, J74, FESTIVOS!A$1:A$55), "")</f>
        <v>46063</v>
      </c>
      <c r="M74" s="4" t="s">
        <v>21</v>
      </c>
      <c r="N74" s="4">
        <f t="shared" ca="1" si="4"/>
        <v>0</v>
      </c>
      <c r="O74" s="4" t="str">
        <f t="shared" ca="1" si="5"/>
        <v>Vencido</v>
      </c>
      <c r="P74" s="4" t="s">
        <v>55</v>
      </c>
      <c r="Q74" s="9">
        <v>46036</v>
      </c>
      <c r="R74" s="10">
        <f>IF(OR(Q74="", L74=""), "", NETWORKDAYS(L74, Q74, FESTIVOS!A73:A127))</f>
        <v>-20</v>
      </c>
    </row>
    <row r="75" spans="1:18" x14ac:dyDescent="0.25">
      <c r="A75" s="8" t="s">
        <v>16</v>
      </c>
      <c r="B75" s="7" t="s">
        <v>92</v>
      </c>
      <c r="C75" s="4" t="s">
        <v>93</v>
      </c>
      <c r="D75" s="4" t="s">
        <v>141</v>
      </c>
      <c r="E75" s="4">
        <v>74</v>
      </c>
      <c r="F75" s="9">
        <v>46043</v>
      </c>
      <c r="G75" s="9" t="b">
        <v>0</v>
      </c>
      <c r="H75" s="4" t="b">
        <v>0</v>
      </c>
      <c r="I75" s="28" t="s">
        <v>80</v>
      </c>
      <c r="J75" s="4">
        <f t="shared" si="3"/>
        <v>15</v>
      </c>
      <c r="K75" s="4">
        <f ca="1">IF(AND(F75&lt;&gt;"", L75&lt;&gt;""), NETWORKDAYS(TODAY(), L75-1, FESTIVOS!A$1:A$55), "")</f>
        <v>-86</v>
      </c>
      <c r="L75" s="9">
        <f>IF(AND(F75&lt;&gt;"", J75&lt;&gt;""), WORKDAY(F75, J75, FESTIVOS!A$1:A$55), "")</f>
        <v>46064</v>
      </c>
      <c r="M75" s="4" t="s">
        <v>21</v>
      </c>
      <c r="N75" s="4">
        <f t="shared" ca="1" si="4"/>
        <v>0</v>
      </c>
      <c r="O75" s="4" t="str">
        <f t="shared" ca="1" si="5"/>
        <v>Vencido</v>
      </c>
      <c r="P75" s="4" t="s">
        <v>55</v>
      </c>
      <c r="Q75" s="9">
        <v>46036</v>
      </c>
      <c r="R75" s="10">
        <f>IF(OR(Q75="", L75=""), "", NETWORKDAYS(L75, Q75, FESTIVOS!A74:A128))</f>
        <v>-21</v>
      </c>
    </row>
    <row r="76" spans="1:18" x14ac:dyDescent="0.25">
      <c r="A76" s="8" t="s">
        <v>16</v>
      </c>
      <c r="B76" s="7" t="s">
        <v>142</v>
      </c>
      <c r="C76" s="4" t="s">
        <v>46</v>
      </c>
      <c r="D76" s="4" t="s">
        <v>61</v>
      </c>
      <c r="E76" s="4">
        <v>75</v>
      </c>
      <c r="F76" s="9">
        <v>46043</v>
      </c>
      <c r="G76" s="9" t="b">
        <v>0</v>
      </c>
      <c r="H76" s="4" t="b">
        <v>0</v>
      </c>
      <c r="I76" s="28" t="s">
        <v>20</v>
      </c>
      <c r="J76" s="4">
        <f t="shared" si="3"/>
        <v>15</v>
      </c>
      <c r="K76" s="4">
        <f ca="1">IF(AND(F76&lt;&gt;"", L76&lt;&gt;""), NETWORKDAYS(TODAY(), L76-1, FESTIVOS!A$1:A$55), "")</f>
        <v>-86</v>
      </c>
      <c r="L76" s="9">
        <f>IF(AND(F76&lt;&gt;"", J76&lt;&gt;""), WORKDAY(F76, J76, FESTIVOS!A$1:A$55), "")</f>
        <v>46064</v>
      </c>
      <c r="M76" s="4" t="s">
        <v>21</v>
      </c>
      <c r="N76" s="4">
        <f t="shared" ca="1" si="4"/>
        <v>0</v>
      </c>
      <c r="O76" s="4" t="str">
        <f t="shared" ca="1" si="5"/>
        <v>Vencido</v>
      </c>
      <c r="P76" s="4" t="s">
        <v>55</v>
      </c>
      <c r="Q76" s="9">
        <v>46036</v>
      </c>
      <c r="R76" s="10">
        <f>IF(OR(Q76="", L76=""), "", NETWORKDAYS(L76, Q76, FESTIVOS!A75:A129))</f>
        <v>-21</v>
      </c>
    </row>
    <row r="77" spans="1:18" x14ac:dyDescent="0.25">
      <c r="A77" s="8" t="s">
        <v>16</v>
      </c>
      <c r="B77" s="7" t="s">
        <v>143</v>
      </c>
      <c r="C77" s="4" t="s">
        <v>46</v>
      </c>
      <c r="D77" s="4" t="s">
        <v>144</v>
      </c>
      <c r="E77" s="4">
        <v>76</v>
      </c>
      <c r="F77" s="9">
        <v>46043</v>
      </c>
      <c r="G77" s="9" t="b">
        <v>0</v>
      </c>
      <c r="H77" s="4" t="b">
        <v>0</v>
      </c>
      <c r="I77" s="28" t="s">
        <v>20</v>
      </c>
      <c r="J77" s="4">
        <f t="shared" si="3"/>
        <v>15</v>
      </c>
      <c r="K77" s="4">
        <f ca="1">IF(AND(F77&lt;&gt;"", L77&lt;&gt;""), NETWORKDAYS(TODAY(), L77-1, FESTIVOS!A$1:A$55), "")</f>
        <v>-86</v>
      </c>
      <c r="L77" s="9">
        <f>IF(AND(F77&lt;&gt;"", J77&lt;&gt;""), WORKDAY(F77, J77, FESTIVOS!A$1:A$55), "")</f>
        <v>46064</v>
      </c>
      <c r="M77" s="4" t="s">
        <v>21</v>
      </c>
      <c r="N77" s="4">
        <f t="shared" ca="1" si="4"/>
        <v>0</v>
      </c>
      <c r="O77" s="4" t="str">
        <f t="shared" ca="1" si="5"/>
        <v>Vencido</v>
      </c>
      <c r="P77" s="4" t="s">
        <v>55</v>
      </c>
      <c r="Q77" s="9">
        <v>46036</v>
      </c>
      <c r="R77" s="10">
        <f>IF(OR(Q77="", L77=""), "", NETWORKDAYS(L77, Q77, FESTIVOS!A76:A130))</f>
        <v>-21</v>
      </c>
    </row>
    <row r="78" spans="1:18" x14ac:dyDescent="0.25">
      <c r="A78" s="8" t="s">
        <v>16</v>
      </c>
      <c r="B78" s="7" t="s">
        <v>145</v>
      </c>
      <c r="C78" s="4" t="s">
        <v>46</v>
      </c>
      <c r="D78" s="4" t="s">
        <v>135</v>
      </c>
      <c r="E78" s="4">
        <v>77</v>
      </c>
      <c r="F78" s="9">
        <v>46043</v>
      </c>
      <c r="G78" s="9" t="b">
        <v>0</v>
      </c>
      <c r="H78" s="4" t="b">
        <v>0</v>
      </c>
      <c r="I78" s="28" t="s">
        <v>66</v>
      </c>
      <c r="J78" s="4">
        <f t="shared" si="3"/>
        <v>15</v>
      </c>
      <c r="K78" s="4">
        <f ca="1">IF(AND(F78&lt;&gt;"", L78&lt;&gt;""), NETWORKDAYS(TODAY(), L78-1, FESTIVOS!A$1:A$55), "")</f>
        <v>-86</v>
      </c>
      <c r="L78" s="9">
        <f>IF(AND(F78&lt;&gt;"", J78&lt;&gt;""), WORKDAY(F78, J78, FESTIVOS!A$1:A$55), "")</f>
        <v>46064</v>
      </c>
      <c r="M78" s="4" t="s">
        <v>21</v>
      </c>
      <c r="N78" s="4">
        <f t="shared" ca="1" si="4"/>
        <v>0</v>
      </c>
      <c r="O78" s="4" t="str">
        <f t="shared" ca="1" si="5"/>
        <v>Vencido</v>
      </c>
      <c r="P78" s="4" t="s">
        <v>55</v>
      </c>
      <c r="Q78" s="9">
        <v>46036</v>
      </c>
      <c r="R78" s="10">
        <f>IF(OR(Q78="", L78=""), "", NETWORKDAYS(L78, Q78, FESTIVOS!A77:A131))</f>
        <v>-21</v>
      </c>
    </row>
    <row r="79" spans="1:18" x14ac:dyDescent="0.25">
      <c r="A79" s="8" t="s">
        <v>16</v>
      </c>
      <c r="B79" s="7" t="s">
        <v>146</v>
      </c>
      <c r="C79" s="4" t="s">
        <v>46</v>
      </c>
      <c r="D79" s="4" t="s">
        <v>147</v>
      </c>
      <c r="E79" s="4">
        <v>78</v>
      </c>
      <c r="F79" s="9">
        <v>46043</v>
      </c>
      <c r="G79" s="9" t="b">
        <v>0</v>
      </c>
      <c r="H79" s="4" t="b">
        <v>0</v>
      </c>
      <c r="I79" s="28" t="s">
        <v>66</v>
      </c>
      <c r="J79" s="4">
        <f t="shared" si="3"/>
        <v>15</v>
      </c>
      <c r="K79" s="4">
        <f ca="1">IF(AND(F79&lt;&gt;"", L79&lt;&gt;""), NETWORKDAYS(TODAY(), L79-1, FESTIVOS!A$1:A$55), "")</f>
        <v>-86</v>
      </c>
      <c r="L79" s="9">
        <f>IF(AND(F79&lt;&gt;"", J79&lt;&gt;""), WORKDAY(F79, J79, FESTIVOS!A$1:A$55), "")</f>
        <v>46064</v>
      </c>
      <c r="M79" s="4" t="s">
        <v>21</v>
      </c>
      <c r="N79" s="4">
        <f t="shared" ca="1" si="4"/>
        <v>0</v>
      </c>
      <c r="O79" s="4" t="str">
        <f t="shared" ca="1" si="5"/>
        <v>Vencido</v>
      </c>
      <c r="P79" s="4" t="s">
        <v>55</v>
      </c>
      <c r="Q79" s="9">
        <v>46036</v>
      </c>
      <c r="R79" s="10">
        <f>IF(OR(Q79="", L79=""), "", NETWORKDAYS(L79, Q79, FESTIVOS!A78:A132))</f>
        <v>-21</v>
      </c>
    </row>
    <row r="80" spans="1:18" x14ac:dyDescent="0.25">
      <c r="A80" s="8" t="s">
        <v>16</v>
      </c>
      <c r="B80" s="7" t="s">
        <v>148</v>
      </c>
      <c r="C80" s="4" t="s">
        <v>46</v>
      </c>
      <c r="D80" s="4" t="s">
        <v>149</v>
      </c>
      <c r="E80" s="4">
        <v>79</v>
      </c>
      <c r="F80" s="9">
        <v>46043</v>
      </c>
      <c r="G80" s="9" t="b">
        <v>0</v>
      </c>
      <c r="H80" s="4" t="b">
        <v>0</v>
      </c>
      <c r="I80" s="28" t="s">
        <v>20</v>
      </c>
      <c r="J80" s="4">
        <f t="shared" si="3"/>
        <v>15</v>
      </c>
      <c r="K80" s="4">
        <f ca="1">IF(AND(F80&lt;&gt;"", L80&lt;&gt;""), NETWORKDAYS(TODAY(), L80-1, FESTIVOS!A$1:A$55), "")</f>
        <v>-86</v>
      </c>
      <c r="L80" s="9">
        <f>IF(AND(F80&lt;&gt;"", J80&lt;&gt;""), WORKDAY(F80, J80, FESTIVOS!A$1:A$55), "")</f>
        <v>46064</v>
      </c>
      <c r="M80" s="4" t="s">
        <v>21</v>
      </c>
      <c r="N80" s="4">
        <f t="shared" ca="1" si="4"/>
        <v>0</v>
      </c>
      <c r="O80" s="4" t="str">
        <f t="shared" ca="1" si="5"/>
        <v>Vencido</v>
      </c>
      <c r="P80" s="4" t="s">
        <v>55</v>
      </c>
      <c r="Q80" s="9">
        <v>46036</v>
      </c>
      <c r="R80" s="10">
        <f>IF(OR(Q80="", L80=""), "", NETWORKDAYS(L80, Q80, FESTIVOS!A79:A133))</f>
        <v>-21</v>
      </c>
    </row>
    <row r="81" spans="1:18" x14ac:dyDescent="0.25">
      <c r="A81" s="8" t="s">
        <v>16</v>
      </c>
      <c r="B81" s="7" t="s">
        <v>63</v>
      </c>
      <c r="C81" s="4" t="s">
        <v>64</v>
      </c>
      <c r="D81" s="4" t="s">
        <v>150</v>
      </c>
      <c r="E81" s="4">
        <v>80</v>
      </c>
      <c r="F81" s="9">
        <v>46043</v>
      </c>
      <c r="G81" s="9" t="b">
        <v>0</v>
      </c>
      <c r="H81" s="4" t="b">
        <v>0</v>
      </c>
      <c r="I81" s="28" t="s">
        <v>20</v>
      </c>
      <c r="J81" s="4">
        <f t="shared" si="3"/>
        <v>15</v>
      </c>
      <c r="K81" s="4">
        <f ca="1">IF(AND(F81&lt;&gt;"", L81&lt;&gt;""), NETWORKDAYS(TODAY(), L81-1, FESTIVOS!A$1:A$55), "")</f>
        <v>-86</v>
      </c>
      <c r="L81" s="9">
        <f>IF(AND(F81&lt;&gt;"", J81&lt;&gt;""), WORKDAY(F81, J81, FESTIVOS!A$1:A$55), "")</f>
        <v>46064</v>
      </c>
      <c r="M81" s="4" t="s">
        <v>21</v>
      </c>
      <c r="N81" s="4">
        <f t="shared" ca="1" si="4"/>
        <v>0</v>
      </c>
      <c r="O81" s="4" t="str">
        <f t="shared" ca="1" si="5"/>
        <v>Vencido</v>
      </c>
      <c r="P81" s="4" t="s">
        <v>55</v>
      </c>
      <c r="Q81" s="9">
        <v>46036</v>
      </c>
      <c r="R81" s="10">
        <f>IF(OR(Q81="", L81=""), "", NETWORKDAYS(L81, Q81, FESTIVOS!A80:A134))</f>
        <v>-21</v>
      </c>
    </row>
    <row r="82" spans="1:18" x14ac:dyDescent="0.25">
      <c r="A82" s="8" t="s">
        <v>16</v>
      </c>
      <c r="B82" s="7" t="s">
        <v>151</v>
      </c>
      <c r="C82" s="4" t="s">
        <v>46</v>
      </c>
      <c r="D82" s="4" t="s">
        <v>152</v>
      </c>
      <c r="E82" s="4">
        <v>81</v>
      </c>
      <c r="F82" s="9">
        <v>46043</v>
      </c>
      <c r="G82" s="9" t="b">
        <v>0</v>
      </c>
      <c r="H82" s="4" t="b">
        <v>0</v>
      </c>
      <c r="I82" s="28" t="s">
        <v>20</v>
      </c>
      <c r="J82" s="4">
        <f t="shared" si="3"/>
        <v>15</v>
      </c>
      <c r="K82" s="4">
        <f ca="1">IF(AND(F82&lt;&gt;"", L82&lt;&gt;""), NETWORKDAYS(TODAY(), L82-1, FESTIVOS!A$1:A$55), "")</f>
        <v>-86</v>
      </c>
      <c r="L82" s="9">
        <f>IF(AND(F82&lt;&gt;"", J82&lt;&gt;""), WORKDAY(F82, J82, FESTIVOS!A$1:A$55), "")</f>
        <v>46064</v>
      </c>
      <c r="M82" s="4" t="s">
        <v>21</v>
      </c>
      <c r="N82" s="4">
        <f t="shared" ca="1" si="4"/>
        <v>0</v>
      </c>
      <c r="O82" s="4" t="str">
        <f t="shared" ca="1" si="5"/>
        <v>Vencido</v>
      </c>
      <c r="P82" s="4" t="s">
        <v>55</v>
      </c>
      <c r="Q82" s="9">
        <v>46036</v>
      </c>
      <c r="R82" s="10">
        <f>IF(OR(Q82="", L82=""), "", NETWORKDAYS(L82, Q82, FESTIVOS!A81:A135))</f>
        <v>-21</v>
      </c>
    </row>
    <row r="83" spans="1:18" x14ac:dyDescent="0.25">
      <c r="A83" s="8" t="s">
        <v>16</v>
      </c>
      <c r="B83" s="7" t="s">
        <v>153</v>
      </c>
      <c r="C83" s="4" t="s">
        <v>46</v>
      </c>
      <c r="D83" s="4" t="s">
        <v>154</v>
      </c>
      <c r="E83" s="4">
        <v>82</v>
      </c>
      <c r="F83" s="9">
        <v>46043</v>
      </c>
      <c r="G83" s="9" t="b">
        <v>0</v>
      </c>
      <c r="H83" s="4" t="b">
        <v>0</v>
      </c>
      <c r="I83" s="28" t="s">
        <v>20</v>
      </c>
      <c r="J83" s="4">
        <f t="shared" si="3"/>
        <v>15</v>
      </c>
      <c r="K83" s="4">
        <f ca="1">IF(AND(F83&lt;&gt;"", L83&lt;&gt;""), NETWORKDAYS(TODAY(), L83-1, FESTIVOS!A$1:A$55), "")</f>
        <v>-86</v>
      </c>
      <c r="L83" s="9">
        <f>IF(AND(F83&lt;&gt;"", J83&lt;&gt;""), WORKDAY(F83, J83, FESTIVOS!A$1:A$55), "")</f>
        <v>46064</v>
      </c>
      <c r="M83" s="4" t="s">
        <v>21</v>
      </c>
      <c r="N83" s="4">
        <f t="shared" ca="1" si="4"/>
        <v>0</v>
      </c>
      <c r="O83" s="4" t="str">
        <f t="shared" ca="1" si="5"/>
        <v>Vencido</v>
      </c>
      <c r="P83" s="4" t="s">
        <v>55</v>
      </c>
      <c r="Q83" s="9">
        <v>46036</v>
      </c>
      <c r="R83" s="10">
        <f>IF(OR(Q83="", L83=""), "", NETWORKDAYS(L83, Q83, FESTIVOS!A82:A136))</f>
        <v>-21</v>
      </c>
    </row>
    <row r="84" spans="1:18" x14ac:dyDescent="0.25">
      <c r="A84" s="8" t="s">
        <v>16</v>
      </c>
      <c r="B84" s="7" t="s">
        <v>35</v>
      </c>
      <c r="C84" s="4" t="s">
        <v>46</v>
      </c>
      <c r="D84" s="4" t="s">
        <v>155</v>
      </c>
      <c r="E84" s="4">
        <v>83</v>
      </c>
      <c r="F84" s="9">
        <v>46043</v>
      </c>
      <c r="G84" s="9" t="b">
        <v>0</v>
      </c>
      <c r="H84" s="4" t="b">
        <v>0</v>
      </c>
      <c r="I84" s="28" t="s">
        <v>20</v>
      </c>
      <c r="J84" s="4">
        <f t="shared" si="3"/>
        <v>15</v>
      </c>
      <c r="K84" s="4">
        <f ca="1">IF(AND(F84&lt;&gt;"", L84&lt;&gt;""), NETWORKDAYS(TODAY(), L84-1, FESTIVOS!A$1:A$55), "")</f>
        <v>-86</v>
      </c>
      <c r="L84" s="9">
        <f>IF(AND(F84&lt;&gt;"", J84&lt;&gt;""), WORKDAY(F84, J84, FESTIVOS!A$1:A$55), "")</f>
        <v>46064</v>
      </c>
      <c r="M84" s="4" t="s">
        <v>21</v>
      </c>
      <c r="N84" s="4">
        <f t="shared" ca="1" si="4"/>
        <v>0</v>
      </c>
      <c r="O84" s="4" t="str">
        <f t="shared" ca="1" si="5"/>
        <v>Vencido</v>
      </c>
      <c r="P84" s="4" t="s">
        <v>55</v>
      </c>
      <c r="Q84" s="9">
        <v>46036</v>
      </c>
      <c r="R84" s="10">
        <f>IF(OR(Q84="", L84=""), "", NETWORKDAYS(L84, Q84, FESTIVOS!A83:A137))</f>
        <v>-21</v>
      </c>
    </row>
    <row r="85" spans="1:18" x14ac:dyDescent="0.25">
      <c r="A85" s="8" t="s">
        <v>16</v>
      </c>
      <c r="B85" s="7" t="s">
        <v>121</v>
      </c>
      <c r="C85" s="4" t="s">
        <v>46</v>
      </c>
      <c r="D85" s="4" t="s">
        <v>156</v>
      </c>
      <c r="E85" s="4">
        <v>84</v>
      </c>
      <c r="F85" s="9">
        <v>46043</v>
      </c>
      <c r="G85" s="9" t="b">
        <v>0</v>
      </c>
      <c r="H85" s="4" t="b">
        <v>0</v>
      </c>
      <c r="I85" s="28" t="s">
        <v>66</v>
      </c>
      <c r="J85" s="4">
        <f t="shared" si="3"/>
        <v>15</v>
      </c>
      <c r="K85" s="4">
        <f ca="1">IF(AND(F85&lt;&gt;"", L85&lt;&gt;""), NETWORKDAYS(TODAY(), L85-1, FESTIVOS!A$1:A$55), "")</f>
        <v>-86</v>
      </c>
      <c r="L85" s="9">
        <f>IF(AND(F85&lt;&gt;"", J85&lt;&gt;""), WORKDAY(F85, J85, FESTIVOS!A$1:A$55), "")</f>
        <v>46064</v>
      </c>
      <c r="M85" s="4" t="s">
        <v>21</v>
      </c>
      <c r="N85" s="4">
        <f t="shared" ca="1" si="4"/>
        <v>0</v>
      </c>
      <c r="O85" s="4" t="str">
        <f t="shared" ca="1" si="5"/>
        <v>Vencido</v>
      </c>
      <c r="P85" s="4" t="s">
        <v>55</v>
      </c>
      <c r="Q85" s="9">
        <v>46036</v>
      </c>
      <c r="R85" s="10">
        <f>IF(OR(Q85="", L85=""), "", NETWORKDAYS(L85, Q85, FESTIVOS!A84:A138))</f>
        <v>-21</v>
      </c>
    </row>
    <row r="86" spans="1:18" x14ac:dyDescent="0.25">
      <c r="A86" s="8" t="s">
        <v>16</v>
      </c>
      <c r="B86" s="7" t="s">
        <v>157</v>
      </c>
      <c r="C86" s="4" t="s">
        <v>46</v>
      </c>
      <c r="D86" s="4" t="s">
        <v>98</v>
      </c>
      <c r="E86" s="4">
        <v>85</v>
      </c>
      <c r="F86" s="9">
        <v>46044</v>
      </c>
      <c r="G86" s="9" t="b">
        <v>0</v>
      </c>
      <c r="H86" s="4" t="b">
        <v>0</v>
      </c>
      <c r="I86" s="28" t="s">
        <v>20</v>
      </c>
      <c r="J86" s="4">
        <f t="shared" si="3"/>
        <v>15</v>
      </c>
      <c r="K86" s="4">
        <f ca="1">IF(AND(F86&lt;&gt;"", L86&lt;&gt;""), NETWORKDAYS(TODAY(), L86-1, FESTIVOS!A$1:A$55), "")</f>
        <v>-85</v>
      </c>
      <c r="L86" s="9">
        <f>IF(AND(F86&lt;&gt;"", J86&lt;&gt;""), WORKDAY(F86, J86, FESTIVOS!A$1:A$55), "")</f>
        <v>46065</v>
      </c>
      <c r="M86" s="4" t="s">
        <v>21</v>
      </c>
      <c r="N86" s="4">
        <f t="shared" ca="1" si="4"/>
        <v>0</v>
      </c>
      <c r="O86" s="4" t="str">
        <f t="shared" ca="1" si="5"/>
        <v>Vencido</v>
      </c>
      <c r="P86" s="4" t="s">
        <v>55</v>
      </c>
      <c r="Q86" s="9">
        <v>46036</v>
      </c>
      <c r="R86" s="10">
        <f>IF(OR(Q86="", L86=""), "", NETWORKDAYS(L86, Q86, FESTIVOS!A85:A139))</f>
        <v>-22</v>
      </c>
    </row>
    <row r="87" spans="1:18" x14ac:dyDescent="0.25">
      <c r="A87" s="8" t="s">
        <v>16</v>
      </c>
      <c r="B87" s="7" t="s">
        <v>158</v>
      </c>
      <c r="C87" s="4" t="s">
        <v>46</v>
      </c>
      <c r="D87" s="4" t="s">
        <v>159</v>
      </c>
      <c r="E87" s="4">
        <v>86</v>
      </c>
      <c r="F87" s="9">
        <v>46044</v>
      </c>
      <c r="G87" s="9" t="b">
        <v>0</v>
      </c>
      <c r="H87" s="4" t="b">
        <v>0</v>
      </c>
      <c r="I87" s="28" t="s">
        <v>20</v>
      </c>
      <c r="J87" s="4">
        <f t="shared" si="3"/>
        <v>15</v>
      </c>
      <c r="K87" s="4">
        <f ca="1">IF(AND(F87&lt;&gt;"", L87&lt;&gt;""), NETWORKDAYS(TODAY(), L87-1, FESTIVOS!A$1:A$55), "")</f>
        <v>-85</v>
      </c>
      <c r="L87" s="9">
        <f>IF(AND(F87&lt;&gt;"", J87&lt;&gt;""), WORKDAY(F87, J87, FESTIVOS!A$1:A$55), "")</f>
        <v>46065</v>
      </c>
      <c r="M87" s="4" t="s">
        <v>21</v>
      </c>
      <c r="N87" s="4">
        <f t="shared" ca="1" si="4"/>
        <v>0</v>
      </c>
      <c r="O87" s="4" t="str">
        <f t="shared" ca="1" si="5"/>
        <v>Vencido</v>
      </c>
      <c r="P87" s="4" t="s">
        <v>55</v>
      </c>
      <c r="Q87" s="9">
        <v>46036</v>
      </c>
      <c r="R87" s="10">
        <f>IF(OR(Q87="", L87=""), "", NETWORKDAYS(L87, Q87, FESTIVOS!A86:A140))</f>
        <v>-22</v>
      </c>
    </row>
    <row r="88" spans="1:18" x14ac:dyDescent="0.25">
      <c r="A88" s="8" t="s">
        <v>16</v>
      </c>
      <c r="B88" s="7" t="s">
        <v>160</v>
      </c>
      <c r="C88" s="4" t="s">
        <v>46</v>
      </c>
      <c r="D88" s="4" t="s">
        <v>161</v>
      </c>
      <c r="E88" s="4">
        <v>87</v>
      </c>
      <c r="F88" s="9">
        <v>46044</v>
      </c>
      <c r="G88" s="9" t="b">
        <v>0</v>
      </c>
      <c r="H88" s="4" t="b">
        <v>0</v>
      </c>
      <c r="I88" s="28" t="s">
        <v>20</v>
      </c>
      <c r="J88" s="4">
        <f t="shared" si="3"/>
        <v>15</v>
      </c>
      <c r="K88" s="4">
        <f ca="1">IF(AND(F88&lt;&gt;"", L88&lt;&gt;""), NETWORKDAYS(TODAY(), L88-1, FESTIVOS!A$1:A$55), "")</f>
        <v>-85</v>
      </c>
      <c r="L88" s="9">
        <f>IF(AND(F88&lt;&gt;"", J88&lt;&gt;""), WORKDAY(F88, J88, FESTIVOS!A$1:A$55), "")</f>
        <v>46065</v>
      </c>
      <c r="M88" s="4" t="s">
        <v>21</v>
      </c>
      <c r="N88" s="4">
        <f t="shared" ca="1" si="4"/>
        <v>0</v>
      </c>
      <c r="O88" s="4" t="str">
        <f t="shared" ca="1" si="5"/>
        <v>Vencido</v>
      </c>
      <c r="P88" s="4" t="s">
        <v>55</v>
      </c>
      <c r="Q88" s="9">
        <v>46036</v>
      </c>
      <c r="R88" s="10">
        <f>IF(OR(Q88="", L88=""), "", NETWORKDAYS(L88, Q88, FESTIVOS!A87:A141))</f>
        <v>-22</v>
      </c>
    </row>
    <row r="89" spans="1:18" x14ac:dyDescent="0.25">
      <c r="A89" s="8" t="s">
        <v>16</v>
      </c>
      <c r="B89" s="7" t="s">
        <v>162</v>
      </c>
      <c r="C89" s="4" t="s">
        <v>46</v>
      </c>
      <c r="D89" s="4" t="s">
        <v>163</v>
      </c>
      <c r="E89" s="4">
        <v>88</v>
      </c>
      <c r="F89" s="9">
        <v>46044</v>
      </c>
      <c r="G89" s="9" t="b">
        <v>0</v>
      </c>
      <c r="H89" s="4" t="b">
        <v>0</v>
      </c>
      <c r="I89" s="28" t="s">
        <v>20</v>
      </c>
      <c r="J89" s="4">
        <f t="shared" si="3"/>
        <v>15</v>
      </c>
      <c r="K89" s="4">
        <f ca="1">IF(AND(F89&lt;&gt;"", L89&lt;&gt;""), NETWORKDAYS(TODAY(), L89-1, FESTIVOS!A$1:A$55), "")</f>
        <v>-85</v>
      </c>
      <c r="L89" s="9">
        <f>IF(AND(F89&lt;&gt;"", J89&lt;&gt;""), WORKDAY(F89, J89, FESTIVOS!A$1:A$55), "")</f>
        <v>46065</v>
      </c>
      <c r="M89" s="4" t="s">
        <v>21</v>
      </c>
      <c r="N89" s="4">
        <f t="shared" ca="1" si="4"/>
        <v>0</v>
      </c>
      <c r="O89" s="4" t="str">
        <f t="shared" ca="1" si="5"/>
        <v>Vencido</v>
      </c>
      <c r="P89" s="4" t="s">
        <v>55</v>
      </c>
      <c r="Q89" s="9">
        <v>46036</v>
      </c>
      <c r="R89" s="10">
        <f>IF(OR(Q89="", L89=""), "", NETWORKDAYS(L89, Q89, FESTIVOS!A88:A142))</f>
        <v>-22</v>
      </c>
    </row>
    <row r="90" spans="1:18" x14ac:dyDescent="0.25">
      <c r="A90" s="8" t="s">
        <v>16</v>
      </c>
      <c r="B90" s="7" t="s">
        <v>164</v>
      </c>
      <c r="C90" s="4" t="s">
        <v>46</v>
      </c>
      <c r="D90" s="4" t="s">
        <v>165</v>
      </c>
      <c r="E90" s="4">
        <v>89</v>
      </c>
      <c r="F90" s="9">
        <v>46044</v>
      </c>
      <c r="G90" s="9" t="b">
        <v>0</v>
      </c>
      <c r="H90" s="4" t="b">
        <v>0</v>
      </c>
      <c r="I90" s="28" t="s">
        <v>66</v>
      </c>
      <c r="J90" s="4">
        <f t="shared" si="3"/>
        <v>15</v>
      </c>
      <c r="K90" s="4">
        <f ca="1">IF(AND(F90&lt;&gt;"", L90&lt;&gt;""), NETWORKDAYS(TODAY(), L90-1, FESTIVOS!A$1:A$55), "")</f>
        <v>-85</v>
      </c>
      <c r="L90" s="9">
        <f>IF(AND(F90&lt;&gt;"", J90&lt;&gt;""), WORKDAY(F90, J90, FESTIVOS!A$1:A$55), "")</f>
        <v>46065</v>
      </c>
      <c r="M90" s="4" t="s">
        <v>21</v>
      </c>
      <c r="N90" s="4">
        <f t="shared" ca="1" si="4"/>
        <v>0</v>
      </c>
      <c r="O90" s="4" t="str">
        <f t="shared" ca="1" si="5"/>
        <v>Vencido</v>
      </c>
      <c r="P90" s="4" t="s">
        <v>55</v>
      </c>
      <c r="Q90" s="9">
        <v>46036</v>
      </c>
      <c r="R90" s="10">
        <f>IF(OR(Q90="", L90=""), "", NETWORKDAYS(L90, Q90, FESTIVOS!A89:A143))</f>
        <v>-22</v>
      </c>
    </row>
    <row r="91" spans="1:18" x14ac:dyDescent="0.25">
      <c r="A91" s="8" t="s">
        <v>16</v>
      </c>
      <c r="B91" s="7" t="s">
        <v>166</v>
      </c>
      <c r="C91" s="4" t="s">
        <v>46</v>
      </c>
      <c r="D91" s="4" t="s">
        <v>167</v>
      </c>
      <c r="E91" s="4">
        <v>90</v>
      </c>
      <c r="F91" s="9">
        <v>46044</v>
      </c>
      <c r="G91" s="9" t="b">
        <v>0</v>
      </c>
      <c r="H91" s="4" t="b">
        <v>0</v>
      </c>
      <c r="I91" s="28" t="s">
        <v>20</v>
      </c>
      <c r="J91" s="4">
        <f t="shared" si="3"/>
        <v>15</v>
      </c>
      <c r="K91" s="4">
        <f ca="1">IF(AND(F91&lt;&gt;"", L91&lt;&gt;""), NETWORKDAYS(TODAY(), L91-1, FESTIVOS!A$1:A$55), "")</f>
        <v>-85</v>
      </c>
      <c r="L91" s="9">
        <f>IF(AND(F91&lt;&gt;"", J91&lt;&gt;""), WORKDAY(F91, J91, FESTIVOS!A$1:A$55), "")</f>
        <v>46065</v>
      </c>
      <c r="M91" s="4" t="s">
        <v>21</v>
      </c>
      <c r="N91" s="4">
        <f t="shared" ca="1" si="4"/>
        <v>0</v>
      </c>
      <c r="O91" s="4" t="str">
        <f t="shared" ca="1" si="5"/>
        <v>Vencido</v>
      </c>
      <c r="P91" s="4" t="s">
        <v>55</v>
      </c>
      <c r="Q91" s="9">
        <v>46036</v>
      </c>
      <c r="R91" s="10">
        <f>IF(OR(Q91="", L91=""), "", NETWORKDAYS(L91, Q91, FESTIVOS!A90:A144))</f>
        <v>-22</v>
      </c>
    </row>
    <row r="92" spans="1:18" x14ac:dyDescent="0.25">
      <c r="A92" s="8" t="s">
        <v>16</v>
      </c>
      <c r="B92" s="7" t="s">
        <v>168</v>
      </c>
      <c r="C92" s="4" t="s">
        <v>46</v>
      </c>
      <c r="D92" s="4" t="s">
        <v>169</v>
      </c>
      <c r="E92" s="4">
        <v>91</v>
      </c>
      <c r="F92" s="9">
        <v>46045</v>
      </c>
      <c r="G92" s="9" t="b">
        <v>0</v>
      </c>
      <c r="H92" s="4" t="b">
        <v>0</v>
      </c>
      <c r="I92" s="28" t="s">
        <v>66</v>
      </c>
      <c r="J92" s="4">
        <f t="shared" si="3"/>
        <v>15</v>
      </c>
      <c r="K92" s="4">
        <f ca="1">IF(AND(F92&lt;&gt;"", L92&lt;&gt;""), NETWORKDAYS(TODAY(), L92-1, FESTIVOS!A$1:A$55), "")</f>
        <v>-84</v>
      </c>
      <c r="L92" s="9">
        <f>IF(AND(F92&lt;&gt;"", J92&lt;&gt;""), WORKDAY(F92, J92, FESTIVOS!A$1:A$55), "")</f>
        <v>46066</v>
      </c>
      <c r="M92" s="4" t="s">
        <v>21</v>
      </c>
      <c r="N92" s="4">
        <f t="shared" ca="1" si="4"/>
        <v>0</v>
      </c>
      <c r="O92" s="4" t="str">
        <f t="shared" ca="1" si="5"/>
        <v>Vencido</v>
      </c>
      <c r="P92" s="4" t="s">
        <v>55</v>
      </c>
      <c r="Q92" s="9">
        <v>46036</v>
      </c>
      <c r="R92" s="10">
        <f>IF(OR(Q92="", L92=""), "", NETWORKDAYS(L92, Q92, FESTIVOS!A91:A145))</f>
        <v>-23</v>
      </c>
    </row>
    <row r="93" spans="1:18" x14ac:dyDescent="0.25">
      <c r="A93" s="8" t="s">
        <v>16</v>
      </c>
      <c r="B93" s="7" t="s">
        <v>170</v>
      </c>
      <c r="C93" s="4" t="s">
        <v>171</v>
      </c>
      <c r="D93" s="4" t="s">
        <v>172</v>
      </c>
      <c r="E93" s="4">
        <v>92</v>
      </c>
      <c r="F93" s="9">
        <v>46045</v>
      </c>
      <c r="G93" s="9" t="b">
        <v>0</v>
      </c>
      <c r="H93" s="4" t="b">
        <v>0</v>
      </c>
      <c r="I93" s="28" t="s">
        <v>80</v>
      </c>
      <c r="J93" s="4">
        <f t="shared" si="3"/>
        <v>15</v>
      </c>
      <c r="K93" s="4">
        <f ca="1">IF(AND(F93&lt;&gt;"", L93&lt;&gt;""), NETWORKDAYS(TODAY(), L93-1, FESTIVOS!A$1:A$55), "")</f>
        <v>-84</v>
      </c>
      <c r="L93" s="9">
        <f>IF(AND(F93&lt;&gt;"", J93&lt;&gt;""), WORKDAY(F93, J93, FESTIVOS!A$1:A$55), "")</f>
        <v>46066</v>
      </c>
      <c r="M93" s="4" t="s">
        <v>21</v>
      </c>
      <c r="N93" s="4">
        <f t="shared" ca="1" si="4"/>
        <v>0</v>
      </c>
      <c r="O93" s="4" t="str">
        <f t="shared" ca="1" si="5"/>
        <v>Vencido</v>
      </c>
      <c r="P93" s="4" t="s">
        <v>55</v>
      </c>
      <c r="Q93" s="9">
        <v>46036</v>
      </c>
      <c r="R93" s="10">
        <f>IF(OR(Q93="", L93=""), "", NETWORKDAYS(L93, Q93, FESTIVOS!A92:A146))</f>
        <v>-23</v>
      </c>
    </row>
    <row r="94" spans="1:18" x14ac:dyDescent="0.25">
      <c r="A94" s="8" t="s">
        <v>16</v>
      </c>
      <c r="B94" s="7" t="s">
        <v>170</v>
      </c>
      <c r="C94" s="4" t="s">
        <v>171</v>
      </c>
      <c r="D94" s="4" t="s">
        <v>172</v>
      </c>
      <c r="E94" s="4">
        <v>93</v>
      </c>
      <c r="F94" s="9">
        <v>46045</v>
      </c>
      <c r="G94" s="9" t="b">
        <v>0</v>
      </c>
      <c r="H94" s="4" t="b">
        <v>0</v>
      </c>
      <c r="I94" s="28" t="s">
        <v>80</v>
      </c>
      <c r="J94" s="4">
        <f t="shared" si="3"/>
        <v>15</v>
      </c>
      <c r="K94" s="4">
        <f ca="1">IF(AND(F94&lt;&gt;"", L94&lt;&gt;""), NETWORKDAYS(TODAY(), L94-1, FESTIVOS!A$1:A$55), "")</f>
        <v>-84</v>
      </c>
      <c r="L94" s="9">
        <f>IF(AND(F94&lt;&gt;"", J94&lt;&gt;""), WORKDAY(F94, J94, FESTIVOS!A$1:A$55), "")</f>
        <v>46066</v>
      </c>
      <c r="M94" s="4" t="s">
        <v>21</v>
      </c>
      <c r="N94" s="4">
        <f t="shared" ca="1" si="4"/>
        <v>0</v>
      </c>
      <c r="O94" s="4" t="str">
        <f t="shared" ca="1" si="5"/>
        <v>Vencido</v>
      </c>
      <c r="P94" s="4" t="s">
        <v>55</v>
      </c>
      <c r="Q94" s="9">
        <v>46036</v>
      </c>
      <c r="R94" s="10">
        <f>IF(OR(Q94="", L94=""), "", NETWORKDAYS(L94, Q94, FESTIVOS!A93:A147))</f>
        <v>-23</v>
      </c>
    </row>
    <row r="95" spans="1:18" x14ac:dyDescent="0.25">
      <c r="A95" s="8" t="s">
        <v>16</v>
      </c>
      <c r="B95" s="7" t="s">
        <v>173</v>
      </c>
      <c r="C95" s="4" t="s">
        <v>46</v>
      </c>
      <c r="D95" s="4" t="s">
        <v>96</v>
      </c>
      <c r="E95" s="4">
        <v>94</v>
      </c>
      <c r="F95" s="9">
        <v>46045</v>
      </c>
      <c r="G95" s="9" t="b">
        <v>0</v>
      </c>
      <c r="H95" s="4" t="b">
        <v>0</v>
      </c>
      <c r="I95" s="28" t="s">
        <v>20</v>
      </c>
      <c r="J95" s="4">
        <f t="shared" si="3"/>
        <v>15</v>
      </c>
      <c r="K95" s="4">
        <f ca="1">IF(AND(F95&lt;&gt;"", L95&lt;&gt;""), NETWORKDAYS(TODAY(), L95-1, FESTIVOS!A$1:A$55), "")</f>
        <v>-84</v>
      </c>
      <c r="L95" s="9">
        <f>IF(AND(F95&lt;&gt;"", J95&lt;&gt;""), WORKDAY(F95, J95, FESTIVOS!A$1:A$55), "")</f>
        <v>46066</v>
      </c>
      <c r="M95" s="4" t="s">
        <v>21</v>
      </c>
      <c r="N95" s="4">
        <f t="shared" ca="1" si="4"/>
        <v>0</v>
      </c>
      <c r="O95" s="4" t="str">
        <f t="shared" ca="1" si="5"/>
        <v>Vencido</v>
      </c>
      <c r="P95" s="4" t="s">
        <v>55</v>
      </c>
      <c r="Q95" s="9">
        <v>46036</v>
      </c>
      <c r="R95" s="10">
        <f>IF(OR(Q95="", L95=""), "", NETWORKDAYS(L95, Q95, FESTIVOS!A94:A148))</f>
        <v>-23</v>
      </c>
    </row>
    <row r="96" spans="1:18" x14ac:dyDescent="0.25">
      <c r="A96" s="8" t="s">
        <v>16</v>
      </c>
      <c r="B96" s="7" t="s">
        <v>174</v>
      </c>
      <c r="C96" s="4" t="s">
        <v>46</v>
      </c>
      <c r="D96" s="4" t="s">
        <v>175</v>
      </c>
      <c r="E96" s="4">
        <v>95</v>
      </c>
      <c r="F96" s="9">
        <v>46045</v>
      </c>
      <c r="G96" s="9" t="b">
        <v>0</v>
      </c>
      <c r="H96" s="4" t="b">
        <v>0</v>
      </c>
      <c r="I96" s="28" t="s">
        <v>80</v>
      </c>
      <c r="J96" s="4">
        <f t="shared" si="3"/>
        <v>15</v>
      </c>
      <c r="K96" s="4">
        <f ca="1">IF(AND(F96&lt;&gt;"", L96&lt;&gt;""), NETWORKDAYS(TODAY(), L96-1, FESTIVOS!A$1:A$55), "")</f>
        <v>-84</v>
      </c>
      <c r="L96" s="9">
        <f>IF(AND(F96&lt;&gt;"", J96&lt;&gt;""), WORKDAY(F96, J96, FESTIVOS!A$1:A$55), "")</f>
        <v>46066</v>
      </c>
      <c r="M96" s="4" t="s">
        <v>21</v>
      </c>
      <c r="N96" s="4">
        <f t="shared" ca="1" si="4"/>
        <v>0</v>
      </c>
      <c r="O96" s="4" t="str">
        <f t="shared" ca="1" si="5"/>
        <v>Vencido</v>
      </c>
      <c r="P96" s="4" t="s">
        <v>55</v>
      </c>
      <c r="Q96" s="9">
        <v>46036</v>
      </c>
      <c r="R96" s="10">
        <f>IF(OR(Q96="", L96=""), "", NETWORKDAYS(L96, Q96, FESTIVOS!A95:A149))</f>
        <v>-23</v>
      </c>
    </row>
    <row r="97" spans="1:18" x14ac:dyDescent="0.25">
      <c r="A97" s="8" t="s">
        <v>16</v>
      </c>
      <c r="B97" s="7" t="s">
        <v>176</v>
      </c>
      <c r="C97" s="4" t="s">
        <v>46</v>
      </c>
      <c r="D97" s="4" t="s">
        <v>177</v>
      </c>
      <c r="E97" s="4">
        <v>96</v>
      </c>
      <c r="F97" s="9">
        <v>46045</v>
      </c>
      <c r="G97" s="9" t="b">
        <v>0</v>
      </c>
      <c r="H97" s="4" t="b">
        <v>0</v>
      </c>
      <c r="I97" s="28" t="s">
        <v>20</v>
      </c>
      <c r="J97" s="4">
        <f t="shared" si="3"/>
        <v>15</v>
      </c>
      <c r="K97" s="4">
        <f ca="1">IF(AND(F97&lt;&gt;"", L97&lt;&gt;""), NETWORKDAYS(TODAY(), L97-1, FESTIVOS!A$1:A$55), "")</f>
        <v>-84</v>
      </c>
      <c r="L97" s="9">
        <f>IF(AND(F97&lt;&gt;"", J97&lt;&gt;""), WORKDAY(F97, J97, FESTIVOS!A$1:A$55), "")</f>
        <v>46066</v>
      </c>
      <c r="M97" s="4" t="s">
        <v>21</v>
      </c>
      <c r="N97" s="4">
        <f t="shared" ca="1" si="4"/>
        <v>0</v>
      </c>
      <c r="O97" s="4" t="str">
        <f t="shared" ca="1" si="5"/>
        <v>Vencido</v>
      </c>
      <c r="P97" s="4" t="s">
        <v>55</v>
      </c>
      <c r="Q97" s="9">
        <v>46036</v>
      </c>
      <c r="R97" s="10">
        <f>IF(OR(Q97="", L97=""), "", NETWORKDAYS(L97, Q97, FESTIVOS!A96:A150))</f>
        <v>-23</v>
      </c>
    </row>
    <row r="98" spans="1:18" x14ac:dyDescent="0.25">
      <c r="A98" s="8" t="s">
        <v>16</v>
      </c>
      <c r="B98" s="7" t="s">
        <v>178</v>
      </c>
      <c r="C98" s="4" t="s">
        <v>179</v>
      </c>
      <c r="D98" s="4" t="s">
        <v>180</v>
      </c>
      <c r="E98" s="4">
        <v>97</v>
      </c>
      <c r="F98" s="9">
        <v>46045</v>
      </c>
      <c r="G98" s="9" t="b">
        <v>0</v>
      </c>
      <c r="H98" s="4" t="b">
        <v>0</v>
      </c>
      <c r="I98" s="28" t="s">
        <v>20</v>
      </c>
      <c r="J98" s="4">
        <f t="shared" si="3"/>
        <v>15</v>
      </c>
      <c r="K98" s="4">
        <f ca="1">IF(AND(F98&lt;&gt;"", L98&lt;&gt;""), NETWORKDAYS(TODAY(), L98-1, FESTIVOS!A$1:A$55), "")</f>
        <v>-84</v>
      </c>
      <c r="L98" s="9">
        <f>IF(AND(F98&lt;&gt;"", J98&lt;&gt;""), WORKDAY(F98, J98, FESTIVOS!A$1:A$55), "")</f>
        <v>46066</v>
      </c>
      <c r="M98" s="4" t="s">
        <v>21</v>
      </c>
      <c r="N98" s="4">
        <f t="shared" ca="1" si="4"/>
        <v>0</v>
      </c>
      <c r="O98" s="4" t="str">
        <f t="shared" ca="1" si="5"/>
        <v>Vencido</v>
      </c>
      <c r="P98" s="4" t="s">
        <v>55</v>
      </c>
      <c r="Q98" s="9">
        <v>46036</v>
      </c>
      <c r="R98" s="10">
        <f>IF(OR(Q98="", L98=""), "", NETWORKDAYS(L98, Q98, FESTIVOS!A97:A151))</f>
        <v>-23</v>
      </c>
    </row>
    <row r="99" spans="1:18" x14ac:dyDescent="0.25">
      <c r="A99" s="8" t="s">
        <v>16</v>
      </c>
      <c r="B99" s="7" t="s">
        <v>181</v>
      </c>
      <c r="C99" s="4" t="s">
        <v>46</v>
      </c>
      <c r="D99" s="4" t="s">
        <v>182</v>
      </c>
      <c r="E99" s="4">
        <v>98</v>
      </c>
      <c r="F99" s="9">
        <v>46048</v>
      </c>
      <c r="G99" s="9" t="b">
        <v>0</v>
      </c>
      <c r="H99" s="4" t="b">
        <v>0</v>
      </c>
      <c r="I99" s="28" t="s">
        <v>80</v>
      </c>
      <c r="J99" s="4">
        <f t="shared" si="3"/>
        <v>15</v>
      </c>
      <c r="K99" s="4">
        <f ca="1">IF(AND(F99&lt;&gt;"", L99&lt;&gt;""), NETWORKDAYS(TODAY(), L99-1, FESTIVOS!A$1:A$55), "")</f>
        <v>-82</v>
      </c>
      <c r="L99" s="9">
        <f>IF(AND(F99&lt;&gt;"", J99&lt;&gt;""), WORKDAY(F99, J99, FESTIVOS!A$1:A$55), "")</f>
        <v>46069</v>
      </c>
      <c r="M99" s="4" t="s">
        <v>21</v>
      </c>
      <c r="N99" s="4">
        <f t="shared" ca="1" si="4"/>
        <v>0</v>
      </c>
      <c r="O99" s="4" t="str">
        <f t="shared" ca="1" si="5"/>
        <v>Vencido</v>
      </c>
      <c r="P99" s="4" t="s">
        <v>55</v>
      </c>
      <c r="Q99" s="9">
        <v>46036</v>
      </c>
      <c r="R99" s="10">
        <f>IF(OR(Q99="", L99=""), "", NETWORKDAYS(L99, Q99, FESTIVOS!A98:A152))</f>
        <v>-24</v>
      </c>
    </row>
    <row r="100" spans="1:18" x14ac:dyDescent="0.25">
      <c r="A100" s="8" t="s">
        <v>16</v>
      </c>
      <c r="B100" s="7" t="s">
        <v>183</v>
      </c>
      <c r="C100" s="4" t="s">
        <v>46</v>
      </c>
      <c r="D100" s="4" t="s">
        <v>184</v>
      </c>
      <c r="E100" s="4">
        <v>99</v>
      </c>
      <c r="F100" s="9">
        <v>46048</v>
      </c>
      <c r="G100" s="9" t="b">
        <v>0</v>
      </c>
      <c r="H100" s="4" t="b">
        <v>0</v>
      </c>
      <c r="I100" s="28" t="s">
        <v>66</v>
      </c>
      <c r="J100" s="4">
        <f t="shared" si="3"/>
        <v>15</v>
      </c>
      <c r="K100" s="4">
        <f ca="1">IF(AND(F100&lt;&gt;"", L100&lt;&gt;""), NETWORKDAYS(TODAY(), L100-1, FESTIVOS!A$1:A$55), "")</f>
        <v>-82</v>
      </c>
      <c r="L100" s="9">
        <f>IF(AND(F100&lt;&gt;"", J100&lt;&gt;""), WORKDAY(F100, J100, FESTIVOS!A$1:A$55), "")</f>
        <v>46069</v>
      </c>
      <c r="M100" s="4" t="s">
        <v>21</v>
      </c>
      <c r="N100" s="4">
        <f t="shared" ca="1" si="4"/>
        <v>0</v>
      </c>
      <c r="O100" s="4" t="str">
        <f t="shared" ca="1" si="5"/>
        <v>Vencido</v>
      </c>
      <c r="P100" s="4" t="s">
        <v>55</v>
      </c>
      <c r="Q100" s="9">
        <v>46036</v>
      </c>
      <c r="R100" s="10">
        <f>IF(OR(Q100="", L100=""), "", NETWORKDAYS(L100, Q100, FESTIVOS!A99:A153))</f>
        <v>-24</v>
      </c>
    </row>
    <row r="101" spans="1:18" x14ac:dyDescent="0.25">
      <c r="A101" s="8" t="s">
        <v>16</v>
      </c>
      <c r="B101" s="7" t="s">
        <v>35</v>
      </c>
      <c r="C101" s="4" t="s">
        <v>90</v>
      </c>
      <c r="D101" s="4" t="s">
        <v>185</v>
      </c>
      <c r="E101" s="4">
        <v>100</v>
      </c>
      <c r="F101" s="9">
        <v>46048</v>
      </c>
      <c r="G101" s="9" t="b">
        <v>0</v>
      </c>
      <c r="H101" s="4" t="b">
        <v>0</v>
      </c>
      <c r="I101" s="28" t="s">
        <v>20</v>
      </c>
      <c r="J101" s="4">
        <f t="shared" si="3"/>
        <v>15</v>
      </c>
      <c r="K101" s="4">
        <f ca="1">IF(AND(F101&lt;&gt;"", L101&lt;&gt;""), NETWORKDAYS(TODAY(), L101-1, FESTIVOS!A$1:A$55), "")</f>
        <v>-82</v>
      </c>
      <c r="L101" s="9">
        <f>IF(AND(F101&lt;&gt;"", J101&lt;&gt;""), WORKDAY(F101, J101, FESTIVOS!A$1:A$55), "")</f>
        <v>46069</v>
      </c>
      <c r="M101" s="4" t="s">
        <v>21</v>
      </c>
      <c r="N101" s="4">
        <f t="shared" ca="1" si="4"/>
        <v>0</v>
      </c>
      <c r="O101" s="4" t="str">
        <f t="shared" ca="1" si="5"/>
        <v>Vencido</v>
      </c>
      <c r="P101" s="4" t="s">
        <v>55</v>
      </c>
      <c r="Q101" s="9">
        <v>46036</v>
      </c>
      <c r="R101" s="10">
        <f>IF(OR(Q101="", L101=""), "", NETWORKDAYS(L101, Q101, FESTIVOS!A100:A154))</f>
        <v>-24</v>
      </c>
    </row>
    <row r="102" spans="1:18" x14ac:dyDescent="0.25">
      <c r="A102" s="8" t="s">
        <v>16</v>
      </c>
      <c r="B102" s="7" t="s">
        <v>68</v>
      </c>
      <c r="C102" s="4" t="s">
        <v>186</v>
      </c>
      <c r="D102" s="4" t="s">
        <v>187</v>
      </c>
      <c r="E102" s="4">
        <v>101</v>
      </c>
      <c r="F102" s="9">
        <v>46048</v>
      </c>
      <c r="G102" s="9" t="b">
        <v>0</v>
      </c>
      <c r="H102" s="4" t="b">
        <v>0</v>
      </c>
      <c r="I102" s="28" t="s">
        <v>20</v>
      </c>
      <c r="J102" s="4">
        <f t="shared" si="3"/>
        <v>15</v>
      </c>
      <c r="K102" s="4">
        <f ca="1">IF(AND(F102&lt;&gt;"", L102&lt;&gt;""), NETWORKDAYS(TODAY(), L102-1, FESTIVOS!A$1:A$55), "")</f>
        <v>-82</v>
      </c>
      <c r="L102" s="9">
        <f>IF(AND(F102&lt;&gt;"", J102&lt;&gt;""), WORKDAY(F102, J102, FESTIVOS!A$1:A$55), "")</f>
        <v>46069</v>
      </c>
      <c r="M102" s="4" t="s">
        <v>21</v>
      </c>
      <c r="N102" s="4">
        <f t="shared" ca="1" si="4"/>
        <v>0</v>
      </c>
      <c r="O102" s="4" t="str">
        <f t="shared" ca="1" si="5"/>
        <v>Vencido</v>
      </c>
      <c r="P102" s="4" t="s">
        <v>55</v>
      </c>
      <c r="Q102" s="9">
        <v>46036</v>
      </c>
      <c r="R102" s="10">
        <f>IF(OR(Q102="", L102=""), "", NETWORKDAYS(L102, Q102, FESTIVOS!A101:A155))</f>
        <v>-24</v>
      </c>
    </row>
    <row r="103" spans="1:18" x14ac:dyDescent="0.25">
      <c r="A103" s="8" t="s">
        <v>16</v>
      </c>
      <c r="B103" s="7" t="s">
        <v>188</v>
      </c>
      <c r="C103" s="4" t="s">
        <v>46</v>
      </c>
      <c r="D103" s="4" t="s">
        <v>189</v>
      </c>
      <c r="E103" s="4">
        <v>102</v>
      </c>
      <c r="F103" s="9">
        <v>46048</v>
      </c>
      <c r="G103" s="9" t="b">
        <v>0</v>
      </c>
      <c r="H103" s="4" t="b">
        <v>0</v>
      </c>
      <c r="I103" s="28" t="s">
        <v>20</v>
      </c>
      <c r="J103" s="4">
        <f t="shared" si="3"/>
        <v>15</v>
      </c>
      <c r="K103" s="4">
        <f ca="1">IF(AND(F103&lt;&gt;"", L103&lt;&gt;""), NETWORKDAYS(TODAY(), L103-1, FESTIVOS!A$1:A$55), "")</f>
        <v>-82</v>
      </c>
      <c r="L103" s="9">
        <f>IF(AND(F103&lt;&gt;"", J103&lt;&gt;""), WORKDAY(F103, J103, FESTIVOS!A$1:A$55), "")</f>
        <v>46069</v>
      </c>
      <c r="M103" s="4" t="s">
        <v>21</v>
      </c>
      <c r="N103" s="4">
        <f t="shared" ca="1" si="4"/>
        <v>0</v>
      </c>
      <c r="O103" s="4" t="str">
        <f t="shared" ca="1" si="5"/>
        <v>Vencido</v>
      </c>
      <c r="P103" s="4" t="s">
        <v>55</v>
      </c>
      <c r="Q103" s="9">
        <v>46036</v>
      </c>
      <c r="R103" s="10">
        <f>IF(OR(Q103="", L103=""), "", NETWORKDAYS(L103, Q103, FESTIVOS!A102:A156))</f>
        <v>-24</v>
      </c>
    </row>
    <row r="104" spans="1:18" x14ac:dyDescent="0.25">
      <c r="A104" s="8" t="s">
        <v>16</v>
      </c>
      <c r="B104" s="7" t="s">
        <v>68</v>
      </c>
      <c r="C104" s="4" t="s">
        <v>46</v>
      </c>
      <c r="D104" s="4" t="s">
        <v>190</v>
      </c>
      <c r="E104" s="4">
        <v>103</v>
      </c>
      <c r="F104" s="9">
        <v>46048</v>
      </c>
      <c r="G104" s="9" t="b">
        <v>0</v>
      </c>
      <c r="H104" s="4" t="b">
        <v>0</v>
      </c>
      <c r="I104" s="28" t="s">
        <v>20</v>
      </c>
      <c r="J104" s="4">
        <f t="shared" si="3"/>
        <v>15</v>
      </c>
      <c r="K104" s="4">
        <f ca="1">IF(AND(F104&lt;&gt;"", L104&lt;&gt;""), NETWORKDAYS(TODAY(), L104-1, FESTIVOS!A$1:A$55), "")</f>
        <v>-82</v>
      </c>
      <c r="L104" s="9">
        <f>IF(AND(F104&lt;&gt;"", J104&lt;&gt;""), WORKDAY(F104, J104, FESTIVOS!A$1:A$55), "")</f>
        <v>46069</v>
      </c>
      <c r="M104" s="4" t="s">
        <v>21</v>
      </c>
      <c r="N104" s="4">
        <f t="shared" ca="1" si="4"/>
        <v>0</v>
      </c>
      <c r="O104" s="4" t="str">
        <f t="shared" ca="1" si="5"/>
        <v>Vencido</v>
      </c>
      <c r="P104" s="4" t="s">
        <v>55</v>
      </c>
      <c r="Q104" s="9">
        <v>46036</v>
      </c>
      <c r="R104" s="10">
        <f>IF(OR(Q104="", L104=""), "", NETWORKDAYS(L104, Q104, FESTIVOS!A103:A157))</f>
        <v>-24</v>
      </c>
    </row>
    <row r="105" spans="1:18" x14ac:dyDescent="0.25">
      <c r="A105" s="8" t="s">
        <v>16</v>
      </c>
      <c r="B105" s="7" t="s">
        <v>191</v>
      </c>
      <c r="C105" s="4" t="s">
        <v>46</v>
      </c>
      <c r="D105" s="4" t="s">
        <v>39</v>
      </c>
      <c r="E105" s="4">
        <v>104</v>
      </c>
      <c r="F105" s="9">
        <v>46049</v>
      </c>
      <c r="G105" s="9" t="b">
        <v>0</v>
      </c>
      <c r="H105" s="4" t="b">
        <v>0</v>
      </c>
      <c r="I105" s="28" t="s">
        <v>20</v>
      </c>
      <c r="J105" s="4">
        <f t="shared" si="3"/>
        <v>15</v>
      </c>
      <c r="K105" s="4">
        <f ca="1">IF(AND(F105&lt;&gt;"", L105&lt;&gt;""), NETWORKDAYS(TODAY(), L105-1, FESTIVOS!A$1:A$55), "")</f>
        <v>-82</v>
      </c>
      <c r="L105" s="9">
        <f>IF(AND(F105&lt;&gt;"", J105&lt;&gt;""), WORKDAY(F105, J105, FESTIVOS!A$1:A$55), "")</f>
        <v>46070</v>
      </c>
      <c r="M105" s="4" t="s">
        <v>21</v>
      </c>
      <c r="N105" s="4">
        <f t="shared" ca="1" si="4"/>
        <v>0</v>
      </c>
      <c r="O105" s="4" t="str">
        <f t="shared" ca="1" si="5"/>
        <v>Vencido</v>
      </c>
      <c r="P105" s="4" t="s">
        <v>55</v>
      </c>
      <c r="Q105" s="9">
        <v>46036</v>
      </c>
      <c r="R105" s="10">
        <f>IF(OR(Q105="", L105=""), "", NETWORKDAYS(L105, Q105, FESTIVOS!A104:A158))</f>
        <v>-25</v>
      </c>
    </row>
    <row r="106" spans="1:18" x14ac:dyDescent="0.25">
      <c r="A106" s="8" t="s">
        <v>16</v>
      </c>
      <c r="B106" s="7" t="s">
        <v>192</v>
      </c>
      <c r="C106" s="4" t="s">
        <v>46</v>
      </c>
      <c r="D106" s="4" t="s">
        <v>193</v>
      </c>
      <c r="E106" s="4">
        <v>105</v>
      </c>
      <c r="F106" s="9">
        <v>46049</v>
      </c>
      <c r="G106" s="9" t="b">
        <v>0</v>
      </c>
      <c r="H106" s="4" t="b">
        <v>0</v>
      </c>
      <c r="I106" s="28" t="s">
        <v>66</v>
      </c>
      <c r="J106" s="4">
        <f t="shared" si="3"/>
        <v>15</v>
      </c>
      <c r="K106" s="4">
        <f ca="1">IF(AND(F106&lt;&gt;"", L106&lt;&gt;""), NETWORKDAYS(TODAY(), L106-1, FESTIVOS!A$1:A$55), "")</f>
        <v>-82</v>
      </c>
      <c r="L106" s="9">
        <f>IF(AND(F106&lt;&gt;"", J106&lt;&gt;""), WORKDAY(F106, J106, FESTIVOS!A$1:A$55), "")</f>
        <v>46070</v>
      </c>
      <c r="M106" s="4" t="s">
        <v>21</v>
      </c>
      <c r="N106" s="4">
        <f t="shared" ca="1" si="4"/>
        <v>0</v>
      </c>
      <c r="O106" s="4" t="str">
        <f t="shared" ca="1" si="5"/>
        <v>Vencido</v>
      </c>
      <c r="P106" s="4" t="s">
        <v>55</v>
      </c>
      <c r="Q106" s="9">
        <v>46036</v>
      </c>
      <c r="R106" s="10">
        <f>IF(OR(Q106="", L106=""), "", NETWORKDAYS(L106, Q106, FESTIVOS!A105:A159))</f>
        <v>-25</v>
      </c>
    </row>
    <row r="107" spans="1:18" x14ac:dyDescent="0.25">
      <c r="A107" s="8" t="s">
        <v>16</v>
      </c>
      <c r="B107" s="7" t="s">
        <v>83</v>
      </c>
      <c r="C107" s="4" t="s">
        <v>46</v>
      </c>
      <c r="D107" s="4" t="s">
        <v>85</v>
      </c>
      <c r="E107" s="4">
        <v>106</v>
      </c>
      <c r="F107" s="9">
        <v>46049</v>
      </c>
      <c r="G107" s="9" t="b">
        <v>0</v>
      </c>
      <c r="H107" s="4" t="b">
        <v>0</v>
      </c>
      <c r="I107" s="28" t="s">
        <v>20</v>
      </c>
      <c r="J107" s="4">
        <f t="shared" si="3"/>
        <v>15</v>
      </c>
      <c r="K107" s="4">
        <f ca="1">IF(AND(F107&lt;&gt;"", L107&lt;&gt;""), NETWORKDAYS(TODAY(), L107-1, FESTIVOS!A$1:A$55), "")</f>
        <v>-82</v>
      </c>
      <c r="L107" s="9">
        <f>IF(AND(F107&lt;&gt;"", J107&lt;&gt;""), WORKDAY(F107, J107, FESTIVOS!A$1:A$55), "")</f>
        <v>46070</v>
      </c>
      <c r="M107" s="4" t="s">
        <v>21</v>
      </c>
      <c r="N107" s="4">
        <f t="shared" ca="1" si="4"/>
        <v>0</v>
      </c>
      <c r="O107" s="4" t="str">
        <f t="shared" ca="1" si="5"/>
        <v>Vencido</v>
      </c>
      <c r="P107" s="4" t="s">
        <v>55</v>
      </c>
      <c r="Q107" s="9">
        <v>46036</v>
      </c>
      <c r="R107" s="10">
        <f>IF(OR(Q107="", L107=""), "", NETWORKDAYS(L107, Q107, FESTIVOS!A106:A160))</f>
        <v>-25</v>
      </c>
    </row>
    <row r="108" spans="1:18" x14ac:dyDescent="0.25">
      <c r="A108" s="8" t="s">
        <v>16</v>
      </c>
      <c r="B108" s="7" t="s">
        <v>83</v>
      </c>
      <c r="C108" s="4" t="s">
        <v>46</v>
      </c>
      <c r="D108" s="4" t="s">
        <v>85</v>
      </c>
      <c r="E108" s="4">
        <v>107</v>
      </c>
      <c r="F108" s="9">
        <v>46049</v>
      </c>
      <c r="G108" s="9" t="b">
        <v>0</v>
      </c>
      <c r="H108" s="4" t="b">
        <v>0</v>
      </c>
      <c r="I108" s="28" t="s">
        <v>20</v>
      </c>
      <c r="J108" s="4">
        <f t="shared" si="3"/>
        <v>15</v>
      </c>
      <c r="K108" s="4">
        <f ca="1">IF(AND(F108&lt;&gt;"", L108&lt;&gt;""), NETWORKDAYS(TODAY(), L108-1, FESTIVOS!A$1:A$55), "")</f>
        <v>-82</v>
      </c>
      <c r="L108" s="9">
        <f>IF(AND(F108&lt;&gt;"", J108&lt;&gt;""), WORKDAY(F108, J108, FESTIVOS!A$1:A$55), "")</f>
        <v>46070</v>
      </c>
      <c r="M108" s="4" t="s">
        <v>21</v>
      </c>
      <c r="N108" s="4">
        <f t="shared" ca="1" si="4"/>
        <v>0</v>
      </c>
      <c r="O108" s="4" t="str">
        <f t="shared" ca="1" si="5"/>
        <v>Vencido</v>
      </c>
      <c r="P108" s="4" t="s">
        <v>55</v>
      </c>
      <c r="Q108" s="9">
        <v>46036</v>
      </c>
      <c r="R108" s="10">
        <f>IF(OR(Q108="", L108=""), "", NETWORKDAYS(L108, Q108, FESTIVOS!A107:A161))</f>
        <v>-25</v>
      </c>
    </row>
    <row r="109" spans="1:18" x14ac:dyDescent="0.25">
      <c r="A109" s="8" t="s">
        <v>16</v>
      </c>
      <c r="B109" s="7" t="s">
        <v>83</v>
      </c>
      <c r="C109" s="4" t="s">
        <v>46</v>
      </c>
      <c r="D109" s="4" t="s">
        <v>85</v>
      </c>
      <c r="E109" s="4">
        <v>108</v>
      </c>
      <c r="F109" s="9">
        <v>46049</v>
      </c>
      <c r="G109" s="9" t="b">
        <v>0</v>
      </c>
      <c r="H109" s="4" t="b">
        <v>0</v>
      </c>
      <c r="I109" s="28" t="s">
        <v>20</v>
      </c>
      <c r="J109" s="4">
        <f t="shared" si="3"/>
        <v>15</v>
      </c>
      <c r="K109" s="4">
        <f ca="1">IF(AND(F109&lt;&gt;"", L109&lt;&gt;""), NETWORKDAYS(TODAY(), L109-1, FESTIVOS!A$1:A$55), "")</f>
        <v>-82</v>
      </c>
      <c r="L109" s="9">
        <f>IF(AND(F109&lt;&gt;"", J109&lt;&gt;""), WORKDAY(F109, J109, FESTIVOS!A$1:A$55), "")</f>
        <v>46070</v>
      </c>
      <c r="M109" s="4" t="s">
        <v>21</v>
      </c>
      <c r="N109" s="4">
        <f t="shared" ca="1" si="4"/>
        <v>0</v>
      </c>
      <c r="O109" s="4" t="str">
        <f t="shared" ca="1" si="5"/>
        <v>Vencido</v>
      </c>
      <c r="P109" s="4" t="s">
        <v>55</v>
      </c>
      <c r="Q109" s="9">
        <v>46036</v>
      </c>
      <c r="R109" s="10">
        <f>IF(OR(Q109="", L109=""), "", NETWORKDAYS(L109, Q109, FESTIVOS!A108:A162))</f>
        <v>-25</v>
      </c>
    </row>
    <row r="110" spans="1:18" x14ac:dyDescent="0.25">
      <c r="A110" s="8" t="s">
        <v>16</v>
      </c>
      <c r="B110" s="7" t="s">
        <v>83</v>
      </c>
      <c r="C110" s="4" t="s">
        <v>46</v>
      </c>
      <c r="D110" s="4" t="s">
        <v>85</v>
      </c>
      <c r="E110" s="4">
        <v>109</v>
      </c>
      <c r="F110" s="9">
        <v>46049</v>
      </c>
      <c r="G110" s="9" t="b">
        <v>0</v>
      </c>
      <c r="H110" s="4" t="b">
        <v>0</v>
      </c>
      <c r="I110" s="28" t="s">
        <v>20</v>
      </c>
      <c r="J110" s="4">
        <f t="shared" si="3"/>
        <v>15</v>
      </c>
      <c r="K110" s="4">
        <f ca="1">IF(AND(F110&lt;&gt;"", L110&lt;&gt;""), NETWORKDAYS(TODAY(), L110-1, FESTIVOS!A$1:A$55), "")</f>
        <v>-82</v>
      </c>
      <c r="L110" s="9">
        <f>IF(AND(F110&lt;&gt;"", J110&lt;&gt;""), WORKDAY(F110, J110, FESTIVOS!A$1:A$55), "")</f>
        <v>46070</v>
      </c>
      <c r="M110" s="4" t="s">
        <v>21</v>
      </c>
      <c r="N110" s="4">
        <f t="shared" ca="1" si="4"/>
        <v>0</v>
      </c>
      <c r="O110" s="4" t="str">
        <f t="shared" ca="1" si="5"/>
        <v>Vencido</v>
      </c>
      <c r="P110" s="4" t="s">
        <v>55</v>
      </c>
      <c r="Q110" s="9">
        <v>46036</v>
      </c>
      <c r="R110" s="10">
        <f>IF(OR(Q110="", L110=""), "", NETWORKDAYS(L110, Q110, FESTIVOS!A109:A163))</f>
        <v>-25</v>
      </c>
    </row>
    <row r="111" spans="1:18" x14ac:dyDescent="0.25">
      <c r="A111" s="8" t="s">
        <v>16</v>
      </c>
      <c r="B111" s="7" t="s">
        <v>83</v>
      </c>
      <c r="C111" s="4" t="s">
        <v>46</v>
      </c>
      <c r="D111" s="4" t="s">
        <v>85</v>
      </c>
      <c r="E111" s="4">
        <v>110</v>
      </c>
      <c r="F111" s="9">
        <v>46049</v>
      </c>
      <c r="G111" s="9" t="b">
        <v>0</v>
      </c>
      <c r="H111" s="4" t="b">
        <v>0</v>
      </c>
      <c r="I111" s="28" t="s">
        <v>20</v>
      </c>
      <c r="J111" s="4">
        <f t="shared" si="3"/>
        <v>15</v>
      </c>
      <c r="K111" s="4">
        <f ca="1">IF(AND(F111&lt;&gt;"", L111&lt;&gt;""), NETWORKDAYS(TODAY(), L111-1, FESTIVOS!A$1:A$55), "")</f>
        <v>-82</v>
      </c>
      <c r="L111" s="9">
        <f>IF(AND(F111&lt;&gt;"", J111&lt;&gt;""), WORKDAY(F111, J111, FESTIVOS!A$1:A$55), "")</f>
        <v>46070</v>
      </c>
      <c r="M111" s="4" t="s">
        <v>21</v>
      </c>
      <c r="N111" s="4">
        <f t="shared" ca="1" si="4"/>
        <v>0</v>
      </c>
      <c r="O111" s="4" t="str">
        <f t="shared" ca="1" si="5"/>
        <v>Vencido</v>
      </c>
      <c r="P111" s="4" t="s">
        <v>55</v>
      </c>
      <c r="Q111" s="9">
        <v>46036</v>
      </c>
      <c r="R111" s="10">
        <f>IF(OR(Q111="", L111=""), "", NETWORKDAYS(L111, Q111, FESTIVOS!A110:A164))</f>
        <v>-25</v>
      </c>
    </row>
    <row r="112" spans="1:18" x14ac:dyDescent="0.25">
      <c r="A112" s="8" t="s">
        <v>16</v>
      </c>
      <c r="B112" s="7" t="s">
        <v>83</v>
      </c>
      <c r="C112" s="4" t="s">
        <v>46</v>
      </c>
      <c r="D112" s="4" t="s">
        <v>85</v>
      </c>
      <c r="E112" s="4">
        <v>111</v>
      </c>
      <c r="F112" s="9">
        <v>46049</v>
      </c>
      <c r="G112" s="9" t="b">
        <v>0</v>
      </c>
      <c r="H112" s="4" t="b">
        <v>0</v>
      </c>
      <c r="I112" s="28" t="s">
        <v>20</v>
      </c>
      <c r="J112" s="4">
        <f t="shared" si="3"/>
        <v>15</v>
      </c>
      <c r="K112" s="4">
        <f ca="1">IF(AND(F112&lt;&gt;"", L112&lt;&gt;""), NETWORKDAYS(TODAY(), L112-1, FESTIVOS!A$1:A$55), "")</f>
        <v>-82</v>
      </c>
      <c r="L112" s="9">
        <f>IF(AND(F112&lt;&gt;"", J112&lt;&gt;""), WORKDAY(F112, J112, FESTIVOS!A$1:A$55), "")</f>
        <v>46070</v>
      </c>
      <c r="M112" s="4" t="s">
        <v>21</v>
      </c>
      <c r="N112" s="4">
        <f t="shared" ca="1" si="4"/>
        <v>0</v>
      </c>
      <c r="O112" s="4" t="str">
        <f t="shared" ca="1" si="5"/>
        <v>Vencido</v>
      </c>
      <c r="P112" s="4" t="s">
        <v>55</v>
      </c>
      <c r="Q112" s="9">
        <v>46036</v>
      </c>
      <c r="R112" s="10">
        <f>IF(OR(Q112="", L112=""), "", NETWORKDAYS(L112, Q112, FESTIVOS!A111:A165))</f>
        <v>-25</v>
      </c>
    </row>
    <row r="113" spans="1:18" x14ac:dyDescent="0.25">
      <c r="A113" s="8" t="s">
        <v>16</v>
      </c>
      <c r="B113" s="7" t="s">
        <v>83</v>
      </c>
      <c r="C113" s="4" t="s">
        <v>46</v>
      </c>
      <c r="D113" s="4" t="s">
        <v>85</v>
      </c>
      <c r="E113" s="4">
        <v>112</v>
      </c>
      <c r="F113" s="9">
        <v>46049</v>
      </c>
      <c r="G113" s="9" t="b">
        <v>0</v>
      </c>
      <c r="H113" s="4" t="b">
        <v>0</v>
      </c>
      <c r="I113" s="28" t="s">
        <v>20</v>
      </c>
      <c r="J113" s="4">
        <f t="shared" si="3"/>
        <v>15</v>
      </c>
      <c r="K113" s="4">
        <f ca="1">IF(AND(F113&lt;&gt;"", L113&lt;&gt;""), NETWORKDAYS(TODAY(), L113-1, FESTIVOS!A$1:A$55), "")</f>
        <v>-82</v>
      </c>
      <c r="L113" s="9">
        <f>IF(AND(F113&lt;&gt;"", J113&lt;&gt;""), WORKDAY(F113, J113, FESTIVOS!A$1:A$55), "")</f>
        <v>46070</v>
      </c>
      <c r="M113" s="4" t="s">
        <v>21</v>
      </c>
      <c r="N113" s="4">
        <f t="shared" ca="1" si="4"/>
        <v>0</v>
      </c>
      <c r="O113" s="4" t="str">
        <f t="shared" ca="1" si="5"/>
        <v>Vencido</v>
      </c>
      <c r="P113" s="4" t="s">
        <v>55</v>
      </c>
      <c r="Q113" s="9">
        <v>46036</v>
      </c>
      <c r="R113" s="10">
        <f>IF(OR(Q113="", L113=""), "", NETWORKDAYS(L113, Q113, FESTIVOS!A112:A166))</f>
        <v>-25</v>
      </c>
    </row>
    <row r="114" spans="1:18" x14ac:dyDescent="0.25">
      <c r="A114" s="8" t="s">
        <v>16</v>
      </c>
      <c r="B114" s="7" t="s">
        <v>83</v>
      </c>
      <c r="C114" s="4" t="s">
        <v>46</v>
      </c>
      <c r="D114" s="4" t="s">
        <v>85</v>
      </c>
      <c r="E114" s="4">
        <v>113</v>
      </c>
      <c r="F114" s="9">
        <v>46049</v>
      </c>
      <c r="G114" s="9" t="b">
        <v>0</v>
      </c>
      <c r="H114" s="4" t="b">
        <v>0</v>
      </c>
      <c r="I114" s="28" t="s">
        <v>20</v>
      </c>
      <c r="J114" s="4">
        <f t="shared" si="3"/>
        <v>15</v>
      </c>
      <c r="K114" s="4">
        <f ca="1">IF(AND(F114&lt;&gt;"", L114&lt;&gt;""), NETWORKDAYS(TODAY(), L114-1, FESTIVOS!A$1:A$55), "")</f>
        <v>-82</v>
      </c>
      <c r="L114" s="9">
        <f>IF(AND(F114&lt;&gt;"", J114&lt;&gt;""), WORKDAY(F114, J114, FESTIVOS!A$1:A$55), "")</f>
        <v>46070</v>
      </c>
      <c r="M114" s="4" t="s">
        <v>21</v>
      </c>
      <c r="N114" s="4">
        <f t="shared" ca="1" si="4"/>
        <v>0</v>
      </c>
      <c r="O114" s="4" t="str">
        <f t="shared" ca="1" si="5"/>
        <v>Vencido</v>
      </c>
      <c r="P114" s="4" t="s">
        <v>55</v>
      </c>
      <c r="Q114" s="9">
        <v>46036</v>
      </c>
      <c r="R114" s="10">
        <f>IF(OR(Q114="", L114=""), "", NETWORKDAYS(L114, Q114, FESTIVOS!A113:A167))</f>
        <v>-25</v>
      </c>
    </row>
    <row r="115" spans="1:18" x14ac:dyDescent="0.25">
      <c r="A115" s="8" t="s">
        <v>16</v>
      </c>
      <c r="B115" s="7" t="s">
        <v>83</v>
      </c>
      <c r="C115" s="4" t="s">
        <v>46</v>
      </c>
      <c r="D115" s="4" t="s">
        <v>85</v>
      </c>
      <c r="E115" s="4">
        <v>114</v>
      </c>
      <c r="F115" s="9">
        <v>46049</v>
      </c>
      <c r="G115" s="9" t="b">
        <v>0</v>
      </c>
      <c r="H115" s="4" t="b">
        <v>0</v>
      </c>
      <c r="I115" s="28" t="s">
        <v>20</v>
      </c>
      <c r="J115" s="4">
        <f t="shared" si="3"/>
        <v>15</v>
      </c>
      <c r="K115" s="4">
        <f ca="1">IF(AND(F115&lt;&gt;"", L115&lt;&gt;""), NETWORKDAYS(TODAY(), L115-1, FESTIVOS!A$1:A$55), "")</f>
        <v>-82</v>
      </c>
      <c r="L115" s="9">
        <f>IF(AND(F115&lt;&gt;"", J115&lt;&gt;""), WORKDAY(F115, J115, FESTIVOS!A$1:A$55), "")</f>
        <v>46070</v>
      </c>
      <c r="M115" s="4" t="s">
        <v>21</v>
      </c>
      <c r="N115" s="4">
        <f t="shared" ca="1" si="4"/>
        <v>0</v>
      </c>
      <c r="O115" s="4" t="str">
        <f t="shared" ca="1" si="5"/>
        <v>Vencido</v>
      </c>
      <c r="P115" s="4" t="s">
        <v>55</v>
      </c>
      <c r="Q115" s="9">
        <v>46036</v>
      </c>
      <c r="R115" s="10">
        <f>IF(OR(Q115="", L115=""), "", NETWORKDAYS(L115, Q115, FESTIVOS!A114:A168))</f>
        <v>-25</v>
      </c>
    </row>
    <row r="116" spans="1:18" x14ac:dyDescent="0.25">
      <c r="A116" s="8" t="s">
        <v>16</v>
      </c>
      <c r="B116" s="7" t="s">
        <v>83</v>
      </c>
      <c r="C116" s="4" t="s">
        <v>46</v>
      </c>
      <c r="D116" s="4" t="s">
        <v>85</v>
      </c>
      <c r="E116" s="4">
        <v>115</v>
      </c>
      <c r="F116" s="9">
        <v>46049</v>
      </c>
      <c r="G116" s="9" t="b">
        <v>0</v>
      </c>
      <c r="H116" s="4" t="b">
        <v>0</v>
      </c>
      <c r="I116" s="28" t="s">
        <v>20</v>
      </c>
      <c r="J116" s="4">
        <f t="shared" si="3"/>
        <v>15</v>
      </c>
      <c r="K116" s="4">
        <f ca="1">IF(AND(F116&lt;&gt;"", L116&lt;&gt;""), NETWORKDAYS(TODAY(), L116-1, FESTIVOS!A$1:A$55), "")</f>
        <v>-82</v>
      </c>
      <c r="L116" s="9">
        <f>IF(AND(F116&lt;&gt;"", J116&lt;&gt;""), WORKDAY(F116, J116, FESTIVOS!A$1:A$55), "")</f>
        <v>46070</v>
      </c>
      <c r="M116" s="4" t="s">
        <v>21</v>
      </c>
      <c r="N116" s="4">
        <f t="shared" ca="1" si="4"/>
        <v>0</v>
      </c>
      <c r="O116" s="4" t="str">
        <f t="shared" ca="1" si="5"/>
        <v>Vencido</v>
      </c>
      <c r="P116" s="4" t="s">
        <v>55</v>
      </c>
      <c r="Q116" s="9">
        <v>46036</v>
      </c>
      <c r="R116" s="10">
        <f>IF(OR(Q116="", L116=""), "", NETWORKDAYS(L116, Q116, FESTIVOS!A115:A169))</f>
        <v>-25</v>
      </c>
    </row>
    <row r="117" spans="1:18" x14ac:dyDescent="0.25">
      <c r="A117" s="8" t="s">
        <v>16</v>
      </c>
      <c r="B117" s="7" t="s">
        <v>194</v>
      </c>
      <c r="C117" s="4" t="s">
        <v>46</v>
      </c>
      <c r="D117" s="4" t="s">
        <v>195</v>
      </c>
      <c r="E117" s="4">
        <v>116</v>
      </c>
      <c r="F117" s="9">
        <v>46049</v>
      </c>
      <c r="G117" s="9" t="b">
        <v>0</v>
      </c>
      <c r="H117" s="4" t="b">
        <v>0</v>
      </c>
      <c r="I117" s="28" t="s">
        <v>20</v>
      </c>
      <c r="J117" s="4">
        <f t="shared" si="3"/>
        <v>15</v>
      </c>
      <c r="K117" s="4">
        <f ca="1">IF(AND(F117&lt;&gt;"", L117&lt;&gt;""), NETWORKDAYS(TODAY(), L117-1, FESTIVOS!A$1:A$55), "")</f>
        <v>-82</v>
      </c>
      <c r="L117" s="9">
        <f>IF(AND(F117&lt;&gt;"", J117&lt;&gt;""), WORKDAY(F117, J117, FESTIVOS!A$1:A$55), "")</f>
        <v>46070</v>
      </c>
      <c r="M117" s="4" t="s">
        <v>21</v>
      </c>
      <c r="N117" s="4">
        <f t="shared" ca="1" si="4"/>
        <v>0</v>
      </c>
      <c r="O117" s="4" t="str">
        <f t="shared" ca="1" si="5"/>
        <v>Vencido</v>
      </c>
      <c r="P117" s="4" t="s">
        <v>55</v>
      </c>
      <c r="Q117" s="9">
        <v>46036</v>
      </c>
      <c r="R117" s="10">
        <f>IF(OR(Q117="", L117=""), "", NETWORKDAYS(L117, Q117, FESTIVOS!A116:A170))</f>
        <v>-25</v>
      </c>
    </row>
    <row r="118" spans="1:18" x14ac:dyDescent="0.25">
      <c r="A118" s="8" t="s">
        <v>16</v>
      </c>
      <c r="B118" s="7" t="s">
        <v>196</v>
      </c>
      <c r="C118" s="4" t="s">
        <v>46</v>
      </c>
      <c r="D118" s="4" t="s">
        <v>197</v>
      </c>
      <c r="E118" s="4">
        <v>117</v>
      </c>
      <c r="F118" s="9">
        <v>46049</v>
      </c>
      <c r="G118" s="9" t="b">
        <v>0</v>
      </c>
      <c r="H118" s="4" t="b">
        <v>0</v>
      </c>
      <c r="I118" s="28" t="s">
        <v>20</v>
      </c>
      <c r="J118" s="4">
        <f t="shared" si="3"/>
        <v>15</v>
      </c>
      <c r="K118" s="4">
        <f ca="1">IF(AND(F118&lt;&gt;"", L118&lt;&gt;""), NETWORKDAYS(TODAY(), L118-1, FESTIVOS!A$1:A$55), "")</f>
        <v>-82</v>
      </c>
      <c r="L118" s="9">
        <f>IF(AND(F118&lt;&gt;"", J118&lt;&gt;""), WORKDAY(F118, J118, FESTIVOS!A$1:A$55), "")</f>
        <v>46070</v>
      </c>
      <c r="M118" s="4" t="s">
        <v>21</v>
      </c>
      <c r="N118" s="4">
        <f t="shared" ca="1" si="4"/>
        <v>0</v>
      </c>
      <c r="O118" s="4" t="str">
        <f t="shared" ca="1" si="5"/>
        <v>Vencido</v>
      </c>
      <c r="P118" s="4" t="s">
        <v>55</v>
      </c>
      <c r="Q118" s="9">
        <v>46036</v>
      </c>
      <c r="R118" s="10">
        <f>IF(OR(Q118="", L118=""), "", NETWORKDAYS(L118, Q118, FESTIVOS!A117:A171))</f>
        <v>-25</v>
      </c>
    </row>
    <row r="119" spans="1:18" x14ac:dyDescent="0.25">
      <c r="A119" s="8" t="s">
        <v>16</v>
      </c>
      <c r="B119" s="7" t="s">
        <v>198</v>
      </c>
      <c r="C119" s="4" t="s">
        <v>46</v>
      </c>
      <c r="D119" s="4" t="s">
        <v>26</v>
      </c>
      <c r="E119" s="4">
        <v>118</v>
      </c>
      <c r="F119" s="9">
        <v>46049</v>
      </c>
      <c r="G119" s="9" t="b">
        <v>0</v>
      </c>
      <c r="H119" s="4" t="b">
        <v>0</v>
      </c>
      <c r="I119" s="28" t="s">
        <v>20</v>
      </c>
      <c r="J119" s="4">
        <f t="shared" si="3"/>
        <v>15</v>
      </c>
      <c r="K119" s="4">
        <f ca="1">IF(AND(F119&lt;&gt;"", L119&lt;&gt;""), NETWORKDAYS(TODAY(), L119-1, FESTIVOS!A$1:A$55), "")</f>
        <v>-82</v>
      </c>
      <c r="L119" s="9">
        <f>IF(AND(F119&lt;&gt;"", J119&lt;&gt;""), WORKDAY(F119, J119, FESTIVOS!A$1:A$55), "")</f>
        <v>46070</v>
      </c>
      <c r="M119" s="4" t="s">
        <v>21</v>
      </c>
      <c r="N119" s="4">
        <f t="shared" ca="1" si="4"/>
        <v>0</v>
      </c>
      <c r="O119" s="4" t="str">
        <f t="shared" ca="1" si="5"/>
        <v>Vencido</v>
      </c>
      <c r="P119" s="4" t="s">
        <v>55</v>
      </c>
      <c r="Q119" s="9">
        <v>46036</v>
      </c>
      <c r="R119" s="10">
        <f>IF(OR(Q119="", L119=""), "", NETWORKDAYS(L119, Q119, FESTIVOS!A118:A172))</f>
        <v>-25</v>
      </c>
    </row>
    <row r="120" spans="1:18" x14ac:dyDescent="0.25">
      <c r="A120" s="8" t="s">
        <v>16</v>
      </c>
      <c r="B120" s="7" t="s">
        <v>199</v>
      </c>
      <c r="C120" s="4" t="s">
        <v>46</v>
      </c>
      <c r="D120" s="4" t="s">
        <v>200</v>
      </c>
      <c r="E120" s="4">
        <v>119</v>
      </c>
      <c r="F120" s="9">
        <v>46049</v>
      </c>
      <c r="G120" s="9" t="b">
        <v>0</v>
      </c>
      <c r="H120" s="4" t="b">
        <v>0</v>
      </c>
      <c r="I120" s="28" t="s">
        <v>20</v>
      </c>
      <c r="J120" s="4">
        <f t="shared" si="3"/>
        <v>15</v>
      </c>
      <c r="K120" s="4">
        <f ca="1">IF(AND(F120&lt;&gt;"", L120&lt;&gt;""), NETWORKDAYS(TODAY(), L120-1, FESTIVOS!A$1:A$55), "")</f>
        <v>-82</v>
      </c>
      <c r="L120" s="9">
        <f>IF(AND(F120&lt;&gt;"", J120&lt;&gt;""), WORKDAY(F120, J120, FESTIVOS!A$1:A$55), "")</f>
        <v>46070</v>
      </c>
      <c r="M120" s="4" t="s">
        <v>21</v>
      </c>
      <c r="N120" s="4">
        <f t="shared" ca="1" si="4"/>
        <v>0</v>
      </c>
      <c r="O120" s="4" t="str">
        <f t="shared" ca="1" si="5"/>
        <v>Vencido</v>
      </c>
      <c r="P120" s="4" t="s">
        <v>55</v>
      </c>
      <c r="Q120" s="9">
        <v>46036</v>
      </c>
      <c r="R120" s="10">
        <f>IF(OR(Q120="", L120=""), "", NETWORKDAYS(L120, Q120, FESTIVOS!A119:A173))</f>
        <v>-25</v>
      </c>
    </row>
    <row r="121" spans="1:18" x14ac:dyDescent="0.25">
      <c r="A121" s="8" t="s">
        <v>16</v>
      </c>
      <c r="B121" s="7" t="s">
        <v>148</v>
      </c>
      <c r="C121" s="4" t="s">
        <v>46</v>
      </c>
      <c r="D121" s="4" t="s">
        <v>98</v>
      </c>
      <c r="E121" s="4">
        <v>120</v>
      </c>
      <c r="F121" s="9">
        <v>46049</v>
      </c>
      <c r="G121" s="9" t="b">
        <v>0</v>
      </c>
      <c r="H121" s="4" t="b">
        <v>0</v>
      </c>
      <c r="I121" s="28" t="s">
        <v>20</v>
      </c>
      <c r="J121" s="4">
        <f t="shared" si="3"/>
        <v>15</v>
      </c>
      <c r="K121" s="4">
        <f ca="1">IF(AND(F121&lt;&gt;"", L121&lt;&gt;""), NETWORKDAYS(TODAY(), L121-1, FESTIVOS!A$1:A$55), "")</f>
        <v>-82</v>
      </c>
      <c r="L121" s="9">
        <f>IF(AND(F121&lt;&gt;"", J121&lt;&gt;""), WORKDAY(F121, J121, FESTIVOS!A$1:A$55), "")</f>
        <v>46070</v>
      </c>
      <c r="M121" s="4" t="s">
        <v>21</v>
      </c>
      <c r="N121" s="4">
        <f t="shared" ca="1" si="4"/>
        <v>0</v>
      </c>
      <c r="O121" s="4" t="str">
        <f t="shared" ca="1" si="5"/>
        <v>Vencido</v>
      </c>
      <c r="P121" s="4" t="s">
        <v>55</v>
      </c>
      <c r="Q121" s="9">
        <v>46036</v>
      </c>
      <c r="R121" s="10">
        <f>IF(OR(Q121="", L121=""), "", NETWORKDAYS(L121, Q121, FESTIVOS!A120:A174))</f>
        <v>-25</v>
      </c>
    </row>
    <row r="122" spans="1:18" x14ac:dyDescent="0.25">
      <c r="A122" s="8" t="s">
        <v>16</v>
      </c>
      <c r="B122" s="7" t="s">
        <v>201</v>
      </c>
      <c r="C122" s="4" t="s">
        <v>46</v>
      </c>
      <c r="D122" s="4" t="s">
        <v>202</v>
      </c>
      <c r="E122" s="4">
        <v>121</v>
      </c>
      <c r="F122" s="9">
        <v>46049</v>
      </c>
      <c r="G122" s="9" t="b">
        <v>0</v>
      </c>
      <c r="H122" s="4" t="b">
        <v>0</v>
      </c>
      <c r="I122" s="28" t="s">
        <v>20</v>
      </c>
      <c r="J122" s="4">
        <f t="shared" si="3"/>
        <v>15</v>
      </c>
      <c r="K122" s="4">
        <f ca="1">IF(AND(F122&lt;&gt;"", L122&lt;&gt;""), NETWORKDAYS(TODAY(), L122-1, FESTIVOS!A$1:A$55), "")</f>
        <v>-82</v>
      </c>
      <c r="L122" s="9">
        <f>IF(AND(F122&lt;&gt;"", J122&lt;&gt;""), WORKDAY(F122, J122, FESTIVOS!A$1:A$55), "")</f>
        <v>46070</v>
      </c>
      <c r="M122" s="4" t="s">
        <v>21</v>
      </c>
      <c r="N122" s="4">
        <f t="shared" ca="1" si="4"/>
        <v>0</v>
      </c>
      <c r="O122" s="4" t="str">
        <f t="shared" ca="1" si="5"/>
        <v>Vencido</v>
      </c>
      <c r="P122" s="4" t="s">
        <v>55</v>
      </c>
      <c r="Q122" s="9">
        <v>46036</v>
      </c>
      <c r="R122" s="10">
        <f>IF(OR(Q122="", L122=""), "", NETWORKDAYS(L122, Q122, FESTIVOS!A121:A175))</f>
        <v>-25</v>
      </c>
    </row>
    <row r="123" spans="1:18" x14ac:dyDescent="0.25">
      <c r="A123" s="8" t="s">
        <v>16</v>
      </c>
      <c r="B123" s="7" t="s">
        <v>203</v>
      </c>
      <c r="C123" s="4" t="s">
        <v>46</v>
      </c>
      <c r="D123" s="4" t="s">
        <v>202</v>
      </c>
      <c r="E123" s="4">
        <v>122</v>
      </c>
      <c r="F123" s="9">
        <v>46049</v>
      </c>
      <c r="G123" s="9" t="b">
        <v>0</v>
      </c>
      <c r="H123" s="4" t="b">
        <v>0</v>
      </c>
      <c r="I123" s="28" t="s">
        <v>20</v>
      </c>
      <c r="J123" s="4">
        <f t="shared" si="3"/>
        <v>15</v>
      </c>
      <c r="K123" s="4">
        <f ca="1">IF(AND(F123&lt;&gt;"", L123&lt;&gt;""), NETWORKDAYS(TODAY(), L123-1, FESTIVOS!A$1:A$55), "")</f>
        <v>-82</v>
      </c>
      <c r="L123" s="9">
        <f>IF(AND(F123&lt;&gt;"", J123&lt;&gt;""), WORKDAY(F123, J123, FESTIVOS!A$1:A$55), "")</f>
        <v>46070</v>
      </c>
      <c r="M123" s="4" t="s">
        <v>21</v>
      </c>
      <c r="N123" s="4">
        <f t="shared" ca="1" si="4"/>
        <v>0</v>
      </c>
      <c r="O123" s="4" t="str">
        <f t="shared" ca="1" si="5"/>
        <v>Vencido</v>
      </c>
      <c r="P123" s="4" t="s">
        <v>55</v>
      </c>
      <c r="Q123" s="9">
        <v>46036</v>
      </c>
      <c r="R123" s="10">
        <f>IF(OR(Q123="", L123=""), "", NETWORKDAYS(L123, Q123, FESTIVOS!A122:A176))</f>
        <v>-25</v>
      </c>
    </row>
    <row r="124" spans="1:18" x14ac:dyDescent="0.25">
      <c r="A124" s="8" t="s">
        <v>16</v>
      </c>
      <c r="B124" s="7" t="s">
        <v>204</v>
      </c>
      <c r="C124" s="4" t="s">
        <v>46</v>
      </c>
      <c r="D124" s="4" t="s">
        <v>205</v>
      </c>
      <c r="E124" s="4">
        <v>123</v>
      </c>
      <c r="F124" s="9">
        <v>46050</v>
      </c>
      <c r="G124" s="9" t="b">
        <v>0</v>
      </c>
      <c r="H124" s="4" t="b">
        <v>0</v>
      </c>
      <c r="I124" s="28" t="s">
        <v>20</v>
      </c>
      <c r="J124" s="4">
        <f t="shared" si="3"/>
        <v>15</v>
      </c>
      <c r="K124" s="4">
        <f ca="1">IF(AND(F124&lt;&gt;"", L124&lt;&gt;""), NETWORKDAYS(TODAY(), L124-1, FESTIVOS!A$1:A$55), "")</f>
        <v>-81</v>
      </c>
      <c r="L124" s="9">
        <f>IF(AND(F124&lt;&gt;"", J124&lt;&gt;""), WORKDAY(F124, J124, FESTIVOS!A$1:A$55), "")</f>
        <v>46071</v>
      </c>
      <c r="M124" s="4" t="s">
        <v>21</v>
      </c>
      <c r="N124" s="4">
        <f t="shared" ca="1" si="4"/>
        <v>0</v>
      </c>
      <c r="O124" s="4" t="str">
        <f t="shared" ca="1" si="5"/>
        <v>Vencido</v>
      </c>
      <c r="P124" s="4" t="s">
        <v>55</v>
      </c>
      <c r="Q124" s="9">
        <v>46036</v>
      </c>
      <c r="R124" s="10">
        <f>IF(OR(Q124="", L124=""), "", NETWORKDAYS(L124, Q124, FESTIVOS!A123:A177))</f>
        <v>-26</v>
      </c>
    </row>
    <row r="125" spans="1:18" x14ac:dyDescent="0.25">
      <c r="A125" s="8" t="s">
        <v>16</v>
      </c>
      <c r="B125" s="7" t="s">
        <v>206</v>
      </c>
      <c r="C125" s="4" t="s">
        <v>46</v>
      </c>
      <c r="D125" s="4" t="s">
        <v>207</v>
      </c>
      <c r="E125" s="4">
        <v>124</v>
      </c>
      <c r="F125" s="9">
        <v>46050</v>
      </c>
      <c r="G125" s="9" t="b">
        <v>0</v>
      </c>
      <c r="H125" s="4" t="b">
        <v>0</v>
      </c>
      <c r="I125" s="28" t="s">
        <v>66</v>
      </c>
      <c r="J125" s="4">
        <f t="shared" si="3"/>
        <v>15</v>
      </c>
      <c r="K125" s="4">
        <f ca="1">IF(AND(F125&lt;&gt;"", L125&lt;&gt;""), NETWORKDAYS(TODAY(), L125-1, FESTIVOS!A$1:A$55), "")</f>
        <v>-81</v>
      </c>
      <c r="L125" s="9">
        <f>IF(AND(F125&lt;&gt;"", J125&lt;&gt;""), WORKDAY(F125, J125, FESTIVOS!A$1:A$55), "")</f>
        <v>46071</v>
      </c>
      <c r="M125" s="4" t="s">
        <v>21</v>
      </c>
      <c r="N125" s="4">
        <f t="shared" ca="1" si="4"/>
        <v>0</v>
      </c>
      <c r="O125" s="4" t="str">
        <f t="shared" ca="1" si="5"/>
        <v>Vencido</v>
      </c>
      <c r="P125" s="4" t="s">
        <v>55</v>
      </c>
      <c r="Q125" s="9">
        <v>46036</v>
      </c>
      <c r="R125" s="10">
        <f>IF(OR(Q125="", L125=""), "", NETWORKDAYS(L125, Q125, FESTIVOS!A124:A178))</f>
        <v>-26</v>
      </c>
    </row>
    <row r="126" spans="1:18" x14ac:dyDescent="0.25">
      <c r="A126" s="8" t="s">
        <v>16</v>
      </c>
      <c r="B126" s="7" t="s">
        <v>208</v>
      </c>
      <c r="C126" s="4" t="s">
        <v>209</v>
      </c>
      <c r="D126" s="4" t="s">
        <v>210</v>
      </c>
      <c r="E126" s="4">
        <v>125</v>
      </c>
      <c r="F126" s="9">
        <v>46051</v>
      </c>
      <c r="G126" s="9" t="b">
        <v>0</v>
      </c>
      <c r="H126" s="4" t="b">
        <v>0</v>
      </c>
      <c r="I126" s="28" t="s">
        <v>80</v>
      </c>
      <c r="J126" s="4">
        <f t="shared" si="3"/>
        <v>15</v>
      </c>
      <c r="K126" s="4">
        <f ca="1">IF(AND(F126&lt;&gt;"", L126&lt;&gt;""), NETWORKDAYS(TODAY(), L126-1, FESTIVOS!A$1:A$55), "")</f>
        <v>-80</v>
      </c>
      <c r="L126" s="9">
        <f>IF(AND(F126&lt;&gt;"", J126&lt;&gt;""), WORKDAY(F126, J126, FESTIVOS!A$1:A$55), "")</f>
        <v>46072</v>
      </c>
      <c r="M126" s="4" t="s">
        <v>21</v>
      </c>
      <c r="N126" s="4">
        <f t="shared" ca="1" si="4"/>
        <v>0</v>
      </c>
      <c r="O126" s="4" t="str">
        <f t="shared" ca="1" si="5"/>
        <v>Vencido</v>
      </c>
      <c r="P126" s="4" t="s">
        <v>211</v>
      </c>
      <c r="Q126" s="9">
        <v>46062</v>
      </c>
      <c r="R126" s="10">
        <f>IF(OR(Q126="", L126=""), "", NETWORKDAYS(L126, Q126, FESTIVOS!A125:A179))</f>
        <v>-9</v>
      </c>
    </row>
    <row r="127" spans="1:18" x14ac:dyDescent="0.25">
      <c r="A127" s="8" t="s">
        <v>16</v>
      </c>
      <c r="B127" s="7" t="s">
        <v>212</v>
      </c>
      <c r="C127" s="4" t="s">
        <v>46</v>
      </c>
      <c r="D127" s="4" t="s">
        <v>213</v>
      </c>
      <c r="E127" s="4">
        <v>126</v>
      </c>
      <c r="F127" s="9">
        <v>46051</v>
      </c>
      <c r="G127" s="9" t="b">
        <v>0</v>
      </c>
      <c r="H127" s="4" t="b">
        <v>0</v>
      </c>
      <c r="I127" s="28" t="s">
        <v>20</v>
      </c>
      <c r="J127" s="4">
        <f t="shared" si="3"/>
        <v>15</v>
      </c>
      <c r="K127" s="4">
        <f ca="1">IF(AND(F127&lt;&gt;"", L127&lt;&gt;""), NETWORKDAYS(TODAY(), L127-1, FESTIVOS!A$1:A$55), "")</f>
        <v>-80</v>
      </c>
      <c r="L127" s="9">
        <f>IF(AND(F127&lt;&gt;"", J127&lt;&gt;""), WORKDAY(F127, J127, FESTIVOS!A$1:A$55), "")</f>
        <v>46072</v>
      </c>
      <c r="M127" s="4" t="s">
        <v>21</v>
      </c>
      <c r="N127" s="4">
        <f t="shared" ca="1" si="4"/>
        <v>0</v>
      </c>
      <c r="O127" s="4" t="str">
        <f t="shared" ca="1" si="5"/>
        <v>Vencido</v>
      </c>
      <c r="P127" s="4" t="s">
        <v>55</v>
      </c>
      <c r="Q127" s="9">
        <v>46036</v>
      </c>
      <c r="R127" s="10">
        <f>IF(OR(Q127="", L127=""), "", NETWORKDAYS(L127, Q127, FESTIVOS!A126:A180))</f>
        <v>-27</v>
      </c>
    </row>
    <row r="128" spans="1:18" x14ac:dyDescent="0.25">
      <c r="A128" s="8" t="s">
        <v>16</v>
      </c>
      <c r="B128" s="7" t="s">
        <v>214</v>
      </c>
      <c r="C128" s="4" t="s">
        <v>46</v>
      </c>
      <c r="D128" s="4" t="s">
        <v>213</v>
      </c>
      <c r="E128" s="4">
        <v>127</v>
      </c>
      <c r="F128" s="9">
        <v>46051</v>
      </c>
      <c r="G128" s="9" t="b">
        <v>0</v>
      </c>
      <c r="H128" s="4" t="b">
        <v>0</v>
      </c>
      <c r="I128" s="28" t="s">
        <v>20</v>
      </c>
      <c r="J128" s="4">
        <f t="shared" si="3"/>
        <v>15</v>
      </c>
      <c r="K128" s="4">
        <f ca="1">IF(AND(F128&lt;&gt;"", L128&lt;&gt;""), NETWORKDAYS(TODAY(), L128-1, FESTIVOS!A$1:A$55), "")</f>
        <v>-80</v>
      </c>
      <c r="L128" s="9">
        <f>IF(AND(F128&lt;&gt;"", J128&lt;&gt;""), WORKDAY(F128, J128, FESTIVOS!A$1:A$55), "")</f>
        <v>46072</v>
      </c>
      <c r="M128" s="4" t="s">
        <v>21</v>
      </c>
      <c r="N128" s="4">
        <f t="shared" ca="1" si="4"/>
        <v>0</v>
      </c>
      <c r="O128" s="4" t="str">
        <f t="shared" ca="1" si="5"/>
        <v>Vencido</v>
      </c>
      <c r="P128" s="4" t="s">
        <v>55</v>
      </c>
      <c r="Q128" s="9">
        <v>46036</v>
      </c>
      <c r="R128" s="10">
        <f>IF(OR(Q128="", L128=""), "", NETWORKDAYS(L128, Q128, FESTIVOS!A127:A181))</f>
        <v>-27</v>
      </c>
    </row>
    <row r="129" spans="1:18" x14ac:dyDescent="0.25">
      <c r="A129" s="8" t="s">
        <v>16</v>
      </c>
      <c r="B129" s="7" t="s">
        <v>215</v>
      </c>
      <c r="C129" s="4" t="s">
        <v>46</v>
      </c>
      <c r="D129" s="4" t="s">
        <v>213</v>
      </c>
      <c r="E129" s="4">
        <v>128</v>
      </c>
      <c r="F129" s="9">
        <v>46051</v>
      </c>
      <c r="G129" s="9" t="b">
        <v>0</v>
      </c>
      <c r="H129" s="4" t="b">
        <v>0</v>
      </c>
      <c r="I129" s="28" t="s">
        <v>20</v>
      </c>
      <c r="J129" s="4">
        <f t="shared" si="3"/>
        <v>15</v>
      </c>
      <c r="K129" s="4">
        <f ca="1">IF(AND(F129&lt;&gt;"", L129&lt;&gt;""), NETWORKDAYS(TODAY(), L129-1, FESTIVOS!A$1:A$55), "")</f>
        <v>-80</v>
      </c>
      <c r="L129" s="9">
        <f>IF(AND(F129&lt;&gt;"", J129&lt;&gt;""), WORKDAY(F129, J129, FESTIVOS!A$1:A$55), "")</f>
        <v>46072</v>
      </c>
      <c r="M129" s="4" t="s">
        <v>21</v>
      </c>
      <c r="N129" s="4">
        <f t="shared" ca="1" si="4"/>
        <v>0</v>
      </c>
      <c r="O129" s="4" t="str">
        <f t="shared" ca="1" si="5"/>
        <v>Vencido</v>
      </c>
      <c r="P129" s="4" t="s">
        <v>55</v>
      </c>
      <c r="Q129" s="9">
        <v>46036</v>
      </c>
      <c r="R129" s="10">
        <f>IF(OR(Q129="", L129=""), "", NETWORKDAYS(L129, Q129, FESTIVOS!A128:A182))</f>
        <v>-27</v>
      </c>
    </row>
    <row r="130" spans="1:18" x14ac:dyDescent="0.25">
      <c r="A130" s="8" t="s">
        <v>16</v>
      </c>
      <c r="B130" s="7" t="s">
        <v>128</v>
      </c>
      <c r="C130" s="4" t="s">
        <v>46</v>
      </c>
      <c r="D130" s="4" t="s">
        <v>216</v>
      </c>
      <c r="E130" s="4">
        <v>129</v>
      </c>
      <c r="F130" s="9">
        <v>46051</v>
      </c>
      <c r="G130" s="9" t="b">
        <v>0</v>
      </c>
      <c r="H130" s="4" t="b">
        <v>0</v>
      </c>
      <c r="I130" s="28" t="s">
        <v>80</v>
      </c>
      <c r="J130" s="4">
        <f t="shared" ref="J130:J193" si="6">IF(A130="INFORMACIÓN O DOCUMENTOS", 10, IF(A130="CONSULTA", 30, IF(A130="FACTURACIÓN Y COBROS", 15, IF(A130="VINCULACIÓN Y DESVINCULACIÓN", 15, IF(A130="NO ES DE NUESTRA COMPETENCIA", 5, IF(A130="OTRO", 15, ""))))))</f>
        <v>15</v>
      </c>
      <c r="K130" s="4">
        <f ca="1">IF(AND(F130&lt;&gt;"", L130&lt;&gt;""), NETWORKDAYS(TODAY(), L130-1, FESTIVOS!A$1:A$55), "")</f>
        <v>-80</v>
      </c>
      <c r="L130" s="9">
        <f>IF(AND(F130&lt;&gt;"", J130&lt;&gt;""), WORKDAY(F130, J130, FESTIVOS!A$1:A$55), "")</f>
        <v>46072</v>
      </c>
      <c r="M130" s="4" t="s">
        <v>21</v>
      </c>
      <c r="N130" s="4">
        <f t="shared" ref="N130:N193" ca="1" si="7">IF(K130="", "", MAX(0, K130 - (TODAY() - TODAY())))</f>
        <v>0</v>
      </c>
      <c r="O130" s="4" t="str">
        <f t="shared" ref="O130:O193" ca="1" si="8">IF(OR(K130="", J130=""), "", IF(K130&lt;0, "Vencido", IF(K130&gt;(J130/2), "Supere la mitad", "Bajo la mitad")))</f>
        <v>Vencido</v>
      </c>
      <c r="P130" s="4" t="s">
        <v>55</v>
      </c>
      <c r="Q130" s="9">
        <v>46036</v>
      </c>
      <c r="R130" s="10">
        <f>IF(OR(Q130="", L130=""), "", NETWORKDAYS(L130, Q130, FESTIVOS!A129:A183))</f>
        <v>-27</v>
      </c>
    </row>
    <row r="131" spans="1:18" x14ac:dyDescent="0.25">
      <c r="A131" s="8" t="s">
        <v>16</v>
      </c>
      <c r="B131" s="7" t="s">
        <v>217</v>
      </c>
      <c r="C131" s="4" t="s">
        <v>60</v>
      </c>
      <c r="D131" s="4" t="s">
        <v>218</v>
      </c>
      <c r="E131" s="4">
        <v>130</v>
      </c>
      <c r="F131" s="9">
        <v>46051</v>
      </c>
      <c r="G131" s="9" t="b">
        <v>0</v>
      </c>
      <c r="H131" s="4" t="b">
        <v>0</v>
      </c>
      <c r="I131" s="28" t="s">
        <v>219</v>
      </c>
      <c r="J131" s="4">
        <f t="shared" si="6"/>
        <v>15</v>
      </c>
      <c r="K131" s="4">
        <f ca="1">IF(AND(F131&lt;&gt;"", L131&lt;&gt;""), NETWORKDAYS(TODAY(), L131-1, FESTIVOS!A$1:A$55), "")</f>
        <v>-80</v>
      </c>
      <c r="L131" s="9">
        <f>IF(AND(F131&lt;&gt;"", J131&lt;&gt;""), WORKDAY(F131, J131, FESTIVOS!A$1:A$55), "")</f>
        <v>46072</v>
      </c>
      <c r="M131" s="4" t="s">
        <v>21</v>
      </c>
      <c r="N131" s="4">
        <f t="shared" ca="1" si="7"/>
        <v>0</v>
      </c>
      <c r="O131" s="4" t="str">
        <f t="shared" ca="1" si="8"/>
        <v>Vencido</v>
      </c>
      <c r="P131" s="4" t="s">
        <v>55</v>
      </c>
      <c r="Q131" s="9">
        <v>46036</v>
      </c>
      <c r="R131" s="10">
        <f>IF(OR(Q131="", L131=""), "", NETWORKDAYS(L131, Q131, FESTIVOS!A130:A184))</f>
        <v>-27</v>
      </c>
    </row>
    <row r="132" spans="1:18" x14ac:dyDescent="0.25">
      <c r="A132" s="8" t="s">
        <v>16</v>
      </c>
      <c r="B132" s="7" t="s">
        <v>220</v>
      </c>
      <c r="C132" s="4" t="s">
        <v>46</v>
      </c>
      <c r="D132" s="4" t="s">
        <v>221</v>
      </c>
      <c r="E132" s="4">
        <v>131</v>
      </c>
      <c r="F132" s="9">
        <v>46051</v>
      </c>
      <c r="G132" s="9" t="b">
        <v>0</v>
      </c>
      <c r="H132" s="4" t="b">
        <v>0</v>
      </c>
      <c r="I132" s="28" t="s">
        <v>20</v>
      </c>
      <c r="J132" s="4">
        <f t="shared" si="6"/>
        <v>15</v>
      </c>
      <c r="K132" s="4">
        <f ca="1">IF(AND(F132&lt;&gt;"", L132&lt;&gt;""), NETWORKDAYS(TODAY(), L132-1, FESTIVOS!A$1:A$55), "")</f>
        <v>-80</v>
      </c>
      <c r="L132" s="9">
        <f>IF(AND(F132&lt;&gt;"", J132&lt;&gt;""), WORKDAY(F132, J132, FESTIVOS!A$1:A$55), "")</f>
        <v>46072</v>
      </c>
      <c r="M132" s="4" t="s">
        <v>21</v>
      </c>
      <c r="N132" s="4">
        <f t="shared" ca="1" si="7"/>
        <v>0</v>
      </c>
      <c r="O132" s="4" t="str">
        <f t="shared" ca="1" si="8"/>
        <v>Vencido</v>
      </c>
      <c r="P132" s="4" t="s">
        <v>55</v>
      </c>
      <c r="Q132" s="9">
        <v>46036</v>
      </c>
      <c r="R132" s="10">
        <f>IF(OR(Q132="", L132=""), "", NETWORKDAYS(L132, Q132, FESTIVOS!A131:A185))</f>
        <v>-27</v>
      </c>
    </row>
    <row r="133" spans="1:18" x14ac:dyDescent="0.25">
      <c r="A133" s="8" t="s">
        <v>16</v>
      </c>
      <c r="B133" s="7" t="s">
        <v>222</v>
      </c>
      <c r="C133" s="4" t="s">
        <v>46</v>
      </c>
      <c r="D133" s="4" t="s">
        <v>116</v>
      </c>
      <c r="E133" s="4">
        <v>132</v>
      </c>
      <c r="F133" s="9">
        <v>46051</v>
      </c>
      <c r="G133" s="9" t="b">
        <v>0</v>
      </c>
      <c r="H133" s="4" t="b">
        <v>0</v>
      </c>
      <c r="I133" s="28" t="s">
        <v>20</v>
      </c>
      <c r="J133" s="4">
        <f t="shared" si="6"/>
        <v>15</v>
      </c>
      <c r="K133" s="4">
        <f ca="1">IF(AND(F133&lt;&gt;"", L133&lt;&gt;""), NETWORKDAYS(TODAY(), L133-1, FESTIVOS!A$1:A$55), "")</f>
        <v>-80</v>
      </c>
      <c r="L133" s="9">
        <f>IF(AND(F133&lt;&gt;"", J133&lt;&gt;""), WORKDAY(F133, J133, FESTIVOS!A$1:A$55), "")</f>
        <v>46072</v>
      </c>
      <c r="M133" s="4" t="s">
        <v>21</v>
      </c>
      <c r="N133" s="4">
        <f t="shared" ca="1" si="7"/>
        <v>0</v>
      </c>
      <c r="O133" s="4" t="str">
        <f t="shared" ca="1" si="8"/>
        <v>Vencido</v>
      </c>
      <c r="P133" s="4" t="s">
        <v>55</v>
      </c>
      <c r="Q133" s="9">
        <v>46036</v>
      </c>
      <c r="R133" s="10">
        <f>IF(OR(Q133="", L133=""), "", NETWORKDAYS(L133, Q133, FESTIVOS!A132:A186))</f>
        <v>-27</v>
      </c>
    </row>
    <row r="134" spans="1:18" x14ac:dyDescent="0.25">
      <c r="A134" s="8" t="s">
        <v>16</v>
      </c>
      <c r="B134" s="7" t="s">
        <v>223</v>
      </c>
      <c r="C134" s="4" t="s">
        <v>46</v>
      </c>
      <c r="D134" s="4" t="s">
        <v>224</v>
      </c>
      <c r="E134" s="4">
        <v>133</v>
      </c>
      <c r="F134" s="9">
        <v>46051</v>
      </c>
      <c r="G134" s="9" t="b">
        <v>0</v>
      </c>
      <c r="H134" s="4" t="b">
        <v>0</v>
      </c>
      <c r="I134" s="28" t="s">
        <v>66</v>
      </c>
      <c r="J134" s="4">
        <f t="shared" si="6"/>
        <v>15</v>
      </c>
      <c r="K134" s="4">
        <f ca="1">IF(AND(F134&lt;&gt;"", L134&lt;&gt;""), NETWORKDAYS(TODAY(), L134-1, FESTIVOS!A$1:A$55), "")</f>
        <v>-80</v>
      </c>
      <c r="L134" s="9">
        <f>IF(AND(F134&lt;&gt;"", J134&lt;&gt;""), WORKDAY(F134, J134, FESTIVOS!A$1:A$55), "")</f>
        <v>46072</v>
      </c>
      <c r="M134" s="4" t="s">
        <v>21</v>
      </c>
      <c r="N134" s="4">
        <f t="shared" ca="1" si="7"/>
        <v>0</v>
      </c>
      <c r="O134" s="4" t="str">
        <f t="shared" ca="1" si="8"/>
        <v>Vencido</v>
      </c>
      <c r="P134" s="4" t="s">
        <v>55</v>
      </c>
      <c r="Q134" s="9">
        <v>46036</v>
      </c>
      <c r="R134" s="10">
        <f>IF(OR(Q134="", L134=""), "", NETWORKDAYS(L134, Q134, FESTIVOS!A133:A187))</f>
        <v>-27</v>
      </c>
    </row>
    <row r="135" spans="1:18" x14ac:dyDescent="0.25">
      <c r="A135" s="8" t="s">
        <v>16</v>
      </c>
      <c r="B135" s="7" t="s">
        <v>225</v>
      </c>
      <c r="C135" s="4" t="s">
        <v>46</v>
      </c>
      <c r="D135" s="4" t="s">
        <v>226</v>
      </c>
      <c r="E135" s="4">
        <v>134</v>
      </c>
      <c r="F135" s="9">
        <v>46051</v>
      </c>
      <c r="G135" s="9" t="b">
        <v>0</v>
      </c>
      <c r="H135" s="4" t="b">
        <v>0</v>
      </c>
      <c r="I135" s="28" t="s">
        <v>20</v>
      </c>
      <c r="J135" s="4">
        <f t="shared" si="6"/>
        <v>15</v>
      </c>
      <c r="K135" s="4">
        <f ca="1">IF(AND(F135&lt;&gt;"", L135&lt;&gt;""), NETWORKDAYS(TODAY(), L135-1, FESTIVOS!A$1:A$55), "")</f>
        <v>-80</v>
      </c>
      <c r="L135" s="9">
        <f>IF(AND(F135&lt;&gt;"", J135&lt;&gt;""), WORKDAY(F135, J135, FESTIVOS!A$1:A$55), "")</f>
        <v>46072</v>
      </c>
      <c r="M135" s="4" t="s">
        <v>21</v>
      </c>
      <c r="N135" s="4">
        <f t="shared" ca="1" si="7"/>
        <v>0</v>
      </c>
      <c r="O135" s="4" t="str">
        <f t="shared" ca="1" si="8"/>
        <v>Vencido</v>
      </c>
      <c r="P135" s="4" t="s">
        <v>55</v>
      </c>
      <c r="Q135" s="9">
        <v>46036</v>
      </c>
      <c r="R135" s="10">
        <f>IF(OR(Q135="", L135=""), "", NETWORKDAYS(L135, Q135, FESTIVOS!A134:A188))</f>
        <v>-27</v>
      </c>
    </row>
    <row r="136" spans="1:18" x14ac:dyDescent="0.25">
      <c r="A136" s="8" t="s">
        <v>16</v>
      </c>
      <c r="B136" s="7" t="s">
        <v>128</v>
      </c>
      <c r="C136" s="4" t="s">
        <v>46</v>
      </c>
      <c r="D136" s="4" t="s">
        <v>227</v>
      </c>
      <c r="E136" s="4">
        <v>135</v>
      </c>
      <c r="F136" s="9">
        <v>46052</v>
      </c>
      <c r="G136" s="9" t="b">
        <v>0</v>
      </c>
      <c r="H136" s="4" t="b">
        <v>0</v>
      </c>
      <c r="I136" s="28" t="s">
        <v>80</v>
      </c>
      <c r="J136" s="4">
        <f t="shared" si="6"/>
        <v>15</v>
      </c>
      <c r="K136" s="4">
        <f ca="1">IF(AND(F136&lt;&gt;"", L136&lt;&gt;""), NETWORKDAYS(TODAY(), L136-1, FESTIVOS!A$1:A$55), "")</f>
        <v>-79</v>
      </c>
      <c r="L136" s="9">
        <f>IF(AND(F136&lt;&gt;"", J136&lt;&gt;""), WORKDAY(F136, J136, FESTIVOS!A$1:A$55), "")</f>
        <v>46073</v>
      </c>
      <c r="M136" s="4" t="s">
        <v>21</v>
      </c>
      <c r="N136" s="4">
        <f t="shared" ca="1" si="7"/>
        <v>0</v>
      </c>
      <c r="O136" s="4" t="str">
        <f t="shared" ca="1" si="8"/>
        <v>Vencido</v>
      </c>
      <c r="P136" s="4" t="s">
        <v>55</v>
      </c>
      <c r="Q136" s="9">
        <v>46036</v>
      </c>
      <c r="R136" s="10">
        <f>IF(OR(Q136="", L136=""), "", NETWORKDAYS(L136, Q136, FESTIVOS!A135:A189))</f>
        <v>-28</v>
      </c>
    </row>
    <row r="137" spans="1:18" x14ac:dyDescent="0.25">
      <c r="A137" s="8" t="s">
        <v>16</v>
      </c>
      <c r="B137" s="7" t="s">
        <v>228</v>
      </c>
      <c r="C137" s="4" t="s">
        <v>46</v>
      </c>
      <c r="D137" s="4" t="s">
        <v>229</v>
      </c>
      <c r="E137" s="4">
        <v>136</v>
      </c>
      <c r="F137" s="9">
        <v>46052</v>
      </c>
      <c r="G137" s="9" t="b">
        <v>0</v>
      </c>
      <c r="H137" s="4" t="b">
        <v>0</v>
      </c>
      <c r="I137" s="28" t="s">
        <v>20</v>
      </c>
      <c r="J137" s="4">
        <f t="shared" si="6"/>
        <v>15</v>
      </c>
      <c r="K137" s="4">
        <f ca="1">IF(AND(F137&lt;&gt;"", L137&lt;&gt;""), NETWORKDAYS(TODAY(), L137-1, FESTIVOS!A$1:A$55), "")</f>
        <v>-79</v>
      </c>
      <c r="L137" s="9">
        <f>IF(AND(F137&lt;&gt;"", J137&lt;&gt;""), WORKDAY(F137, J137, FESTIVOS!A$1:A$55), "")</f>
        <v>46073</v>
      </c>
      <c r="M137" s="4" t="s">
        <v>21</v>
      </c>
      <c r="N137" s="4">
        <f t="shared" ca="1" si="7"/>
        <v>0</v>
      </c>
      <c r="O137" s="4" t="str">
        <f t="shared" ca="1" si="8"/>
        <v>Vencido</v>
      </c>
      <c r="P137" s="4" t="s">
        <v>55</v>
      </c>
      <c r="Q137" s="9">
        <v>46036</v>
      </c>
      <c r="R137" s="10">
        <f>IF(OR(Q137="", L137=""), "", NETWORKDAYS(L137, Q137, FESTIVOS!A136:A190))</f>
        <v>-28</v>
      </c>
    </row>
    <row r="138" spans="1:18" x14ac:dyDescent="0.25">
      <c r="A138" s="8" t="s">
        <v>16</v>
      </c>
      <c r="B138" s="7" t="s">
        <v>230</v>
      </c>
      <c r="C138" s="4" t="s">
        <v>46</v>
      </c>
      <c r="D138" s="4" t="s">
        <v>135</v>
      </c>
      <c r="E138" s="4">
        <v>137</v>
      </c>
      <c r="F138" s="9">
        <v>46052</v>
      </c>
      <c r="G138" s="9" t="b">
        <v>0</v>
      </c>
      <c r="H138" s="4" t="b">
        <v>0</v>
      </c>
      <c r="I138" s="28" t="s">
        <v>66</v>
      </c>
      <c r="J138" s="4">
        <f t="shared" si="6"/>
        <v>15</v>
      </c>
      <c r="K138" s="4">
        <f ca="1">IF(AND(F138&lt;&gt;"", L138&lt;&gt;""), NETWORKDAYS(TODAY(), L138-1, FESTIVOS!A$1:A$55), "")</f>
        <v>-79</v>
      </c>
      <c r="L138" s="9">
        <f>IF(AND(F138&lt;&gt;"", J138&lt;&gt;""), WORKDAY(F138, J138, FESTIVOS!A$1:A$55), "")</f>
        <v>46073</v>
      </c>
      <c r="M138" s="4" t="s">
        <v>21</v>
      </c>
      <c r="N138" s="4">
        <f t="shared" ca="1" si="7"/>
        <v>0</v>
      </c>
      <c r="O138" s="4" t="str">
        <f t="shared" ca="1" si="8"/>
        <v>Vencido</v>
      </c>
      <c r="P138" s="4" t="s">
        <v>55</v>
      </c>
      <c r="Q138" s="9">
        <v>46036</v>
      </c>
      <c r="R138" s="10">
        <f>IF(OR(Q138="", L138=""), "", NETWORKDAYS(L138, Q138, FESTIVOS!A137:A191))</f>
        <v>-28</v>
      </c>
    </row>
    <row r="139" spans="1:18" x14ac:dyDescent="0.25">
      <c r="A139" s="8" t="s">
        <v>16</v>
      </c>
      <c r="B139" s="7" t="s">
        <v>231</v>
      </c>
      <c r="C139" s="4" t="s">
        <v>46</v>
      </c>
      <c r="D139" s="4" t="s">
        <v>232</v>
      </c>
      <c r="E139" s="4">
        <v>138</v>
      </c>
      <c r="F139" s="9">
        <v>46052</v>
      </c>
      <c r="G139" s="9" t="b">
        <v>0</v>
      </c>
      <c r="H139" s="4" t="b">
        <v>0</v>
      </c>
      <c r="I139" s="28" t="s">
        <v>20</v>
      </c>
      <c r="J139" s="4">
        <f t="shared" si="6"/>
        <v>15</v>
      </c>
      <c r="K139" s="4">
        <f ca="1">IF(AND(F139&lt;&gt;"", L139&lt;&gt;""), NETWORKDAYS(TODAY(), L139-1, FESTIVOS!A$1:A$55), "")</f>
        <v>-79</v>
      </c>
      <c r="L139" s="9">
        <f>IF(AND(F139&lt;&gt;"", J139&lt;&gt;""), WORKDAY(F139, J139, FESTIVOS!A$1:A$55), "")</f>
        <v>46073</v>
      </c>
      <c r="M139" s="4" t="s">
        <v>21</v>
      </c>
      <c r="N139" s="4">
        <f t="shared" ca="1" si="7"/>
        <v>0</v>
      </c>
      <c r="O139" s="4" t="str">
        <f t="shared" ca="1" si="8"/>
        <v>Vencido</v>
      </c>
      <c r="P139" s="4" t="s">
        <v>55</v>
      </c>
      <c r="Q139" s="9">
        <v>46036</v>
      </c>
      <c r="R139" s="10">
        <f>IF(OR(Q139="", L139=""), "", NETWORKDAYS(L139, Q139, FESTIVOS!A138:A192))</f>
        <v>-28</v>
      </c>
    </row>
    <row r="140" spans="1:18" x14ac:dyDescent="0.25">
      <c r="A140" s="8" t="s">
        <v>16</v>
      </c>
      <c r="B140" s="7" t="s">
        <v>233</v>
      </c>
      <c r="C140" s="4" t="s">
        <v>46</v>
      </c>
      <c r="D140" s="4" t="s">
        <v>234</v>
      </c>
      <c r="E140" s="4">
        <v>139</v>
      </c>
      <c r="F140" s="9">
        <v>46052</v>
      </c>
      <c r="G140" s="9" t="b">
        <v>0</v>
      </c>
      <c r="H140" s="4" t="b">
        <v>0</v>
      </c>
      <c r="I140" s="28" t="s">
        <v>20</v>
      </c>
      <c r="J140" s="4">
        <f t="shared" si="6"/>
        <v>15</v>
      </c>
      <c r="K140" s="4">
        <f ca="1">IF(AND(F140&lt;&gt;"", L140&lt;&gt;""), NETWORKDAYS(TODAY(), L140-1, FESTIVOS!A$1:A$55), "")</f>
        <v>-79</v>
      </c>
      <c r="L140" s="9">
        <f>IF(AND(F140&lt;&gt;"", J140&lt;&gt;""), WORKDAY(F140, J140, FESTIVOS!A$1:A$55), "")</f>
        <v>46073</v>
      </c>
      <c r="M140" s="4" t="s">
        <v>21</v>
      </c>
      <c r="N140" s="4">
        <f t="shared" ca="1" si="7"/>
        <v>0</v>
      </c>
      <c r="O140" s="4" t="str">
        <f t="shared" ca="1" si="8"/>
        <v>Vencido</v>
      </c>
      <c r="P140" s="4" t="s">
        <v>55</v>
      </c>
      <c r="Q140" s="9">
        <v>46036</v>
      </c>
      <c r="R140" s="10">
        <f>IF(OR(Q140="", L140=""), "", NETWORKDAYS(L140, Q140, FESTIVOS!A139:A193))</f>
        <v>-28</v>
      </c>
    </row>
    <row r="141" spans="1:18" x14ac:dyDescent="0.25">
      <c r="A141" s="8" t="s">
        <v>16</v>
      </c>
      <c r="B141" s="7" t="s">
        <v>235</v>
      </c>
      <c r="C141" s="4" t="s">
        <v>46</v>
      </c>
      <c r="D141" s="4" t="s">
        <v>61</v>
      </c>
      <c r="E141" s="4">
        <v>140</v>
      </c>
      <c r="F141" s="9">
        <v>46055</v>
      </c>
      <c r="G141" s="9" t="b">
        <v>0</v>
      </c>
      <c r="H141" s="4" t="b">
        <v>0</v>
      </c>
      <c r="I141" s="28" t="s">
        <v>20</v>
      </c>
      <c r="J141" s="4">
        <f t="shared" si="6"/>
        <v>15</v>
      </c>
      <c r="K141" s="4">
        <f ca="1">IF(AND(F141&lt;&gt;"", L141&lt;&gt;""), NETWORKDAYS(TODAY(), L141-1, FESTIVOS!A$1:A$55), "")</f>
        <v>-77</v>
      </c>
      <c r="L141" s="9">
        <f>IF(AND(F141&lt;&gt;"", J141&lt;&gt;""), WORKDAY(F141, J141, FESTIVOS!A$1:A$55), "")</f>
        <v>46076</v>
      </c>
      <c r="M141" s="4" t="s">
        <v>21</v>
      </c>
      <c r="N141" s="4">
        <f t="shared" ca="1" si="7"/>
        <v>0</v>
      </c>
      <c r="O141" s="4" t="str">
        <f t="shared" ca="1" si="8"/>
        <v>Vencido</v>
      </c>
      <c r="P141" s="4" t="s">
        <v>55</v>
      </c>
      <c r="Q141" s="9">
        <v>46036</v>
      </c>
      <c r="R141" s="10">
        <f>IF(OR(Q141="", L141=""), "", NETWORKDAYS(L141, Q141, FESTIVOS!A140:A194))</f>
        <v>-29</v>
      </c>
    </row>
    <row r="142" spans="1:18" x14ac:dyDescent="0.25">
      <c r="A142" s="8" t="s">
        <v>16</v>
      </c>
      <c r="B142" s="7" t="s">
        <v>236</v>
      </c>
      <c r="C142" s="4" t="s">
        <v>46</v>
      </c>
      <c r="D142" s="4" t="s">
        <v>237</v>
      </c>
      <c r="E142" s="4">
        <v>141</v>
      </c>
      <c r="F142" s="9">
        <v>46055</v>
      </c>
      <c r="G142" s="9" t="b">
        <v>0</v>
      </c>
      <c r="H142" s="4" t="b">
        <v>0</v>
      </c>
      <c r="I142" s="28" t="s">
        <v>20</v>
      </c>
      <c r="J142" s="4">
        <f t="shared" si="6"/>
        <v>15</v>
      </c>
      <c r="K142" s="4">
        <f ca="1">IF(AND(F142&lt;&gt;"", L142&lt;&gt;""), NETWORKDAYS(TODAY(), L142-1, FESTIVOS!A$1:A$55), "")</f>
        <v>-77</v>
      </c>
      <c r="L142" s="9">
        <f>IF(AND(F142&lt;&gt;"", J142&lt;&gt;""), WORKDAY(F142, J142, FESTIVOS!A$1:A$55), "")</f>
        <v>46076</v>
      </c>
      <c r="M142" s="4" t="s">
        <v>21</v>
      </c>
      <c r="N142" s="4">
        <f t="shared" ca="1" si="7"/>
        <v>0</v>
      </c>
      <c r="O142" s="4" t="str">
        <f t="shared" ca="1" si="8"/>
        <v>Vencido</v>
      </c>
      <c r="P142" s="4" t="s">
        <v>55</v>
      </c>
      <c r="Q142" s="9">
        <v>46036</v>
      </c>
      <c r="R142" s="10">
        <f>IF(OR(Q142="", L142=""), "", NETWORKDAYS(L142, Q142, FESTIVOS!A141:A195))</f>
        <v>-29</v>
      </c>
    </row>
    <row r="143" spans="1:18" x14ac:dyDescent="0.25">
      <c r="A143" s="8" t="s">
        <v>16</v>
      </c>
      <c r="B143" s="7" t="s">
        <v>238</v>
      </c>
      <c r="C143" s="4" t="s">
        <v>46</v>
      </c>
      <c r="D143" s="4" t="s">
        <v>239</v>
      </c>
      <c r="E143" s="4">
        <v>142</v>
      </c>
      <c r="F143" s="9">
        <v>46055</v>
      </c>
      <c r="G143" s="9" t="b">
        <v>0</v>
      </c>
      <c r="H143" s="4" t="b">
        <v>0</v>
      </c>
      <c r="I143" s="28" t="s">
        <v>20</v>
      </c>
      <c r="J143" s="4">
        <f t="shared" si="6"/>
        <v>15</v>
      </c>
      <c r="K143" s="4">
        <f ca="1">IF(AND(F143&lt;&gt;"", L143&lt;&gt;""), NETWORKDAYS(TODAY(), L143-1, FESTIVOS!A$1:A$55), "")</f>
        <v>-77</v>
      </c>
      <c r="L143" s="9">
        <f>IF(AND(F143&lt;&gt;"", J143&lt;&gt;""), WORKDAY(F143, J143, FESTIVOS!A$1:A$55), "")</f>
        <v>46076</v>
      </c>
      <c r="M143" s="4" t="s">
        <v>21</v>
      </c>
      <c r="N143" s="4">
        <f t="shared" ca="1" si="7"/>
        <v>0</v>
      </c>
      <c r="O143" s="4" t="str">
        <f t="shared" ca="1" si="8"/>
        <v>Vencido</v>
      </c>
      <c r="P143" s="4" t="s">
        <v>55</v>
      </c>
      <c r="Q143" s="9">
        <v>46036</v>
      </c>
      <c r="R143" s="10">
        <f>IF(OR(Q143="", L143=""), "", NETWORKDAYS(L143, Q143, FESTIVOS!A142:A196))</f>
        <v>-29</v>
      </c>
    </row>
    <row r="144" spans="1:18" x14ac:dyDescent="0.25">
      <c r="A144" s="8" t="s">
        <v>16</v>
      </c>
      <c r="B144" s="7" t="s">
        <v>131</v>
      </c>
      <c r="C144" s="4" t="s">
        <v>84</v>
      </c>
      <c r="D144" s="4" t="s">
        <v>85</v>
      </c>
      <c r="E144" s="4">
        <v>143</v>
      </c>
      <c r="F144" s="9">
        <v>46055</v>
      </c>
      <c r="G144" s="9" t="b">
        <v>0</v>
      </c>
      <c r="H144" s="4" t="b">
        <v>0</v>
      </c>
      <c r="I144" s="28" t="s">
        <v>20</v>
      </c>
      <c r="J144" s="4">
        <f t="shared" si="6"/>
        <v>15</v>
      </c>
      <c r="K144" s="4">
        <f ca="1">IF(AND(F144&lt;&gt;"", L144&lt;&gt;""), NETWORKDAYS(TODAY(), L144-1, FESTIVOS!A$1:A$55), "")</f>
        <v>-77</v>
      </c>
      <c r="L144" s="9">
        <f>IF(AND(F144&lt;&gt;"", J144&lt;&gt;""), WORKDAY(F144, J144, FESTIVOS!A$1:A$55), "")</f>
        <v>46076</v>
      </c>
      <c r="M144" s="4" t="s">
        <v>21</v>
      </c>
      <c r="N144" s="4">
        <f t="shared" ca="1" si="7"/>
        <v>0</v>
      </c>
      <c r="O144" s="4" t="str">
        <f t="shared" ca="1" si="8"/>
        <v>Vencido</v>
      </c>
      <c r="P144" s="4" t="s">
        <v>55</v>
      </c>
      <c r="Q144" s="9">
        <v>46036</v>
      </c>
      <c r="R144" s="10">
        <f>IF(OR(Q144="", L144=""), "", NETWORKDAYS(L144, Q144, FESTIVOS!A143:A197))</f>
        <v>-29</v>
      </c>
    </row>
    <row r="145" spans="1:18" x14ac:dyDescent="0.25">
      <c r="A145" s="8" t="s">
        <v>16</v>
      </c>
      <c r="B145" s="7" t="s">
        <v>131</v>
      </c>
      <c r="C145" s="4" t="s">
        <v>84</v>
      </c>
      <c r="D145" s="4" t="s">
        <v>85</v>
      </c>
      <c r="E145" s="4">
        <v>144</v>
      </c>
      <c r="F145" s="9">
        <v>46055</v>
      </c>
      <c r="G145" s="9" t="b">
        <v>0</v>
      </c>
      <c r="H145" s="4" t="b">
        <v>0</v>
      </c>
      <c r="I145" s="28" t="s">
        <v>20</v>
      </c>
      <c r="J145" s="4">
        <f t="shared" si="6"/>
        <v>15</v>
      </c>
      <c r="K145" s="4">
        <f ca="1">IF(AND(F145&lt;&gt;"", L145&lt;&gt;""), NETWORKDAYS(TODAY(), L145-1, FESTIVOS!A$1:A$55), "")</f>
        <v>-77</v>
      </c>
      <c r="L145" s="9">
        <f>IF(AND(F145&lt;&gt;"", J145&lt;&gt;""), WORKDAY(F145, J145, FESTIVOS!A$1:A$55), "")</f>
        <v>46076</v>
      </c>
      <c r="M145" s="4" t="s">
        <v>21</v>
      </c>
      <c r="N145" s="4">
        <f t="shared" ca="1" si="7"/>
        <v>0</v>
      </c>
      <c r="O145" s="4" t="str">
        <f t="shared" ca="1" si="8"/>
        <v>Vencido</v>
      </c>
      <c r="P145" s="4" t="s">
        <v>55</v>
      </c>
      <c r="Q145" s="9">
        <v>46036</v>
      </c>
      <c r="R145" s="10">
        <f>IF(OR(Q145="", L145=""), "", NETWORKDAYS(L145, Q145, FESTIVOS!A144:A198))</f>
        <v>-29</v>
      </c>
    </row>
    <row r="146" spans="1:18" x14ac:dyDescent="0.25">
      <c r="A146" s="8" t="s">
        <v>16</v>
      </c>
      <c r="B146" s="7" t="s">
        <v>240</v>
      </c>
      <c r="C146" s="4" t="s">
        <v>90</v>
      </c>
      <c r="D146" s="4" t="s">
        <v>241</v>
      </c>
      <c r="E146" s="4">
        <v>145</v>
      </c>
      <c r="F146" s="9">
        <v>46055</v>
      </c>
      <c r="G146" s="9" t="b">
        <v>0</v>
      </c>
      <c r="H146" s="4" t="b">
        <v>0</v>
      </c>
      <c r="I146" s="28" t="s">
        <v>20</v>
      </c>
      <c r="J146" s="4">
        <f t="shared" si="6"/>
        <v>15</v>
      </c>
      <c r="K146" s="4">
        <f ca="1">IF(AND(F146&lt;&gt;"", L146&lt;&gt;""), NETWORKDAYS(TODAY(), L146-1, FESTIVOS!A$1:A$55), "")</f>
        <v>-77</v>
      </c>
      <c r="L146" s="9">
        <f>IF(AND(F146&lt;&gt;"", J146&lt;&gt;""), WORKDAY(F146, J146, FESTIVOS!A$1:A$55), "")</f>
        <v>46076</v>
      </c>
      <c r="M146" s="4" t="s">
        <v>21</v>
      </c>
      <c r="N146" s="4">
        <f t="shared" ca="1" si="7"/>
        <v>0</v>
      </c>
      <c r="O146" s="4" t="str">
        <f t="shared" ca="1" si="8"/>
        <v>Vencido</v>
      </c>
      <c r="P146" s="4" t="s">
        <v>55</v>
      </c>
      <c r="Q146" s="9">
        <v>46036</v>
      </c>
      <c r="R146" s="10">
        <f>IF(OR(Q146="", L146=""), "", NETWORKDAYS(L146, Q146, FESTIVOS!A145:A199))</f>
        <v>-29</v>
      </c>
    </row>
    <row r="147" spans="1:18" x14ac:dyDescent="0.25">
      <c r="A147" s="8" t="s">
        <v>16</v>
      </c>
      <c r="B147" s="7" t="s">
        <v>242</v>
      </c>
      <c r="C147" s="4" t="s">
        <v>46</v>
      </c>
      <c r="D147" s="4" t="s">
        <v>61</v>
      </c>
      <c r="E147" s="4">
        <v>146</v>
      </c>
      <c r="F147" s="9">
        <v>46055</v>
      </c>
      <c r="G147" s="9" t="b">
        <v>0</v>
      </c>
      <c r="H147" s="4" t="b">
        <v>0</v>
      </c>
      <c r="I147" s="28" t="s">
        <v>20</v>
      </c>
      <c r="J147" s="4">
        <f t="shared" si="6"/>
        <v>15</v>
      </c>
      <c r="K147" s="4">
        <f ca="1">IF(AND(F147&lt;&gt;"", L147&lt;&gt;""), NETWORKDAYS(TODAY(), L147-1, FESTIVOS!A$1:A$55), "")</f>
        <v>-77</v>
      </c>
      <c r="L147" s="9">
        <f>IF(AND(F147&lt;&gt;"", J147&lt;&gt;""), WORKDAY(F147, J147, FESTIVOS!A$1:A$55), "")</f>
        <v>46076</v>
      </c>
      <c r="M147" s="4" t="s">
        <v>21</v>
      </c>
      <c r="N147" s="4">
        <f t="shared" ca="1" si="7"/>
        <v>0</v>
      </c>
      <c r="O147" s="4" t="str">
        <f t="shared" ca="1" si="8"/>
        <v>Vencido</v>
      </c>
      <c r="P147" s="4" t="s">
        <v>55</v>
      </c>
      <c r="Q147" s="9">
        <v>46036</v>
      </c>
      <c r="R147" s="10">
        <f>IF(OR(Q147="", L147=""), "", NETWORKDAYS(L147, Q147, FESTIVOS!A146:A200))</f>
        <v>-29</v>
      </c>
    </row>
    <row r="148" spans="1:18" x14ac:dyDescent="0.25">
      <c r="A148" s="8" t="s">
        <v>16</v>
      </c>
      <c r="B148" s="7" t="s">
        <v>240</v>
      </c>
      <c r="C148" s="4" t="s">
        <v>90</v>
      </c>
      <c r="D148" s="4" t="s">
        <v>243</v>
      </c>
      <c r="E148" s="4">
        <v>147</v>
      </c>
      <c r="F148" s="9">
        <v>46055</v>
      </c>
      <c r="G148" s="9" t="b">
        <v>0</v>
      </c>
      <c r="H148" s="4" t="b">
        <v>0</v>
      </c>
      <c r="I148" s="28" t="s">
        <v>66</v>
      </c>
      <c r="J148" s="4">
        <f t="shared" si="6"/>
        <v>15</v>
      </c>
      <c r="K148" s="4">
        <f ca="1">IF(AND(F148&lt;&gt;"", L148&lt;&gt;""), NETWORKDAYS(TODAY(), L148-1, FESTIVOS!A$1:A$55), "")</f>
        <v>-77</v>
      </c>
      <c r="L148" s="9">
        <f>IF(AND(F148&lt;&gt;"", J148&lt;&gt;""), WORKDAY(F148, J148, FESTIVOS!A$1:A$55), "")</f>
        <v>46076</v>
      </c>
      <c r="M148" s="4" t="s">
        <v>21</v>
      </c>
      <c r="N148" s="4">
        <f t="shared" ca="1" si="7"/>
        <v>0</v>
      </c>
      <c r="O148" s="4" t="str">
        <f t="shared" ca="1" si="8"/>
        <v>Vencido</v>
      </c>
      <c r="P148" s="4" t="s">
        <v>55</v>
      </c>
      <c r="Q148" s="9">
        <v>46036</v>
      </c>
      <c r="R148" s="10">
        <f>IF(OR(Q148="", L148=""), "", NETWORKDAYS(L148, Q148, FESTIVOS!A147:A201))</f>
        <v>-29</v>
      </c>
    </row>
    <row r="149" spans="1:18" x14ac:dyDescent="0.25">
      <c r="A149" s="8" t="s">
        <v>16</v>
      </c>
      <c r="B149" s="7" t="s">
        <v>244</v>
      </c>
      <c r="C149" s="4" t="s">
        <v>46</v>
      </c>
      <c r="D149" s="4" t="s">
        <v>61</v>
      </c>
      <c r="E149" s="4">
        <v>148</v>
      </c>
      <c r="F149" s="9">
        <v>46055</v>
      </c>
      <c r="G149" s="9" t="b">
        <v>0</v>
      </c>
      <c r="H149" s="4" t="b">
        <v>0</v>
      </c>
      <c r="I149" s="28" t="s">
        <v>20</v>
      </c>
      <c r="J149" s="4">
        <f t="shared" si="6"/>
        <v>15</v>
      </c>
      <c r="K149" s="4">
        <f ca="1">IF(AND(F149&lt;&gt;"", L149&lt;&gt;""), NETWORKDAYS(TODAY(), L149-1, FESTIVOS!A$1:A$55), "")</f>
        <v>-77</v>
      </c>
      <c r="L149" s="9">
        <f>IF(AND(F149&lt;&gt;"", J149&lt;&gt;""), WORKDAY(F149, J149, FESTIVOS!A$1:A$55), "")</f>
        <v>46076</v>
      </c>
      <c r="M149" s="4" t="s">
        <v>21</v>
      </c>
      <c r="N149" s="4">
        <f t="shared" ca="1" si="7"/>
        <v>0</v>
      </c>
      <c r="O149" s="4" t="str">
        <f t="shared" ca="1" si="8"/>
        <v>Vencido</v>
      </c>
      <c r="P149" s="4" t="s">
        <v>55</v>
      </c>
      <c r="Q149" s="9">
        <v>46036</v>
      </c>
      <c r="R149" s="10">
        <f>IF(OR(Q149="", L149=""), "", NETWORKDAYS(L149, Q149, FESTIVOS!A148:A202))</f>
        <v>-29</v>
      </c>
    </row>
    <row r="150" spans="1:18" x14ac:dyDescent="0.25">
      <c r="A150" s="8" t="s">
        <v>16</v>
      </c>
      <c r="B150" s="7" t="s">
        <v>245</v>
      </c>
      <c r="C150" s="4" t="s">
        <v>46</v>
      </c>
      <c r="D150" s="4" t="s">
        <v>246</v>
      </c>
      <c r="E150" s="4">
        <v>149</v>
      </c>
      <c r="F150" s="9">
        <v>46055</v>
      </c>
      <c r="G150" s="9" t="b">
        <v>0</v>
      </c>
      <c r="H150" s="4" t="b">
        <v>0</v>
      </c>
      <c r="I150" s="28" t="s">
        <v>20</v>
      </c>
      <c r="J150" s="4">
        <f t="shared" si="6"/>
        <v>15</v>
      </c>
      <c r="K150" s="4">
        <f ca="1">IF(AND(F150&lt;&gt;"", L150&lt;&gt;""), NETWORKDAYS(TODAY(), L150-1, FESTIVOS!A$1:A$55), "")</f>
        <v>-77</v>
      </c>
      <c r="L150" s="9">
        <f>IF(AND(F150&lt;&gt;"", J150&lt;&gt;""), WORKDAY(F150, J150, FESTIVOS!A$1:A$55), "")</f>
        <v>46076</v>
      </c>
      <c r="M150" s="4" t="s">
        <v>21</v>
      </c>
      <c r="N150" s="4">
        <f t="shared" ca="1" si="7"/>
        <v>0</v>
      </c>
      <c r="O150" s="4" t="str">
        <f t="shared" ca="1" si="8"/>
        <v>Vencido</v>
      </c>
      <c r="P150" s="4" t="s">
        <v>55</v>
      </c>
      <c r="Q150" s="9">
        <v>46036</v>
      </c>
      <c r="R150" s="10">
        <f>IF(OR(Q150="", L150=""), "", NETWORKDAYS(L150, Q150, FESTIVOS!A149:A203))</f>
        <v>-29</v>
      </c>
    </row>
    <row r="151" spans="1:18" x14ac:dyDescent="0.25">
      <c r="A151" s="8" t="s">
        <v>16</v>
      </c>
      <c r="B151" s="7" t="s">
        <v>247</v>
      </c>
      <c r="C151" s="4" t="s">
        <v>90</v>
      </c>
      <c r="D151" s="4" t="s">
        <v>248</v>
      </c>
      <c r="E151" s="4">
        <v>150</v>
      </c>
      <c r="F151" s="9">
        <v>46055</v>
      </c>
      <c r="G151" s="9" t="b">
        <v>0</v>
      </c>
      <c r="H151" s="4" t="b">
        <v>0</v>
      </c>
      <c r="I151" s="28" t="s">
        <v>20</v>
      </c>
      <c r="J151" s="4">
        <f t="shared" si="6"/>
        <v>15</v>
      </c>
      <c r="K151" s="4">
        <f ca="1">IF(AND(F151&lt;&gt;"", L151&lt;&gt;""), NETWORKDAYS(TODAY(), L151-1, FESTIVOS!A$1:A$55), "")</f>
        <v>-77</v>
      </c>
      <c r="L151" s="9">
        <f>IF(AND(F151&lt;&gt;"", J151&lt;&gt;""), WORKDAY(F151, J151, FESTIVOS!A$1:A$55), "")</f>
        <v>46076</v>
      </c>
      <c r="M151" s="4" t="s">
        <v>21</v>
      </c>
      <c r="N151" s="4">
        <f t="shared" ca="1" si="7"/>
        <v>0</v>
      </c>
      <c r="O151" s="4" t="str">
        <f t="shared" ca="1" si="8"/>
        <v>Vencido</v>
      </c>
      <c r="P151" s="4" t="s">
        <v>55</v>
      </c>
      <c r="Q151" s="9">
        <v>46036</v>
      </c>
      <c r="R151" s="10">
        <f>IF(OR(Q151="", L151=""), "", NETWORKDAYS(L151, Q151, FESTIVOS!A150:A204))</f>
        <v>-29</v>
      </c>
    </row>
    <row r="152" spans="1:18" x14ac:dyDescent="0.25">
      <c r="A152" s="8" t="s">
        <v>16</v>
      </c>
      <c r="B152" s="7" t="s">
        <v>107</v>
      </c>
      <c r="C152" s="4" t="s">
        <v>46</v>
      </c>
      <c r="D152" s="4" t="s">
        <v>249</v>
      </c>
      <c r="E152" s="4">
        <v>151</v>
      </c>
      <c r="F152" s="9">
        <v>46056</v>
      </c>
      <c r="G152" s="9" t="b">
        <v>0</v>
      </c>
      <c r="H152" s="4" t="b">
        <v>0</v>
      </c>
      <c r="I152" s="28" t="s">
        <v>66</v>
      </c>
      <c r="J152" s="4">
        <f t="shared" si="6"/>
        <v>15</v>
      </c>
      <c r="K152" s="4">
        <f ca="1">IF(AND(F152&lt;&gt;"", L152&lt;&gt;""), NETWORKDAYS(TODAY(), L152-1, FESTIVOS!A$1:A$55), "")</f>
        <v>-77</v>
      </c>
      <c r="L152" s="9">
        <f>IF(AND(F152&lt;&gt;"", J152&lt;&gt;""), WORKDAY(F152, J152, FESTIVOS!A$1:A$55), "")</f>
        <v>46077</v>
      </c>
      <c r="M152" s="4" t="s">
        <v>21</v>
      </c>
      <c r="N152" s="4">
        <f t="shared" ca="1" si="7"/>
        <v>0</v>
      </c>
      <c r="O152" s="4" t="str">
        <f t="shared" ca="1" si="8"/>
        <v>Vencido</v>
      </c>
      <c r="P152" s="4" t="s">
        <v>55</v>
      </c>
      <c r="Q152" s="9">
        <v>46036</v>
      </c>
      <c r="R152" s="10">
        <f>IF(OR(Q152="", L152=""), "", NETWORKDAYS(L152, Q152, FESTIVOS!A151:A205))</f>
        <v>-30</v>
      </c>
    </row>
    <row r="153" spans="1:18" x14ac:dyDescent="0.25">
      <c r="A153" s="8" t="s">
        <v>16</v>
      </c>
      <c r="B153" s="7" t="s">
        <v>250</v>
      </c>
      <c r="C153" s="4" t="s">
        <v>46</v>
      </c>
      <c r="D153" s="4" t="s">
        <v>251</v>
      </c>
      <c r="E153" s="4">
        <v>152</v>
      </c>
      <c r="F153" s="9">
        <v>46056</v>
      </c>
      <c r="G153" s="9" t="b">
        <v>0</v>
      </c>
      <c r="H153" s="4" t="b">
        <v>0</v>
      </c>
      <c r="I153" s="28" t="s">
        <v>20</v>
      </c>
      <c r="J153" s="4">
        <f t="shared" si="6"/>
        <v>15</v>
      </c>
      <c r="K153" s="4">
        <f ca="1">IF(AND(F153&lt;&gt;"", L153&lt;&gt;""), NETWORKDAYS(TODAY(), L153-1, FESTIVOS!A$1:A$55), "")</f>
        <v>-77</v>
      </c>
      <c r="L153" s="9">
        <f>IF(AND(F153&lt;&gt;"", J153&lt;&gt;""), WORKDAY(F153, J153, FESTIVOS!A$1:A$55), "")</f>
        <v>46077</v>
      </c>
      <c r="M153" s="4" t="s">
        <v>21</v>
      </c>
      <c r="N153" s="4">
        <f t="shared" ca="1" si="7"/>
        <v>0</v>
      </c>
      <c r="O153" s="4" t="str">
        <f t="shared" ca="1" si="8"/>
        <v>Vencido</v>
      </c>
      <c r="P153" s="4" t="s">
        <v>55</v>
      </c>
      <c r="Q153" s="9">
        <v>46036</v>
      </c>
      <c r="R153" s="10">
        <f>IF(OR(Q153="", L153=""), "", NETWORKDAYS(L153, Q153, FESTIVOS!A152:A206))</f>
        <v>-30</v>
      </c>
    </row>
    <row r="154" spans="1:18" x14ac:dyDescent="0.25">
      <c r="A154" s="8" t="s">
        <v>16</v>
      </c>
      <c r="B154" s="7" t="s">
        <v>252</v>
      </c>
      <c r="C154" s="4" t="s">
        <v>42</v>
      </c>
      <c r="D154" s="4" t="s">
        <v>253</v>
      </c>
      <c r="E154" s="4">
        <v>153</v>
      </c>
      <c r="F154" s="9">
        <v>46056</v>
      </c>
      <c r="G154" s="9" t="b">
        <v>0</v>
      </c>
      <c r="H154" s="4" t="b">
        <v>0</v>
      </c>
      <c r="I154" s="28" t="s">
        <v>254</v>
      </c>
      <c r="J154" s="4">
        <f t="shared" si="6"/>
        <v>15</v>
      </c>
      <c r="K154" s="4">
        <f ca="1">IF(AND(F154&lt;&gt;"", L154&lt;&gt;""), NETWORKDAYS(TODAY(), L154-1, FESTIVOS!A$1:A$55), "")</f>
        <v>-77</v>
      </c>
      <c r="L154" s="9">
        <f>IF(AND(F154&lt;&gt;"", J154&lt;&gt;""), WORKDAY(F154, J154, FESTIVOS!A$1:A$55), "")</f>
        <v>46077</v>
      </c>
      <c r="M154" s="4" t="s">
        <v>21</v>
      </c>
      <c r="N154" s="4">
        <f t="shared" ca="1" si="7"/>
        <v>0</v>
      </c>
      <c r="O154" s="4" t="str">
        <f t="shared" ca="1" si="8"/>
        <v>Vencido</v>
      </c>
      <c r="P154" s="4" t="s">
        <v>55</v>
      </c>
      <c r="Q154" s="9">
        <v>46036</v>
      </c>
      <c r="R154" s="10">
        <f>IF(OR(Q154="", L154=""), "", NETWORKDAYS(L154, Q154, FESTIVOS!A153:A207))</f>
        <v>-30</v>
      </c>
    </row>
    <row r="155" spans="1:18" x14ac:dyDescent="0.25">
      <c r="A155" s="8" t="s">
        <v>16</v>
      </c>
      <c r="B155" s="7" t="s">
        <v>255</v>
      </c>
      <c r="C155" s="4" t="s">
        <v>46</v>
      </c>
      <c r="D155" s="4" t="s">
        <v>256</v>
      </c>
      <c r="E155" s="4">
        <v>154</v>
      </c>
      <c r="F155" s="9">
        <v>46056</v>
      </c>
      <c r="G155" s="9" t="b">
        <v>0</v>
      </c>
      <c r="H155" s="4" t="b">
        <v>0</v>
      </c>
      <c r="I155" s="28" t="s">
        <v>20</v>
      </c>
      <c r="J155" s="4">
        <f t="shared" si="6"/>
        <v>15</v>
      </c>
      <c r="K155" s="4">
        <f ca="1">IF(AND(F155&lt;&gt;"", L155&lt;&gt;""), NETWORKDAYS(TODAY(), L155-1, FESTIVOS!A$1:A$55), "")</f>
        <v>-77</v>
      </c>
      <c r="L155" s="9">
        <f>IF(AND(F155&lt;&gt;"", J155&lt;&gt;""), WORKDAY(F155, J155, FESTIVOS!A$1:A$55), "")</f>
        <v>46077</v>
      </c>
      <c r="M155" s="4" t="s">
        <v>21</v>
      </c>
      <c r="N155" s="4">
        <f t="shared" ca="1" si="7"/>
        <v>0</v>
      </c>
      <c r="O155" s="4" t="str">
        <f t="shared" ca="1" si="8"/>
        <v>Vencido</v>
      </c>
      <c r="P155" s="4" t="s">
        <v>55</v>
      </c>
      <c r="Q155" s="9">
        <v>46036</v>
      </c>
      <c r="R155" s="10">
        <f>IF(OR(Q155="", L155=""), "", NETWORKDAYS(L155, Q155, FESTIVOS!A154:A208))</f>
        <v>-30</v>
      </c>
    </row>
    <row r="156" spans="1:18" x14ac:dyDescent="0.25">
      <c r="A156" s="8" t="s">
        <v>16</v>
      </c>
      <c r="B156" s="7" t="s">
        <v>257</v>
      </c>
      <c r="C156" s="4" t="s">
        <v>46</v>
      </c>
      <c r="D156" s="4" t="s">
        <v>258</v>
      </c>
      <c r="E156" s="4">
        <v>155</v>
      </c>
      <c r="F156" s="9">
        <v>46056</v>
      </c>
      <c r="G156" s="9" t="b">
        <v>0</v>
      </c>
      <c r="H156" s="4" t="b">
        <v>0</v>
      </c>
      <c r="I156" s="28" t="s">
        <v>20</v>
      </c>
      <c r="J156" s="4">
        <f t="shared" si="6"/>
        <v>15</v>
      </c>
      <c r="K156" s="4">
        <f ca="1">IF(AND(F156&lt;&gt;"", L156&lt;&gt;""), NETWORKDAYS(TODAY(), L156-1, FESTIVOS!A$1:A$55), "")</f>
        <v>-77</v>
      </c>
      <c r="L156" s="9">
        <f>IF(AND(F156&lt;&gt;"", J156&lt;&gt;""), WORKDAY(F156, J156, FESTIVOS!A$1:A$55), "")</f>
        <v>46077</v>
      </c>
      <c r="M156" s="4" t="s">
        <v>21</v>
      </c>
      <c r="N156" s="4">
        <f t="shared" ca="1" si="7"/>
        <v>0</v>
      </c>
      <c r="O156" s="4" t="str">
        <f t="shared" ca="1" si="8"/>
        <v>Vencido</v>
      </c>
      <c r="P156" s="4" t="s">
        <v>55</v>
      </c>
      <c r="Q156" s="9">
        <v>46036</v>
      </c>
      <c r="R156" s="10">
        <f>IF(OR(Q156="", L156=""), "", NETWORKDAYS(L156, Q156, FESTIVOS!A155:A209))</f>
        <v>-30</v>
      </c>
    </row>
    <row r="157" spans="1:18" x14ac:dyDescent="0.25">
      <c r="A157" s="8" t="s">
        <v>16</v>
      </c>
      <c r="B157" s="7" t="s">
        <v>259</v>
      </c>
      <c r="C157" s="4" t="s">
        <v>46</v>
      </c>
      <c r="D157" s="4" t="s">
        <v>26</v>
      </c>
      <c r="E157" s="4">
        <v>156</v>
      </c>
      <c r="F157" s="9">
        <v>46056</v>
      </c>
      <c r="G157" s="9" t="b">
        <v>0</v>
      </c>
      <c r="H157" s="4" t="b">
        <v>0</v>
      </c>
      <c r="I157" s="28" t="s">
        <v>20</v>
      </c>
      <c r="J157" s="4">
        <f t="shared" si="6"/>
        <v>15</v>
      </c>
      <c r="K157" s="4">
        <f ca="1">IF(AND(F157&lt;&gt;"", L157&lt;&gt;""), NETWORKDAYS(TODAY(), L157-1, FESTIVOS!A$1:A$55), "")</f>
        <v>-77</v>
      </c>
      <c r="L157" s="9">
        <f>IF(AND(F157&lt;&gt;"", J157&lt;&gt;""), WORKDAY(F157, J157, FESTIVOS!A$1:A$55), "")</f>
        <v>46077</v>
      </c>
      <c r="M157" s="4" t="s">
        <v>21</v>
      </c>
      <c r="N157" s="4">
        <f t="shared" ca="1" si="7"/>
        <v>0</v>
      </c>
      <c r="O157" s="4" t="str">
        <f t="shared" ca="1" si="8"/>
        <v>Vencido</v>
      </c>
      <c r="P157" s="4" t="s">
        <v>55</v>
      </c>
      <c r="Q157" s="9">
        <v>46036</v>
      </c>
      <c r="R157" s="10">
        <f>IF(OR(Q157="", L157=""), "", NETWORKDAYS(L157, Q157, FESTIVOS!A156:A210))</f>
        <v>-30</v>
      </c>
    </row>
    <row r="158" spans="1:18" x14ac:dyDescent="0.25">
      <c r="A158" s="8" t="s">
        <v>16</v>
      </c>
      <c r="B158" s="7" t="s">
        <v>260</v>
      </c>
      <c r="C158" s="4" t="s">
        <v>46</v>
      </c>
      <c r="D158" s="4" t="s">
        <v>39</v>
      </c>
      <c r="E158" s="4">
        <v>157</v>
      </c>
      <c r="F158" s="9">
        <v>46056</v>
      </c>
      <c r="G158" s="9" t="b">
        <v>0</v>
      </c>
      <c r="H158" s="4" t="b">
        <v>0</v>
      </c>
      <c r="I158" s="28" t="s">
        <v>80</v>
      </c>
      <c r="J158" s="4">
        <f t="shared" si="6"/>
        <v>15</v>
      </c>
      <c r="K158" s="4">
        <f ca="1">IF(AND(F158&lt;&gt;"", L158&lt;&gt;""), NETWORKDAYS(TODAY(), L158-1, FESTIVOS!A$1:A$55), "")</f>
        <v>-77</v>
      </c>
      <c r="L158" s="9">
        <f>IF(AND(F158&lt;&gt;"", J158&lt;&gt;""), WORKDAY(F158, J158, FESTIVOS!A$1:A$55), "")</f>
        <v>46077</v>
      </c>
      <c r="M158" s="4" t="s">
        <v>21</v>
      </c>
      <c r="N158" s="4">
        <f t="shared" ca="1" si="7"/>
        <v>0</v>
      </c>
      <c r="O158" s="4" t="str">
        <f t="shared" ca="1" si="8"/>
        <v>Vencido</v>
      </c>
      <c r="P158" s="4" t="s">
        <v>55</v>
      </c>
      <c r="Q158" s="9">
        <v>46036</v>
      </c>
      <c r="R158" s="10">
        <f>IF(OR(Q158="", L158=""), "", NETWORKDAYS(L158, Q158, FESTIVOS!A157:A211))</f>
        <v>-30</v>
      </c>
    </row>
    <row r="159" spans="1:18" x14ac:dyDescent="0.25">
      <c r="A159" s="8" t="s">
        <v>16</v>
      </c>
      <c r="B159" s="7" t="s">
        <v>261</v>
      </c>
      <c r="C159" s="4" t="s">
        <v>46</v>
      </c>
      <c r="D159" s="4" t="s">
        <v>262</v>
      </c>
      <c r="E159" s="4">
        <v>158</v>
      </c>
      <c r="F159" s="9">
        <v>46056</v>
      </c>
      <c r="G159" s="9" t="b">
        <v>0</v>
      </c>
      <c r="H159" s="4" t="b">
        <v>0</v>
      </c>
      <c r="I159" s="28" t="s">
        <v>66</v>
      </c>
      <c r="J159" s="4">
        <f t="shared" si="6"/>
        <v>15</v>
      </c>
      <c r="K159" s="4">
        <f ca="1">IF(AND(F159&lt;&gt;"", L159&lt;&gt;""), NETWORKDAYS(TODAY(), L159-1, FESTIVOS!A$1:A$55), "")</f>
        <v>-77</v>
      </c>
      <c r="L159" s="9">
        <f>IF(AND(F159&lt;&gt;"", J159&lt;&gt;""), WORKDAY(F159, J159, FESTIVOS!A$1:A$55), "")</f>
        <v>46077</v>
      </c>
      <c r="M159" s="4" t="s">
        <v>21</v>
      </c>
      <c r="N159" s="4">
        <f t="shared" ca="1" si="7"/>
        <v>0</v>
      </c>
      <c r="O159" s="4" t="str">
        <f t="shared" ca="1" si="8"/>
        <v>Vencido</v>
      </c>
      <c r="P159" s="4" t="s">
        <v>55</v>
      </c>
      <c r="Q159" s="9">
        <v>46036</v>
      </c>
      <c r="R159" s="10">
        <f>IF(OR(Q159="", L159=""), "", NETWORKDAYS(L159, Q159, FESTIVOS!A158:A212))</f>
        <v>-30</v>
      </c>
    </row>
    <row r="160" spans="1:18" x14ac:dyDescent="0.25">
      <c r="A160" s="8" t="s">
        <v>16</v>
      </c>
      <c r="B160" s="7" t="s">
        <v>263</v>
      </c>
      <c r="C160" s="4" t="s">
        <v>46</v>
      </c>
      <c r="D160" s="4" t="s">
        <v>264</v>
      </c>
      <c r="E160" s="4">
        <v>159</v>
      </c>
      <c r="F160" s="9">
        <v>46056</v>
      </c>
      <c r="G160" s="9" t="b">
        <v>0</v>
      </c>
      <c r="H160" s="4" t="b">
        <v>0</v>
      </c>
      <c r="I160" s="28" t="s">
        <v>44</v>
      </c>
      <c r="J160" s="4">
        <f t="shared" si="6"/>
        <v>15</v>
      </c>
      <c r="K160" s="4">
        <f ca="1">IF(AND(F160&lt;&gt;"", L160&lt;&gt;""), NETWORKDAYS(TODAY(), L160-1, FESTIVOS!A$1:A$55), "")</f>
        <v>-77</v>
      </c>
      <c r="L160" s="9">
        <f>IF(AND(F160&lt;&gt;"", J160&lt;&gt;""), WORKDAY(F160, J160, FESTIVOS!A$1:A$55), "")</f>
        <v>46077</v>
      </c>
      <c r="M160" s="4" t="s">
        <v>21</v>
      </c>
      <c r="N160" s="4">
        <f t="shared" ca="1" si="7"/>
        <v>0</v>
      </c>
      <c r="O160" s="4" t="str">
        <f t="shared" ca="1" si="8"/>
        <v>Vencido</v>
      </c>
      <c r="P160" s="4" t="s">
        <v>55</v>
      </c>
      <c r="Q160" s="9">
        <v>46036</v>
      </c>
      <c r="R160" s="10">
        <f>IF(OR(Q160="", L160=""), "", NETWORKDAYS(L160, Q160, FESTIVOS!A159:A213))</f>
        <v>-30</v>
      </c>
    </row>
    <row r="161" spans="1:18" x14ac:dyDescent="0.25">
      <c r="A161" s="8" t="s">
        <v>16</v>
      </c>
      <c r="B161" s="7" t="s">
        <v>265</v>
      </c>
      <c r="C161" s="4" t="s">
        <v>46</v>
      </c>
      <c r="D161" s="4" t="s">
        <v>39</v>
      </c>
      <c r="E161" s="4">
        <v>160</v>
      </c>
      <c r="F161" s="9">
        <v>46057</v>
      </c>
      <c r="G161" s="9" t="b">
        <v>0</v>
      </c>
      <c r="H161" s="4" t="b">
        <v>0</v>
      </c>
      <c r="I161" s="28" t="s">
        <v>66</v>
      </c>
      <c r="J161" s="4">
        <f t="shared" si="6"/>
        <v>15</v>
      </c>
      <c r="K161" s="4">
        <f ca="1">IF(AND(F161&lt;&gt;"", L161&lt;&gt;""), NETWORKDAYS(TODAY(), L161-1, FESTIVOS!A$1:A$55), "")</f>
        <v>-76</v>
      </c>
      <c r="L161" s="9">
        <f>IF(AND(F161&lt;&gt;"", J161&lt;&gt;""), WORKDAY(F161, J161, FESTIVOS!A$1:A$55), "")</f>
        <v>46078</v>
      </c>
      <c r="M161" s="4" t="s">
        <v>21</v>
      </c>
      <c r="N161" s="4">
        <f t="shared" ca="1" si="7"/>
        <v>0</v>
      </c>
      <c r="O161" s="4" t="str">
        <f t="shared" ca="1" si="8"/>
        <v>Vencido</v>
      </c>
      <c r="P161" s="4" t="s">
        <v>55</v>
      </c>
      <c r="Q161" s="9">
        <v>46036</v>
      </c>
      <c r="R161" s="10">
        <f>IF(OR(Q161="", L161=""), "", NETWORKDAYS(L161, Q161, FESTIVOS!A160:A214))</f>
        <v>-31</v>
      </c>
    </row>
    <row r="162" spans="1:18" x14ac:dyDescent="0.25">
      <c r="A162" s="8" t="s">
        <v>16</v>
      </c>
      <c r="B162" s="7" t="s">
        <v>266</v>
      </c>
      <c r="C162" s="4" t="s">
        <v>46</v>
      </c>
      <c r="D162" s="4" t="s">
        <v>267</v>
      </c>
      <c r="E162" s="4">
        <v>161</v>
      </c>
      <c r="F162" s="9">
        <v>46057</v>
      </c>
      <c r="G162" s="9" t="b">
        <v>0</v>
      </c>
      <c r="H162" s="4" t="b">
        <v>0</v>
      </c>
      <c r="I162" s="28" t="s">
        <v>80</v>
      </c>
      <c r="J162" s="4">
        <f t="shared" si="6"/>
        <v>15</v>
      </c>
      <c r="K162" s="4">
        <f ca="1">IF(AND(F162&lt;&gt;"", L162&lt;&gt;""), NETWORKDAYS(TODAY(), L162-1, FESTIVOS!A$1:A$55), "")</f>
        <v>-76</v>
      </c>
      <c r="L162" s="9">
        <f>IF(AND(F162&lt;&gt;"", J162&lt;&gt;""), WORKDAY(F162, J162, FESTIVOS!A$1:A$55), "")</f>
        <v>46078</v>
      </c>
      <c r="M162" s="4" t="s">
        <v>21</v>
      </c>
      <c r="N162" s="4">
        <f t="shared" ca="1" si="7"/>
        <v>0</v>
      </c>
      <c r="O162" s="4" t="str">
        <f t="shared" ca="1" si="8"/>
        <v>Vencido</v>
      </c>
      <c r="P162" s="4" t="s">
        <v>55</v>
      </c>
      <c r="Q162" s="9">
        <v>46036</v>
      </c>
      <c r="R162" s="10">
        <f>IF(OR(Q162="", L162=""), "", NETWORKDAYS(L162, Q162, FESTIVOS!A161:A215))</f>
        <v>-31</v>
      </c>
    </row>
    <row r="163" spans="1:18" x14ac:dyDescent="0.25">
      <c r="A163" s="8" t="s">
        <v>16</v>
      </c>
      <c r="B163" s="7" t="s">
        <v>268</v>
      </c>
      <c r="C163" s="4" t="s">
        <v>46</v>
      </c>
      <c r="D163" s="4" t="s">
        <v>269</v>
      </c>
      <c r="E163" s="4">
        <v>162</v>
      </c>
      <c r="F163" s="9">
        <v>46057</v>
      </c>
      <c r="G163" s="9" t="b">
        <v>0</v>
      </c>
      <c r="H163" s="4" t="b">
        <v>0</v>
      </c>
      <c r="I163" s="28" t="s">
        <v>80</v>
      </c>
      <c r="J163" s="4">
        <f t="shared" si="6"/>
        <v>15</v>
      </c>
      <c r="K163" s="4">
        <f ca="1">IF(AND(F163&lt;&gt;"", L163&lt;&gt;""), NETWORKDAYS(TODAY(), L163-1, FESTIVOS!A$1:A$55), "")</f>
        <v>-76</v>
      </c>
      <c r="L163" s="9">
        <f>IF(AND(F163&lt;&gt;"", J163&lt;&gt;""), WORKDAY(F163, J163, FESTIVOS!A$1:A$55), "")</f>
        <v>46078</v>
      </c>
      <c r="M163" s="4" t="s">
        <v>21</v>
      </c>
      <c r="N163" s="4">
        <f t="shared" ca="1" si="7"/>
        <v>0</v>
      </c>
      <c r="O163" s="4" t="str">
        <f t="shared" ca="1" si="8"/>
        <v>Vencido</v>
      </c>
      <c r="P163" s="4" t="s">
        <v>55</v>
      </c>
      <c r="Q163" s="9">
        <v>46036</v>
      </c>
      <c r="R163" s="10">
        <f>IF(OR(Q163="", L163=""), "", NETWORKDAYS(L163, Q163, FESTIVOS!A162:A216))</f>
        <v>-31</v>
      </c>
    </row>
    <row r="164" spans="1:18" x14ac:dyDescent="0.25">
      <c r="A164" s="8" t="s">
        <v>16</v>
      </c>
      <c r="B164" s="7" t="s">
        <v>270</v>
      </c>
      <c r="C164" s="4" t="s">
        <v>46</v>
      </c>
      <c r="D164" s="4" t="s">
        <v>271</v>
      </c>
      <c r="E164" s="4">
        <v>163</v>
      </c>
      <c r="F164" s="9">
        <v>46057</v>
      </c>
      <c r="G164" s="9" t="b">
        <v>0</v>
      </c>
      <c r="H164" s="4" t="b">
        <v>0</v>
      </c>
      <c r="I164" s="28" t="s">
        <v>20</v>
      </c>
      <c r="J164" s="4">
        <f t="shared" si="6"/>
        <v>15</v>
      </c>
      <c r="K164" s="4">
        <f ca="1">IF(AND(F164&lt;&gt;"", L164&lt;&gt;""), NETWORKDAYS(TODAY(), L164-1, FESTIVOS!A$1:A$55), "")</f>
        <v>-76</v>
      </c>
      <c r="L164" s="9">
        <f>IF(AND(F164&lt;&gt;"", J164&lt;&gt;""), WORKDAY(F164, J164, FESTIVOS!A$1:A$55), "")</f>
        <v>46078</v>
      </c>
      <c r="M164" s="4" t="s">
        <v>21</v>
      </c>
      <c r="N164" s="4">
        <f t="shared" ca="1" si="7"/>
        <v>0</v>
      </c>
      <c r="O164" s="4" t="str">
        <f t="shared" ca="1" si="8"/>
        <v>Vencido</v>
      </c>
      <c r="P164" s="4" t="s">
        <v>55</v>
      </c>
      <c r="Q164" s="9">
        <v>46036</v>
      </c>
      <c r="R164" s="10">
        <f>IF(OR(Q164="", L164=""), "", NETWORKDAYS(L164, Q164, FESTIVOS!A163:A217))</f>
        <v>-31</v>
      </c>
    </row>
    <row r="165" spans="1:18" x14ac:dyDescent="0.25">
      <c r="A165" s="8" t="s">
        <v>16</v>
      </c>
      <c r="B165" s="7" t="s">
        <v>272</v>
      </c>
      <c r="C165" s="4" t="s">
        <v>46</v>
      </c>
      <c r="D165" s="4" t="s">
        <v>273</v>
      </c>
      <c r="E165" s="4">
        <v>164</v>
      </c>
      <c r="F165" s="9">
        <v>46057</v>
      </c>
      <c r="G165" s="9" t="b">
        <v>0</v>
      </c>
      <c r="H165" s="4" t="b">
        <v>0</v>
      </c>
      <c r="I165" s="28" t="s">
        <v>20</v>
      </c>
      <c r="J165" s="4">
        <f t="shared" si="6"/>
        <v>15</v>
      </c>
      <c r="K165" s="4">
        <f ca="1">IF(AND(F165&lt;&gt;"", L165&lt;&gt;""), NETWORKDAYS(TODAY(), L165-1, FESTIVOS!A$1:A$55), "")</f>
        <v>-76</v>
      </c>
      <c r="L165" s="9">
        <f>IF(AND(F165&lt;&gt;"", J165&lt;&gt;""), WORKDAY(F165, J165, FESTIVOS!A$1:A$55), "")</f>
        <v>46078</v>
      </c>
      <c r="M165" s="4" t="s">
        <v>21</v>
      </c>
      <c r="N165" s="4">
        <f t="shared" ca="1" si="7"/>
        <v>0</v>
      </c>
      <c r="O165" s="4" t="str">
        <f t="shared" ca="1" si="8"/>
        <v>Vencido</v>
      </c>
      <c r="P165" s="4" t="s">
        <v>55</v>
      </c>
      <c r="Q165" s="9">
        <v>46036</v>
      </c>
      <c r="R165" s="10">
        <f>IF(OR(Q165="", L165=""), "", NETWORKDAYS(L165, Q165, FESTIVOS!A164:A218))</f>
        <v>-31</v>
      </c>
    </row>
    <row r="166" spans="1:18" x14ac:dyDescent="0.25">
      <c r="A166" s="8" t="s">
        <v>16</v>
      </c>
      <c r="B166" s="7" t="s">
        <v>274</v>
      </c>
      <c r="C166" s="4" t="s">
        <v>46</v>
      </c>
      <c r="D166" s="4" t="s">
        <v>275</v>
      </c>
      <c r="E166" s="4">
        <v>165</v>
      </c>
      <c r="F166" s="9">
        <v>46057</v>
      </c>
      <c r="G166" s="9" t="b">
        <v>0</v>
      </c>
      <c r="H166" s="4" t="b">
        <v>0</v>
      </c>
      <c r="I166" s="28" t="s">
        <v>20</v>
      </c>
      <c r="J166" s="4">
        <f t="shared" si="6"/>
        <v>15</v>
      </c>
      <c r="K166" s="4">
        <f ca="1">IF(AND(F166&lt;&gt;"", L166&lt;&gt;""), NETWORKDAYS(TODAY(), L166-1, FESTIVOS!A$1:A$55), "")</f>
        <v>-76</v>
      </c>
      <c r="L166" s="9">
        <f>IF(AND(F166&lt;&gt;"", J166&lt;&gt;""), WORKDAY(F166, J166, FESTIVOS!A$1:A$55), "")</f>
        <v>46078</v>
      </c>
      <c r="M166" s="4" t="s">
        <v>21</v>
      </c>
      <c r="N166" s="4">
        <f t="shared" ca="1" si="7"/>
        <v>0</v>
      </c>
      <c r="O166" s="4" t="str">
        <f t="shared" ca="1" si="8"/>
        <v>Vencido</v>
      </c>
      <c r="P166" s="4" t="s">
        <v>55</v>
      </c>
      <c r="Q166" s="9">
        <v>46036</v>
      </c>
      <c r="R166" s="10">
        <f>IF(OR(Q166="", L166=""), "", NETWORKDAYS(L166, Q166, FESTIVOS!A165:A219))</f>
        <v>-31</v>
      </c>
    </row>
    <row r="167" spans="1:18" x14ac:dyDescent="0.25">
      <c r="A167" s="8" t="s">
        <v>16</v>
      </c>
      <c r="B167" s="7" t="s">
        <v>276</v>
      </c>
      <c r="C167" s="4" t="s">
        <v>46</v>
      </c>
      <c r="D167" s="4" t="s">
        <v>277</v>
      </c>
      <c r="E167" s="4">
        <v>166</v>
      </c>
      <c r="F167" s="9">
        <v>46057</v>
      </c>
      <c r="G167" s="9" t="b">
        <v>0</v>
      </c>
      <c r="H167" s="4" t="b">
        <v>0</v>
      </c>
      <c r="I167" s="28" t="s">
        <v>20</v>
      </c>
      <c r="J167" s="4">
        <f t="shared" si="6"/>
        <v>15</v>
      </c>
      <c r="K167" s="4">
        <f ca="1">IF(AND(F167&lt;&gt;"", L167&lt;&gt;""), NETWORKDAYS(TODAY(), L167-1, FESTIVOS!A$1:A$55), "")</f>
        <v>-76</v>
      </c>
      <c r="L167" s="9">
        <f>IF(AND(F167&lt;&gt;"", J167&lt;&gt;""), WORKDAY(F167, J167, FESTIVOS!A$1:A$55), "")</f>
        <v>46078</v>
      </c>
      <c r="M167" s="4" t="s">
        <v>21</v>
      </c>
      <c r="N167" s="4">
        <f t="shared" ca="1" si="7"/>
        <v>0</v>
      </c>
      <c r="O167" s="4" t="str">
        <f t="shared" ca="1" si="8"/>
        <v>Vencido</v>
      </c>
      <c r="P167" s="4" t="s">
        <v>55</v>
      </c>
      <c r="Q167" s="9">
        <v>46036</v>
      </c>
      <c r="R167" s="10">
        <f>IF(OR(Q167="", L167=""), "", NETWORKDAYS(L167, Q167, FESTIVOS!A166:A220))</f>
        <v>-31</v>
      </c>
    </row>
    <row r="168" spans="1:18" x14ac:dyDescent="0.25">
      <c r="A168" s="8" t="s">
        <v>16</v>
      </c>
      <c r="B168" s="7" t="s">
        <v>278</v>
      </c>
      <c r="C168" s="4" t="s">
        <v>46</v>
      </c>
      <c r="D168" s="4" t="s">
        <v>279</v>
      </c>
      <c r="E168" s="4">
        <v>167</v>
      </c>
      <c r="F168" s="9">
        <v>46057</v>
      </c>
      <c r="G168" s="9" t="b">
        <v>0</v>
      </c>
      <c r="H168" s="4" t="b">
        <v>0</v>
      </c>
      <c r="I168" s="28" t="s">
        <v>20</v>
      </c>
      <c r="J168" s="4">
        <f t="shared" si="6"/>
        <v>15</v>
      </c>
      <c r="K168" s="4">
        <f ca="1">IF(AND(F168&lt;&gt;"", L168&lt;&gt;""), NETWORKDAYS(TODAY(), L168-1, FESTIVOS!A$1:A$55), "")</f>
        <v>-76</v>
      </c>
      <c r="L168" s="9">
        <f>IF(AND(F168&lt;&gt;"", J168&lt;&gt;""), WORKDAY(F168, J168, FESTIVOS!A$1:A$55), "")</f>
        <v>46078</v>
      </c>
      <c r="M168" s="4" t="s">
        <v>21</v>
      </c>
      <c r="N168" s="4">
        <f t="shared" ca="1" si="7"/>
        <v>0</v>
      </c>
      <c r="O168" s="4" t="str">
        <f t="shared" ca="1" si="8"/>
        <v>Vencido</v>
      </c>
      <c r="P168" s="4" t="s">
        <v>55</v>
      </c>
      <c r="Q168" s="9">
        <v>46036</v>
      </c>
      <c r="R168" s="10">
        <f>IF(OR(Q168="", L168=""), "", NETWORKDAYS(L168, Q168, FESTIVOS!A167:A221))</f>
        <v>-31</v>
      </c>
    </row>
    <row r="169" spans="1:18" x14ac:dyDescent="0.25">
      <c r="A169" s="8" t="s">
        <v>16</v>
      </c>
      <c r="B169" s="7" t="s">
        <v>35</v>
      </c>
      <c r="C169" s="4" t="s">
        <v>90</v>
      </c>
      <c r="D169" s="4" t="s">
        <v>280</v>
      </c>
      <c r="E169" s="4">
        <v>168</v>
      </c>
      <c r="F169" s="9">
        <v>46057</v>
      </c>
      <c r="G169" s="9" t="b">
        <v>0</v>
      </c>
      <c r="H169" s="4" t="b">
        <v>0</v>
      </c>
      <c r="I169" s="28" t="s">
        <v>20</v>
      </c>
      <c r="J169" s="4">
        <f t="shared" si="6"/>
        <v>15</v>
      </c>
      <c r="K169" s="4">
        <f ca="1">IF(AND(F169&lt;&gt;"", L169&lt;&gt;""), NETWORKDAYS(TODAY(), L169-1, FESTIVOS!A$1:A$55), "")</f>
        <v>-76</v>
      </c>
      <c r="L169" s="9">
        <f>IF(AND(F169&lt;&gt;"", J169&lt;&gt;""), WORKDAY(F169, J169, FESTIVOS!A$1:A$55), "")</f>
        <v>46078</v>
      </c>
      <c r="M169" s="4" t="s">
        <v>21</v>
      </c>
      <c r="N169" s="4">
        <f t="shared" ca="1" si="7"/>
        <v>0</v>
      </c>
      <c r="O169" s="4" t="str">
        <f t="shared" ca="1" si="8"/>
        <v>Vencido</v>
      </c>
      <c r="P169" s="4" t="s">
        <v>55</v>
      </c>
      <c r="Q169" s="9">
        <v>46036</v>
      </c>
      <c r="R169" s="10">
        <f>IF(OR(Q169="", L169=""), "", NETWORKDAYS(L169, Q169, FESTIVOS!A168:A222))</f>
        <v>-31</v>
      </c>
    </row>
    <row r="170" spans="1:18" x14ac:dyDescent="0.25">
      <c r="A170" s="8" t="s">
        <v>16</v>
      </c>
      <c r="B170" s="7" t="s">
        <v>281</v>
      </c>
      <c r="C170" s="4" t="s">
        <v>90</v>
      </c>
      <c r="D170" s="4" t="s">
        <v>282</v>
      </c>
      <c r="E170" s="4">
        <v>169</v>
      </c>
      <c r="F170" s="9">
        <v>46057</v>
      </c>
      <c r="G170" s="9" t="b">
        <v>0</v>
      </c>
      <c r="H170" s="4" t="b">
        <v>0</v>
      </c>
      <c r="I170" s="28" t="s">
        <v>20</v>
      </c>
      <c r="J170" s="4">
        <f t="shared" si="6"/>
        <v>15</v>
      </c>
      <c r="K170" s="4">
        <f ca="1">IF(AND(F170&lt;&gt;"", L170&lt;&gt;""), NETWORKDAYS(TODAY(), L170-1, FESTIVOS!A$1:A$55), "")</f>
        <v>-76</v>
      </c>
      <c r="L170" s="9">
        <f>IF(AND(F170&lt;&gt;"", J170&lt;&gt;""), WORKDAY(F170, J170, FESTIVOS!A$1:A$55), "")</f>
        <v>46078</v>
      </c>
      <c r="M170" s="4" t="s">
        <v>21</v>
      </c>
      <c r="N170" s="4">
        <f t="shared" ca="1" si="7"/>
        <v>0</v>
      </c>
      <c r="O170" s="4" t="str">
        <f t="shared" ca="1" si="8"/>
        <v>Vencido</v>
      </c>
      <c r="P170" s="4" t="s">
        <v>55</v>
      </c>
      <c r="Q170" s="9">
        <v>46036</v>
      </c>
      <c r="R170" s="10">
        <f>IF(OR(Q170="", L170=""), "", NETWORKDAYS(L170, Q170, FESTIVOS!A169:A223))</f>
        <v>-31</v>
      </c>
    </row>
    <row r="171" spans="1:18" x14ac:dyDescent="0.25">
      <c r="A171" s="8" t="s">
        <v>16</v>
      </c>
      <c r="B171" s="7" t="s">
        <v>283</v>
      </c>
      <c r="C171" s="4" t="s">
        <v>46</v>
      </c>
      <c r="D171" s="4" t="s">
        <v>284</v>
      </c>
      <c r="E171" s="4">
        <v>170</v>
      </c>
      <c r="F171" s="9">
        <v>46058</v>
      </c>
      <c r="G171" s="9" t="b">
        <v>0</v>
      </c>
      <c r="H171" s="4" t="b">
        <v>0</v>
      </c>
      <c r="I171" s="28" t="s">
        <v>20</v>
      </c>
      <c r="J171" s="4">
        <f t="shared" si="6"/>
        <v>15</v>
      </c>
      <c r="K171" s="4">
        <f ca="1">IF(AND(F171&lt;&gt;"", L171&lt;&gt;""), NETWORKDAYS(TODAY(), L171-1, FESTIVOS!A$1:A$55), "")</f>
        <v>-75</v>
      </c>
      <c r="L171" s="9">
        <f>IF(AND(F171&lt;&gt;"", J171&lt;&gt;""), WORKDAY(F171, J171, FESTIVOS!A$1:A$55), "")</f>
        <v>46079</v>
      </c>
      <c r="M171" s="4" t="s">
        <v>21</v>
      </c>
      <c r="N171" s="4">
        <f t="shared" ca="1" si="7"/>
        <v>0</v>
      </c>
      <c r="O171" s="4" t="str">
        <f t="shared" ca="1" si="8"/>
        <v>Vencido</v>
      </c>
      <c r="P171" s="4" t="s">
        <v>55</v>
      </c>
      <c r="Q171" s="9">
        <v>46036</v>
      </c>
      <c r="R171" s="10">
        <f>IF(OR(Q171="", L171=""), "", NETWORKDAYS(L171, Q171, FESTIVOS!A170:A224))</f>
        <v>-32</v>
      </c>
    </row>
    <row r="172" spans="1:18" x14ac:dyDescent="0.25">
      <c r="A172" s="8" t="s">
        <v>16</v>
      </c>
      <c r="B172" s="7" t="s">
        <v>285</v>
      </c>
      <c r="C172" s="4" t="s">
        <v>46</v>
      </c>
      <c r="D172" s="4" t="s">
        <v>286</v>
      </c>
      <c r="E172" s="4">
        <v>171</v>
      </c>
      <c r="F172" s="9">
        <v>46058</v>
      </c>
      <c r="G172" s="9" t="b">
        <v>0</v>
      </c>
      <c r="H172" s="4" t="b">
        <v>0</v>
      </c>
      <c r="I172" s="28" t="s">
        <v>66</v>
      </c>
      <c r="J172" s="4">
        <f t="shared" si="6"/>
        <v>15</v>
      </c>
      <c r="K172" s="4">
        <f ca="1">IF(AND(F172&lt;&gt;"", L172&lt;&gt;""), NETWORKDAYS(TODAY(), L172-1, FESTIVOS!A$1:A$55), "")</f>
        <v>-75</v>
      </c>
      <c r="L172" s="9">
        <f>IF(AND(F172&lt;&gt;"", J172&lt;&gt;""), WORKDAY(F172, J172, FESTIVOS!A$1:A$55), "")</f>
        <v>46079</v>
      </c>
      <c r="M172" s="4" t="s">
        <v>21</v>
      </c>
      <c r="N172" s="4">
        <f t="shared" ca="1" si="7"/>
        <v>0</v>
      </c>
      <c r="O172" s="4" t="str">
        <f t="shared" ca="1" si="8"/>
        <v>Vencido</v>
      </c>
      <c r="P172" s="4" t="s">
        <v>55</v>
      </c>
      <c r="Q172" s="9">
        <v>46036</v>
      </c>
      <c r="R172" s="10">
        <f>IF(OR(Q172="", L172=""), "", NETWORKDAYS(L172, Q172, FESTIVOS!A171:A225))</f>
        <v>-32</v>
      </c>
    </row>
    <row r="173" spans="1:18" x14ac:dyDescent="0.25">
      <c r="A173" s="8" t="s">
        <v>16</v>
      </c>
      <c r="B173" s="7" t="s">
        <v>287</v>
      </c>
      <c r="C173" s="4" t="s">
        <v>46</v>
      </c>
      <c r="D173" s="4" t="s">
        <v>288</v>
      </c>
      <c r="E173" s="4">
        <v>172</v>
      </c>
      <c r="F173" s="9">
        <v>46058</v>
      </c>
      <c r="G173" s="9" t="b">
        <v>0</v>
      </c>
      <c r="H173" s="4" t="b">
        <v>0</v>
      </c>
      <c r="I173" s="28" t="s">
        <v>20</v>
      </c>
      <c r="J173" s="4">
        <f t="shared" si="6"/>
        <v>15</v>
      </c>
      <c r="K173" s="4">
        <f ca="1">IF(AND(F173&lt;&gt;"", L173&lt;&gt;""), NETWORKDAYS(TODAY(), L173-1, FESTIVOS!A$1:A$55), "")</f>
        <v>-75</v>
      </c>
      <c r="L173" s="9">
        <f>IF(AND(F173&lt;&gt;"", J173&lt;&gt;""), WORKDAY(F173, J173, FESTIVOS!A$1:A$55), "")</f>
        <v>46079</v>
      </c>
      <c r="M173" s="4" t="s">
        <v>21</v>
      </c>
      <c r="N173" s="4">
        <f t="shared" ca="1" si="7"/>
        <v>0</v>
      </c>
      <c r="O173" s="4" t="str">
        <f t="shared" ca="1" si="8"/>
        <v>Vencido</v>
      </c>
      <c r="P173" s="4" t="s">
        <v>55</v>
      </c>
      <c r="Q173" s="9">
        <v>46036</v>
      </c>
      <c r="R173" s="10">
        <f>IF(OR(Q173="", L173=""), "", NETWORKDAYS(L173, Q173, FESTIVOS!A172:A226))</f>
        <v>-32</v>
      </c>
    </row>
    <row r="174" spans="1:18" x14ac:dyDescent="0.25">
      <c r="A174" s="8" t="s">
        <v>16</v>
      </c>
      <c r="B174" s="7" t="s">
        <v>289</v>
      </c>
      <c r="C174" s="4" t="s">
        <v>46</v>
      </c>
      <c r="D174" s="4" t="s">
        <v>290</v>
      </c>
      <c r="E174" s="4">
        <v>173</v>
      </c>
      <c r="F174" s="9">
        <v>46058</v>
      </c>
      <c r="G174" s="9" t="b">
        <v>0</v>
      </c>
      <c r="H174" s="4" t="b">
        <v>0</v>
      </c>
      <c r="I174" s="28" t="s">
        <v>80</v>
      </c>
      <c r="J174" s="4">
        <f t="shared" si="6"/>
        <v>15</v>
      </c>
      <c r="K174" s="4">
        <f ca="1">IF(AND(F174&lt;&gt;"", L174&lt;&gt;""), NETWORKDAYS(TODAY(), L174-1, FESTIVOS!A$1:A$55), "")</f>
        <v>-75</v>
      </c>
      <c r="L174" s="9">
        <f>IF(AND(F174&lt;&gt;"", J174&lt;&gt;""), WORKDAY(F174, J174, FESTIVOS!A$1:A$55), "")</f>
        <v>46079</v>
      </c>
      <c r="M174" s="4" t="s">
        <v>21</v>
      </c>
      <c r="N174" s="4">
        <f t="shared" ca="1" si="7"/>
        <v>0</v>
      </c>
      <c r="O174" s="4" t="str">
        <f t="shared" ca="1" si="8"/>
        <v>Vencido</v>
      </c>
      <c r="P174" s="4" t="s">
        <v>55</v>
      </c>
      <c r="Q174" s="9">
        <v>46036</v>
      </c>
      <c r="R174" s="10">
        <f>IF(OR(Q174="", L174=""), "", NETWORKDAYS(L174, Q174, FESTIVOS!A173:A227))</f>
        <v>-32</v>
      </c>
    </row>
    <row r="175" spans="1:18" x14ac:dyDescent="0.25">
      <c r="A175" s="8" t="s">
        <v>16</v>
      </c>
      <c r="B175" s="7" t="s">
        <v>291</v>
      </c>
      <c r="C175" s="4" t="s">
        <v>292</v>
      </c>
      <c r="D175" s="4" t="s">
        <v>293</v>
      </c>
      <c r="E175" s="4">
        <v>174</v>
      </c>
      <c r="F175" s="9">
        <v>46058</v>
      </c>
      <c r="G175" s="9" t="b">
        <v>0</v>
      </c>
      <c r="H175" s="4" t="b">
        <v>0</v>
      </c>
      <c r="I175" s="28" t="s">
        <v>44</v>
      </c>
      <c r="J175" s="4">
        <f t="shared" si="6"/>
        <v>15</v>
      </c>
      <c r="K175" s="4">
        <f ca="1">IF(AND(F175&lt;&gt;"", L175&lt;&gt;""), NETWORKDAYS(TODAY(), L175-1, FESTIVOS!A$1:A$55), "")</f>
        <v>-75</v>
      </c>
      <c r="L175" s="9">
        <f>IF(AND(F175&lt;&gt;"", J175&lt;&gt;""), WORKDAY(F175, J175, FESTIVOS!A$1:A$55), "")</f>
        <v>46079</v>
      </c>
      <c r="M175" s="4" t="s">
        <v>21</v>
      </c>
      <c r="N175" s="4">
        <f t="shared" ca="1" si="7"/>
        <v>0</v>
      </c>
      <c r="O175" s="4" t="str">
        <f t="shared" ca="1" si="8"/>
        <v>Vencido</v>
      </c>
      <c r="P175" s="4" t="s">
        <v>55</v>
      </c>
      <c r="Q175" s="9">
        <v>46036</v>
      </c>
      <c r="R175" s="10">
        <f>IF(OR(Q175="", L175=""), "", NETWORKDAYS(L175, Q175, FESTIVOS!A174:A228))</f>
        <v>-32</v>
      </c>
    </row>
    <row r="176" spans="1:18" x14ac:dyDescent="0.25">
      <c r="A176" s="8" t="s">
        <v>16</v>
      </c>
      <c r="B176" s="7" t="s">
        <v>294</v>
      </c>
      <c r="C176" s="4" t="s">
        <v>46</v>
      </c>
      <c r="D176" s="4" t="s">
        <v>295</v>
      </c>
      <c r="E176" s="4">
        <v>175</v>
      </c>
      <c r="F176" s="9">
        <v>46058</v>
      </c>
      <c r="G176" s="9" t="b">
        <v>0</v>
      </c>
      <c r="H176" s="4" t="b">
        <v>0</v>
      </c>
      <c r="I176" s="28" t="s">
        <v>20</v>
      </c>
      <c r="J176" s="4">
        <f t="shared" si="6"/>
        <v>15</v>
      </c>
      <c r="K176" s="4">
        <f ca="1">IF(AND(F176&lt;&gt;"", L176&lt;&gt;""), NETWORKDAYS(TODAY(), L176-1, FESTIVOS!A$1:A$55), "")</f>
        <v>-75</v>
      </c>
      <c r="L176" s="9">
        <f>IF(AND(F176&lt;&gt;"", J176&lt;&gt;""), WORKDAY(F176, J176, FESTIVOS!A$1:A$55), "")</f>
        <v>46079</v>
      </c>
      <c r="M176" s="4" t="s">
        <v>21</v>
      </c>
      <c r="N176" s="4">
        <f t="shared" ca="1" si="7"/>
        <v>0</v>
      </c>
      <c r="O176" s="4" t="str">
        <f t="shared" ca="1" si="8"/>
        <v>Vencido</v>
      </c>
      <c r="P176" s="4" t="s">
        <v>55</v>
      </c>
      <c r="Q176" s="9">
        <v>46036</v>
      </c>
      <c r="R176" s="10">
        <f>IF(OR(Q176="", L176=""), "", NETWORKDAYS(L176, Q176, FESTIVOS!A175:A229))</f>
        <v>-32</v>
      </c>
    </row>
    <row r="177" spans="1:18" x14ac:dyDescent="0.25">
      <c r="A177" s="8" t="s">
        <v>16</v>
      </c>
      <c r="B177" s="7" t="s">
        <v>296</v>
      </c>
      <c r="C177" s="4" t="s">
        <v>46</v>
      </c>
      <c r="D177" s="4" t="s">
        <v>297</v>
      </c>
      <c r="E177" s="4">
        <v>176</v>
      </c>
      <c r="F177" s="9">
        <v>46058</v>
      </c>
      <c r="G177" s="9" t="b">
        <v>0</v>
      </c>
      <c r="H177" s="4" t="b">
        <v>0</v>
      </c>
      <c r="I177" s="28" t="s">
        <v>66</v>
      </c>
      <c r="J177" s="4">
        <f t="shared" si="6"/>
        <v>15</v>
      </c>
      <c r="K177" s="4">
        <f ca="1">IF(AND(F177&lt;&gt;"", L177&lt;&gt;""), NETWORKDAYS(TODAY(), L177-1, FESTIVOS!A$1:A$55), "")</f>
        <v>-75</v>
      </c>
      <c r="L177" s="9">
        <f>IF(AND(F177&lt;&gt;"", J177&lt;&gt;""), WORKDAY(F177, J177, FESTIVOS!A$1:A$55), "")</f>
        <v>46079</v>
      </c>
      <c r="M177" s="4" t="s">
        <v>21</v>
      </c>
      <c r="N177" s="4">
        <f t="shared" ca="1" si="7"/>
        <v>0</v>
      </c>
      <c r="O177" s="4" t="str">
        <f t="shared" ca="1" si="8"/>
        <v>Vencido</v>
      </c>
      <c r="P177" s="4" t="s">
        <v>55</v>
      </c>
      <c r="Q177" s="9">
        <v>46036</v>
      </c>
      <c r="R177" s="10">
        <f>IF(OR(Q177="", L177=""), "", NETWORKDAYS(L177, Q177, FESTIVOS!A176:A230))</f>
        <v>-32</v>
      </c>
    </row>
    <row r="178" spans="1:18" x14ac:dyDescent="0.25">
      <c r="A178" s="8" t="s">
        <v>16</v>
      </c>
      <c r="B178" s="7" t="s">
        <v>298</v>
      </c>
      <c r="C178" s="4" t="s">
        <v>46</v>
      </c>
      <c r="D178" s="4" t="s">
        <v>299</v>
      </c>
      <c r="E178" s="4">
        <v>177</v>
      </c>
      <c r="F178" s="9">
        <v>46058</v>
      </c>
      <c r="G178" s="9" t="b">
        <v>0</v>
      </c>
      <c r="H178" s="4" t="b">
        <v>0</v>
      </c>
      <c r="I178" s="28" t="s">
        <v>20</v>
      </c>
      <c r="J178" s="4">
        <f t="shared" si="6"/>
        <v>15</v>
      </c>
      <c r="K178" s="4">
        <f ca="1">IF(AND(F178&lt;&gt;"", L178&lt;&gt;""), NETWORKDAYS(TODAY(), L178-1, FESTIVOS!A$1:A$55), "")</f>
        <v>-75</v>
      </c>
      <c r="L178" s="9">
        <f>IF(AND(F178&lt;&gt;"", J178&lt;&gt;""), WORKDAY(F178, J178, FESTIVOS!A$1:A$55), "")</f>
        <v>46079</v>
      </c>
      <c r="M178" s="4" t="s">
        <v>21</v>
      </c>
      <c r="N178" s="4">
        <f t="shared" ca="1" si="7"/>
        <v>0</v>
      </c>
      <c r="O178" s="4" t="str">
        <f t="shared" ca="1" si="8"/>
        <v>Vencido</v>
      </c>
      <c r="P178" s="4" t="s">
        <v>55</v>
      </c>
      <c r="Q178" s="9">
        <v>46036</v>
      </c>
      <c r="R178" s="10">
        <f>IF(OR(Q178="", L178=""), "", NETWORKDAYS(L178, Q178, FESTIVOS!A177:A231))</f>
        <v>-32</v>
      </c>
    </row>
    <row r="179" spans="1:18" x14ac:dyDescent="0.25">
      <c r="A179" s="8" t="s">
        <v>16</v>
      </c>
      <c r="B179" s="7" t="s">
        <v>300</v>
      </c>
      <c r="C179" s="4" t="s">
        <v>46</v>
      </c>
      <c r="D179" s="4" t="s">
        <v>301</v>
      </c>
      <c r="E179" s="4">
        <v>178</v>
      </c>
      <c r="F179" s="9">
        <v>46058</v>
      </c>
      <c r="G179" s="9" t="b">
        <v>0</v>
      </c>
      <c r="H179" s="4" t="b">
        <v>0</v>
      </c>
      <c r="I179" s="28" t="s">
        <v>20</v>
      </c>
      <c r="J179" s="4">
        <f t="shared" si="6"/>
        <v>15</v>
      </c>
      <c r="K179" s="4">
        <f ca="1">IF(AND(F179&lt;&gt;"", L179&lt;&gt;""), NETWORKDAYS(TODAY(), L179-1, FESTIVOS!A$1:A$55), "")</f>
        <v>-75</v>
      </c>
      <c r="L179" s="9">
        <f>IF(AND(F179&lt;&gt;"", J179&lt;&gt;""), WORKDAY(F179, J179, FESTIVOS!A$1:A$55), "")</f>
        <v>46079</v>
      </c>
      <c r="M179" s="4" t="s">
        <v>21</v>
      </c>
      <c r="N179" s="4">
        <f t="shared" ca="1" si="7"/>
        <v>0</v>
      </c>
      <c r="O179" s="4" t="str">
        <f t="shared" ca="1" si="8"/>
        <v>Vencido</v>
      </c>
      <c r="P179" s="4" t="s">
        <v>55</v>
      </c>
      <c r="Q179" s="9">
        <v>46036</v>
      </c>
      <c r="R179" s="10">
        <f>IF(OR(Q179="", L179=""), "", NETWORKDAYS(L179, Q179, FESTIVOS!A178:A232))</f>
        <v>-32</v>
      </c>
    </row>
    <row r="180" spans="1:18" x14ac:dyDescent="0.25">
      <c r="A180" s="8" t="s">
        <v>16</v>
      </c>
      <c r="B180" s="7" t="s">
        <v>302</v>
      </c>
      <c r="C180" s="4" t="s">
        <v>46</v>
      </c>
      <c r="D180" s="4" t="s">
        <v>221</v>
      </c>
      <c r="E180" s="4">
        <v>179</v>
      </c>
      <c r="F180" s="9">
        <v>46059</v>
      </c>
      <c r="G180" s="9" t="b">
        <v>0</v>
      </c>
      <c r="H180" s="4" t="b">
        <v>0</v>
      </c>
      <c r="I180" s="28" t="s">
        <v>20</v>
      </c>
      <c r="J180" s="4">
        <f t="shared" si="6"/>
        <v>15</v>
      </c>
      <c r="K180" s="4">
        <f ca="1">IF(AND(F180&lt;&gt;"", L180&lt;&gt;""), NETWORKDAYS(TODAY(), L180-1, FESTIVOS!A$1:A$55), "")</f>
        <v>-74</v>
      </c>
      <c r="L180" s="9">
        <f>IF(AND(F180&lt;&gt;"", J180&lt;&gt;""), WORKDAY(F180, J180, FESTIVOS!A$1:A$55), "")</f>
        <v>46080</v>
      </c>
      <c r="M180" s="4" t="s">
        <v>21</v>
      </c>
      <c r="N180" s="4">
        <f t="shared" ca="1" si="7"/>
        <v>0</v>
      </c>
      <c r="O180" s="4" t="str">
        <f t="shared" ca="1" si="8"/>
        <v>Vencido</v>
      </c>
      <c r="P180" s="4" t="s">
        <v>55</v>
      </c>
      <c r="Q180" s="9">
        <v>46036</v>
      </c>
      <c r="R180" s="10">
        <f>IF(OR(Q180="", L180=""), "", NETWORKDAYS(L180, Q180, FESTIVOS!A179:A233))</f>
        <v>-33</v>
      </c>
    </row>
    <row r="181" spans="1:18" x14ac:dyDescent="0.25">
      <c r="A181" s="8" t="s">
        <v>16</v>
      </c>
      <c r="B181" s="7" t="s">
        <v>303</v>
      </c>
      <c r="C181" s="4" t="s">
        <v>46</v>
      </c>
      <c r="D181" s="4" t="s">
        <v>304</v>
      </c>
      <c r="E181" s="4">
        <v>180</v>
      </c>
      <c r="F181" s="9">
        <v>46059</v>
      </c>
      <c r="G181" s="9" t="b">
        <v>0</v>
      </c>
      <c r="H181" s="4" t="b">
        <v>0</v>
      </c>
      <c r="I181" s="28" t="s">
        <v>20</v>
      </c>
      <c r="J181" s="4">
        <f t="shared" si="6"/>
        <v>15</v>
      </c>
      <c r="K181" s="4">
        <f ca="1">IF(AND(F181&lt;&gt;"", L181&lt;&gt;""), NETWORKDAYS(TODAY(), L181-1, FESTIVOS!A$1:A$55), "")</f>
        <v>-74</v>
      </c>
      <c r="L181" s="9">
        <f>IF(AND(F181&lt;&gt;"", J181&lt;&gt;""), WORKDAY(F181, J181, FESTIVOS!A$1:A$55), "")</f>
        <v>46080</v>
      </c>
      <c r="M181" s="4" t="s">
        <v>21</v>
      </c>
      <c r="N181" s="4">
        <f t="shared" ca="1" si="7"/>
        <v>0</v>
      </c>
      <c r="O181" s="4" t="str">
        <f t="shared" ca="1" si="8"/>
        <v>Vencido</v>
      </c>
      <c r="P181" s="4" t="s">
        <v>55</v>
      </c>
      <c r="Q181" s="9">
        <v>46036</v>
      </c>
      <c r="R181" s="10">
        <f>IF(OR(Q181="", L181=""), "", NETWORKDAYS(L181, Q181, FESTIVOS!A180:A234))</f>
        <v>-33</v>
      </c>
    </row>
    <row r="182" spans="1:18" x14ac:dyDescent="0.25">
      <c r="A182" s="8" t="s">
        <v>16</v>
      </c>
      <c r="B182" s="7" t="s">
        <v>291</v>
      </c>
      <c r="C182" s="4" t="s">
        <v>292</v>
      </c>
      <c r="D182" s="4" t="s">
        <v>305</v>
      </c>
      <c r="E182" s="4">
        <v>181</v>
      </c>
      <c r="F182" s="9">
        <v>46059</v>
      </c>
      <c r="G182" s="9" t="b">
        <v>0</v>
      </c>
      <c r="H182" s="4" t="b">
        <v>0</v>
      </c>
      <c r="I182" s="28" t="s">
        <v>20</v>
      </c>
      <c r="J182" s="4">
        <f t="shared" si="6"/>
        <v>15</v>
      </c>
      <c r="K182" s="4">
        <f ca="1">IF(AND(F182&lt;&gt;"", L182&lt;&gt;""), NETWORKDAYS(TODAY(), L182-1, FESTIVOS!A$1:A$55), "")</f>
        <v>-74</v>
      </c>
      <c r="L182" s="9">
        <f>IF(AND(F182&lt;&gt;"", J182&lt;&gt;""), WORKDAY(F182, J182, FESTIVOS!A$1:A$55), "")</f>
        <v>46080</v>
      </c>
      <c r="M182" s="4" t="s">
        <v>21</v>
      </c>
      <c r="N182" s="4">
        <f t="shared" ca="1" si="7"/>
        <v>0</v>
      </c>
      <c r="O182" s="4" t="str">
        <f t="shared" ca="1" si="8"/>
        <v>Vencido</v>
      </c>
      <c r="P182" s="4" t="s">
        <v>55</v>
      </c>
      <c r="Q182" s="9">
        <v>46036</v>
      </c>
      <c r="R182" s="10">
        <f>IF(OR(Q182="", L182=""), "", NETWORKDAYS(L182, Q182, FESTIVOS!A181:A235))</f>
        <v>-33</v>
      </c>
    </row>
    <row r="183" spans="1:18" x14ac:dyDescent="0.25">
      <c r="A183" s="8" t="s">
        <v>16</v>
      </c>
      <c r="B183" s="7" t="s">
        <v>306</v>
      </c>
      <c r="C183" s="4" t="s">
        <v>46</v>
      </c>
      <c r="D183" s="4" t="s">
        <v>135</v>
      </c>
      <c r="E183" s="4">
        <v>182</v>
      </c>
      <c r="F183" s="9">
        <v>46059</v>
      </c>
      <c r="G183" s="9" t="b">
        <v>0</v>
      </c>
      <c r="H183" s="4" t="b">
        <v>0</v>
      </c>
      <c r="I183" s="28" t="s">
        <v>44</v>
      </c>
      <c r="J183" s="4">
        <f t="shared" si="6"/>
        <v>15</v>
      </c>
      <c r="K183" s="4">
        <f ca="1">IF(AND(F183&lt;&gt;"", L183&lt;&gt;""), NETWORKDAYS(TODAY(), L183-1, FESTIVOS!A$1:A$55), "")</f>
        <v>-74</v>
      </c>
      <c r="L183" s="9">
        <f>IF(AND(F183&lt;&gt;"", J183&lt;&gt;""), WORKDAY(F183, J183, FESTIVOS!A$1:A$55), "")</f>
        <v>46080</v>
      </c>
      <c r="M183" s="4" t="s">
        <v>21</v>
      </c>
      <c r="N183" s="4">
        <f t="shared" ca="1" si="7"/>
        <v>0</v>
      </c>
      <c r="O183" s="4" t="str">
        <f t="shared" ca="1" si="8"/>
        <v>Vencido</v>
      </c>
      <c r="P183" s="4" t="s">
        <v>55</v>
      </c>
      <c r="Q183" s="9">
        <v>46036</v>
      </c>
      <c r="R183" s="10">
        <f>IF(OR(Q183="", L183=""), "", NETWORKDAYS(L183, Q183, FESTIVOS!A182:A236))</f>
        <v>-33</v>
      </c>
    </row>
    <row r="184" spans="1:18" x14ac:dyDescent="0.25">
      <c r="A184" s="8" t="s">
        <v>16</v>
      </c>
      <c r="B184" s="7" t="s">
        <v>17</v>
      </c>
      <c r="C184" s="4" t="s">
        <v>84</v>
      </c>
      <c r="D184" s="4" t="s">
        <v>102</v>
      </c>
      <c r="E184" s="4">
        <v>183</v>
      </c>
      <c r="F184" s="9">
        <v>46059</v>
      </c>
      <c r="G184" s="9" t="b">
        <v>0</v>
      </c>
      <c r="H184" s="4" t="b">
        <v>0</v>
      </c>
      <c r="I184" s="28" t="s">
        <v>20</v>
      </c>
      <c r="J184" s="4">
        <f t="shared" si="6"/>
        <v>15</v>
      </c>
      <c r="K184" s="4">
        <f ca="1">IF(AND(F184&lt;&gt;"", L184&lt;&gt;""), NETWORKDAYS(TODAY(), L184-1, FESTIVOS!A$1:A$55), "")</f>
        <v>-74</v>
      </c>
      <c r="L184" s="9">
        <f>IF(AND(F184&lt;&gt;"", J184&lt;&gt;""), WORKDAY(F184, J184, FESTIVOS!A$1:A$55), "")</f>
        <v>46080</v>
      </c>
      <c r="M184" s="4" t="s">
        <v>21</v>
      </c>
      <c r="N184" s="4">
        <f t="shared" ca="1" si="7"/>
        <v>0</v>
      </c>
      <c r="O184" s="4" t="str">
        <f t="shared" ca="1" si="8"/>
        <v>Vencido</v>
      </c>
      <c r="P184" s="4" t="s">
        <v>55</v>
      </c>
      <c r="Q184" s="9">
        <v>46036</v>
      </c>
      <c r="R184" s="10">
        <f>IF(OR(Q184="", L184=""), "", NETWORKDAYS(L184, Q184, FESTIVOS!A183:A237))</f>
        <v>-33</v>
      </c>
    </row>
    <row r="185" spans="1:18" x14ac:dyDescent="0.25">
      <c r="A185" s="8" t="s">
        <v>16</v>
      </c>
      <c r="B185" s="7" t="s">
        <v>307</v>
      </c>
      <c r="C185" s="4" t="s">
        <v>46</v>
      </c>
      <c r="D185" s="4" t="s">
        <v>308</v>
      </c>
      <c r="E185" s="4">
        <v>184</v>
      </c>
      <c r="F185" s="9">
        <v>46062</v>
      </c>
      <c r="G185" s="9" t="b">
        <v>0</v>
      </c>
      <c r="H185" s="4" t="b">
        <v>0</v>
      </c>
      <c r="I185" s="28" t="s">
        <v>254</v>
      </c>
      <c r="J185" s="4">
        <f t="shared" si="6"/>
        <v>15</v>
      </c>
      <c r="K185" s="4">
        <f ca="1">IF(AND(F185&lt;&gt;"", L185&lt;&gt;""), NETWORKDAYS(TODAY(), L185-1, FESTIVOS!A$1:A$55), "")</f>
        <v>-72</v>
      </c>
      <c r="L185" s="9">
        <f>IF(AND(F185&lt;&gt;"", J185&lt;&gt;""), WORKDAY(F185, J185, FESTIVOS!A$1:A$55), "")</f>
        <v>46083</v>
      </c>
      <c r="M185" s="4" t="s">
        <v>21</v>
      </c>
      <c r="N185" s="4">
        <f t="shared" ca="1" si="7"/>
        <v>0</v>
      </c>
      <c r="O185" s="4" t="str">
        <f t="shared" ca="1" si="8"/>
        <v>Vencido</v>
      </c>
      <c r="P185" s="4" t="s">
        <v>55</v>
      </c>
      <c r="Q185" s="9">
        <v>46036</v>
      </c>
      <c r="R185" s="10">
        <f>IF(OR(Q185="", L185=""), "", NETWORKDAYS(L185, Q185, FESTIVOS!A184:A238))</f>
        <v>-34</v>
      </c>
    </row>
    <row r="186" spans="1:18" x14ac:dyDescent="0.25">
      <c r="A186" s="8" t="s">
        <v>16</v>
      </c>
      <c r="B186" s="7" t="s">
        <v>208</v>
      </c>
      <c r="C186" s="4" t="s">
        <v>209</v>
      </c>
      <c r="D186" s="4" t="s">
        <v>309</v>
      </c>
      <c r="E186" s="4">
        <v>185</v>
      </c>
      <c r="F186" s="9">
        <v>46062</v>
      </c>
      <c r="G186" s="9" t="b">
        <v>0</v>
      </c>
      <c r="H186" s="4" t="b">
        <v>0</v>
      </c>
      <c r="I186" s="28"/>
      <c r="J186" s="4">
        <f t="shared" si="6"/>
        <v>15</v>
      </c>
      <c r="K186" s="4">
        <f ca="1">IF(AND(F186&lt;&gt;"", L186&lt;&gt;""), NETWORKDAYS(TODAY(), L186-1, FESTIVOS!A$1:A$55), "")</f>
        <v>-72</v>
      </c>
      <c r="L186" s="9">
        <f>IF(AND(F186&lt;&gt;"", J186&lt;&gt;""), WORKDAY(F186, J186, FESTIVOS!A$1:A$55), "")</f>
        <v>46083</v>
      </c>
      <c r="M186" s="4" t="s">
        <v>21</v>
      </c>
      <c r="N186" s="4">
        <f t="shared" ca="1" si="7"/>
        <v>0</v>
      </c>
      <c r="O186" s="4" t="str">
        <f t="shared" ca="1" si="8"/>
        <v>Vencido</v>
      </c>
      <c r="P186" s="4" t="s">
        <v>310</v>
      </c>
      <c r="Q186" s="9">
        <v>46069</v>
      </c>
      <c r="R186" s="10">
        <f>IF(OR(Q186="", L186=""), "", NETWORKDAYS(L186, Q186, FESTIVOS!A185:A239))</f>
        <v>-11</v>
      </c>
    </row>
    <row r="187" spans="1:18" x14ac:dyDescent="0.25">
      <c r="A187" s="8" t="s">
        <v>16</v>
      </c>
      <c r="B187" s="7" t="s">
        <v>311</v>
      </c>
      <c r="C187" s="4" t="s">
        <v>46</v>
      </c>
      <c r="D187" s="4" t="s">
        <v>312</v>
      </c>
      <c r="E187" s="4">
        <v>186</v>
      </c>
      <c r="F187" s="9">
        <v>46062</v>
      </c>
      <c r="G187" s="9" t="b">
        <v>0</v>
      </c>
      <c r="H187" s="4" t="b">
        <v>0</v>
      </c>
      <c r="I187" s="28"/>
      <c r="J187" s="4">
        <f t="shared" si="6"/>
        <v>15</v>
      </c>
      <c r="K187" s="4">
        <f ca="1">IF(AND(F187&lt;&gt;"", L187&lt;&gt;""), NETWORKDAYS(TODAY(), L187-1, FESTIVOS!A$1:A$55), "")</f>
        <v>-72</v>
      </c>
      <c r="L187" s="9">
        <f>IF(AND(F187&lt;&gt;"", J187&lt;&gt;""), WORKDAY(F187, J187, FESTIVOS!A$1:A$55), "")</f>
        <v>46083</v>
      </c>
      <c r="M187" s="4" t="s">
        <v>21</v>
      </c>
      <c r="N187" s="4">
        <f t="shared" ca="1" si="7"/>
        <v>0</v>
      </c>
      <c r="O187" s="4" t="str">
        <f t="shared" ca="1" si="8"/>
        <v>Vencido</v>
      </c>
      <c r="P187" s="4" t="s">
        <v>55</v>
      </c>
      <c r="Q187" s="9">
        <v>46036</v>
      </c>
      <c r="R187" s="10">
        <f>IF(OR(Q187="", L187=""), "", NETWORKDAYS(L187, Q187, FESTIVOS!A186:A240))</f>
        <v>-34</v>
      </c>
    </row>
    <row r="188" spans="1:18" x14ac:dyDescent="0.25">
      <c r="A188" s="8" t="s">
        <v>16</v>
      </c>
      <c r="B188" s="7" t="s">
        <v>313</v>
      </c>
      <c r="C188" s="4" t="s">
        <v>46</v>
      </c>
      <c r="D188" s="4" t="s">
        <v>314</v>
      </c>
      <c r="E188" s="4">
        <v>187</v>
      </c>
      <c r="F188" s="9">
        <v>46062</v>
      </c>
      <c r="G188" s="9" t="b">
        <v>0</v>
      </c>
      <c r="H188" s="4" t="b">
        <v>0</v>
      </c>
      <c r="I188" s="28"/>
      <c r="J188" s="4">
        <f t="shared" si="6"/>
        <v>15</v>
      </c>
      <c r="K188" s="4">
        <f ca="1">IF(AND(F188&lt;&gt;"", L188&lt;&gt;""), NETWORKDAYS(TODAY(), L188-1, FESTIVOS!A$1:A$55), "")</f>
        <v>-72</v>
      </c>
      <c r="L188" s="9">
        <f>IF(AND(F188&lt;&gt;"", J188&lt;&gt;""), WORKDAY(F188, J188, FESTIVOS!A$1:A$55), "")</f>
        <v>46083</v>
      </c>
      <c r="M188" s="4" t="s">
        <v>21</v>
      </c>
      <c r="N188" s="4">
        <f t="shared" ca="1" si="7"/>
        <v>0</v>
      </c>
      <c r="O188" s="4" t="str">
        <f t="shared" ca="1" si="8"/>
        <v>Vencido</v>
      </c>
      <c r="P188" s="4" t="s">
        <v>55</v>
      </c>
      <c r="Q188" s="9">
        <v>46036</v>
      </c>
      <c r="R188" s="10">
        <f>IF(OR(Q188="", L188=""), "", NETWORKDAYS(L188, Q188, FESTIVOS!A187:A241))</f>
        <v>-34</v>
      </c>
    </row>
    <row r="189" spans="1:18" x14ac:dyDescent="0.25">
      <c r="A189" s="8" t="s">
        <v>16</v>
      </c>
      <c r="B189" s="7" t="s">
        <v>315</v>
      </c>
      <c r="C189" s="4" t="s">
        <v>46</v>
      </c>
      <c r="D189" s="4" t="s">
        <v>316</v>
      </c>
      <c r="E189" s="4">
        <v>188</v>
      </c>
      <c r="F189" s="9">
        <v>46062</v>
      </c>
      <c r="G189" s="9" t="b">
        <v>0</v>
      </c>
      <c r="H189" s="4" t="b">
        <v>0</v>
      </c>
      <c r="I189" s="28"/>
      <c r="J189" s="4">
        <f t="shared" si="6"/>
        <v>15</v>
      </c>
      <c r="K189" s="4">
        <f ca="1">IF(AND(F189&lt;&gt;"", L189&lt;&gt;""), NETWORKDAYS(TODAY(), L189-1, FESTIVOS!A$1:A$55), "")</f>
        <v>-72</v>
      </c>
      <c r="L189" s="9">
        <f>IF(AND(F189&lt;&gt;"", J189&lt;&gt;""), WORKDAY(F189, J189, FESTIVOS!A$1:A$55), "")</f>
        <v>46083</v>
      </c>
      <c r="M189" s="4" t="s">
        <v>21</v>
      </c>
      <c r="N189" s="4">
        <f t="shared" ca="1" si="7"/>
        <v>0</v>
      </c>
      <c r="O189" s="4" t="str">
        <f t="shared" ca="1" si="8"/>
        <v>Vencido</v>
      </c>
      <c r="P189" s="4" t="s">
        <v>55</v>
      </c>
      <c r="Q189" s="9">
        <v>46036</v>
      </c>
      <c r="R189" s="10">
        <f>IF(OR(Q189="", L189=""), "", NETWORKDAYS(L189, Q189, FESTIVOS!A188:A242))</f>
        <v>-34</v>
      </c>
    </row>
    <row r="190" spans="1:18" x14ac:dyDescent="0.25">
      <c r="A190" s="8" t="s">
        <v>16</v>
      </c>
      <c r="B190" s="7" t="s">
        <v>317</v>
      </c>
      <c r="C190" s="4" t="s">
        <v>46</v>
      </c>
      <c r="D190" s="4" t="s">
        <v>318</v>
      </c>
      <c r="E190" s="4">
        <v>189</v>
      </c>
      <c r="F190" s="9">
        <v>46062</v>
      </c>
      <c r="G190" s="9" t="b">
        <v>0</v>
      </c>
      <c r="H190" s="4" t="b">
        <v>0</v>
      </c>
      <c r="I190" s="28"/>
      <c r="J190" s="4">
        <f t="shared" si="6"/>
        <v>15</v>
      </c>
      <c r="K190" s="4">
        <f ca="1">IF(AND(F190&lt;&gt;"", L190&lt;&gt;""), NETWORKDAYS(TODAY(), L190-1, FESTIVOS!A$1:A$55), "")</f>
        <v>-72</v>
      </c>
      <c r="L190" s="9">
        <f>IF(AND(F190&lt;&gt;"", J190&lt;&gt;""), WORKDAY(F190, J190, FESTIVOS!A$1:A$55), "")</f>
        <v>46083</v>
      </c>
      <c r="M190" s="4" t="s">
        <v>21</v>
      </c>
      <c r="N190" s="4">
        <f t="shared" ca="1" si="7"/>
        <v>0</v>
      </c>
      <c r="O190" s="4" t="str">
        <f t="shared" ca="1" si="8"/>
        <v>Vencido</v>
      </c>
      <c r="P190" s="4" t="s">
        <v>55</v>
      </c>
      <c r="Q190" s="9">
        <v>46036</v>
      </c>
      <c r="R190" s="10">
        <f>IF(OR(Q190="", L190=""), "", NETWORKDAYS(L190, Q190, FESTIVOS!A189:A243))</f>
        <v>-34</v>
      </c>
    </row>
    <row r="191" spans="1:18" x14ac:dyDescent="0.25">
      <c r="A191" s="8" t="s">
        <v>16</v>
      </c>
      <c r="B191" s="7" t="s">
        <v>319</v>
      </c>
      <c r="C191" s="4" t="s">
        <v>46</v>
      </c>
      <c r="D191" s="4" t="s">
        <v>320</v>
      </c>
      <c r="E191" s="4">
        <v>190</v>
      </c>
      <c r="F191" s="9">
        <v>46062</v>
      </c>
      <c r="G191" s="9" t="b">
        <v>0</v>
      </c>
      <c r="H191" s="4" t="b">
        <v>0</v>
      </c>
      <c r="I191" s="28"/>
      <c r="J191" s="4">
        <f t="shared" si="6"/>
        <v>15</v>
      </c>
      <c r="K191" s="4">
        <f ca="1">IF(AND(F191&lt;&gt;"", L191&lt;&gt;""), NETWORKDAYS(TODAY(), L191-1, FESTIVOS!A$1:A$55), "")</f>
        <v>-72</v>
      </c>
      <c r="L191" s="9">
        <f>IF(AND(F191&lt;&gt;"", J191&lt;&gt;""), WORKDAY(F191, J191, FESTIVOS!A$1:A$55), "")</f>
        <v>46083</v>
      </c>
      <c r="M191" s="4" t="s">
        <v>21</v>
      </c>
      <c r="N191" s="4">
        <f t="shared" ca="1" si="7"/>
        <v>0</v>
      </c>
      <c r="O191" s="4" t="str">
        <f t="shared" ca="1" si="8"/>
        <v>Vencido</v>
      </c>
      <c r="P191" s="4" t="s">
        <v>55</v>
      </c>
      <c r="Q191" s="9">
        <v>46036</v>
      </c>
      <c r="R191" s="10">
        <f>IF(OR(Q191="", L191=""), "", NETWORKDAYS(L191, Q191, FESTIVOS!A190:A244))</f>
        <v>-34</v>
      </c>
    </row>
    <row r="192" spans="1:18" x14ac:dyDescent="0.25">
      <c r="A192" s="8" t="s">
        <v>16</v>
      </c>
      <c r="B192" s="7" t="s">
        <v>321</v>
      </c>
      <c r="C192" s="4" t="s">
        <v>46</v>
      </c>
      <c r="D192" s="4" t="s">
        <v>322</v>
      </c>
      <c r="E192" s="4">
        <v>191</v>
      </c>
      <c r="F192" s="9">
        <v>46062</v>
      </c>
      <c r="G192" s="9" t="b">
        <v>0</v>
      </c>
      <c r="H192" s="4" t="b">
        <v>0</v>
      </c>
      <c r="I192" s="28"/>
      <c r="J192" s="4">
        <f t="shared" si="6"/>
        <v>15</v>
      </c>
      <c r="K192" s="4">
        <f ca="1">IF(AND(F192&lt;&gt;"", L192&lt;&gt;""), NETWORKDAYS(TODAY(), L192-1, FESTIVOS!A$1:A$55), "")</f>
        <v>-72</v>
      </c>
      <c r="L192" s="9">
        <f>IF(AND(F192&lt;&gt;"", J192&lt;&gt;""), WORKDAY(F192, J192, FESTIVOS!A$1:A$55), "")</f>
        <v>46083</v>
      </c>
      <c r="M192" s="4" t="s">
        <v>21</v>
      </c>
      <c r="N192" s="4">
        <f t="shared" ca="1" si="7"/>
        <v>0</v>
      </c>
      <c r="O192" s="4" t="str">
        <f t="shared" ca="1" si="8"/>
        <v>Vencido</v>
      </c>
      <c r="P192" s="4" t="s">
        <v>55</v>
      </c>
      <c r="Q192" s="9">
        <v>46036</v>
      </c>
      <c r="R192" s="10">
        <f>IF(OR(Q192="", L192=""), "", NETWORKDAYS(L192, Q192, FESTIVOS!A191:A245))</f>
        <v>-34</v>
      </c>
    </row>
    <row r="193" spans="1:18" x14ac:dyDescent="0.25">
      <c r="A193" s="8" t="s">
        <v>16</v>
      </c>
      <c r="B193" s="7" t="s">
        <v>323</v>
      </c>
      <c r="C193" s="4" t="s">
        <v>46</v>
      </c>
      <c r="D193" s="4" t="s">
        <v>324</v>
      </c>
      <c r="E193" s="4">
        <v>192</v>
      </c>
      <c r="F193" s="9">
        <v>46062</v>
      </c>
      <c r="G193" s="9" t="b">
        <v>0</v>
      </c>
      <c r="H193" s="4" t="b">
        <v>0</v>
      </c>
      <c r="I193" s="28"/>
      <c r="J193" s="4">
        <f t="shared" si="6"/>
        <v>15</v>
      </c>
      <c r="K193" s="4">
        <f ca="1">IF(AND(F193&lt;&gt;"", L193&lt;&gt;""), NETWORKDAYS(TODAY(), L193-1, FESTIVOS!A$1:A$55), "")</f>
        <v>-72</v>
      </c>
      <c r="L193" s="9">
        <f>IF(AND(F193&lt;&gt;"", J193&lt;&gt;""), WORKDAY(F193, J193, FESTIVOS!A$1:A$55), "")</f>
        <v>46083</v>
      </c>
      <c r="M193" s="4" t="s">
        <v>21</v>
      </c>
      <c r="N193" s="4">
        <f t="shared" ca="1" si="7"/>
        <v>0</v>
      </c>
      <c r="O193" s="4" t="str">
        <f t="shared" ca="1" si="8"/>
        <v>Vencido</v>
      </c>
      <c r="P193" s="4" t="s">
        <v>55</v>
      </c>
      <c r="Q193" s="9">
        <v>46036</v>
      </c>
      <c r="R193" s="10">
        <f>IF(OR(Q193="", L193=""), "", NETWORKDAYS(L193, Q193, FESTIVOS!A192:A246))</f>
        <v>-34</v>
      </c>
    </row>
    <row r="194" spans="1:18" x14ac:dyDescent="0.25">
      <c r="A194" s="8" t="s">
        <v>16</v>
      </c>
      <c r="B194" s="7" t="s">
        <v>325</v>
      </c>
      <c r="C194" s="4" t="s">
        <v>46</v>
      </c>
      <c r="D194" s="4" t="s">
        <v>116</v>
      </c>
      <c r="E194" s="4">
        <v>193</v>
      </c>
      <c r="F194" s="9">
        <v>46062</v>
      </c>
      <c r="G194" s="9" t="b">
        <v>0</v>
      </c>
      <c r="H194" s="4" t="b">
        <v>0</v>
      </c>
      <c r="I194" s="28"/>
      <c r="J194" s="4">
        <f t="shared" ref="J194:J257" si="9">IF(A194="INFORMACIÓN O DOCUMENTOS", 10, IF(A194="CONSULTA", 30, IF(A194="FACTURACIÓN Y COBROS", 15, IF(A194="VINCULACIÓN Y DESVINCULACIÓN", 15, IF(A194="NO ES DE NUESTRA COMPETENCIA", 5, IF(A194="OTRO", 15, ""))))))</f>
        <v>15</v>
      </c>
      <c r="K194" s="4">
        <f ca="1">IF(AND(F194&lt;&gt;"", L194&lt;&gt;""), NETWORKDAYS(TODAY(), L194-1, FESTIVOS!A$1:A$55), "")</f>
        <v>-72</v>
      </c>
      <c r="L194" s="9">
        <f>IF(AND(F194&lt;&gt;"", J194&lt;&gt;""), WORKDAY(F194, J194, FESTIVOS!A$1:A$55), "")</f>
        <v>46083</v>
      </c>
      <c r="M194" s="4" t="s">
        <v>21</v>
      </c>
      <c r="N194" s="4">
        <f t="shared" ref="N194:N257" ca="1" si="10">IF(K194="", "", MAX(0, K194 - (TODAY() - TODAY())))</f>
        <v>0</v>
      </c>
      <c r="O194" s="4" t="str">
        <f t="shared" ref="O194:O257" ca="1" si="11">IF(OR(K194="", J194=""), "", IF(K194&lt;0, "Vencido", IF(K194&gt;(J194/2), "Supere la mitad", "Bajo la mitad")))</f>
        <v>Vencido</v>
      </c>
      <c r="P194" s="4" t="s">
        <v>55</v>
      </c>
      <c r="Q194" s="9">
        <v>46036</v>
      </c>
      <c r="R194" s="10">
        <f>IF(OR(Q194="", L194=""), "", NETWORKDAYS(L194, Q194, FESTIVOS!A193:A247))</f>
        <v>-34</v>
      </c>
    </row>
    <row r="195" spans="1:18" x14ac:dyDescent="0.25">
      <c r="A195" s="8" t="s">
        <v>16</v>
      </c>
      <c r="B195" s="7" t="s">
        <v>326</v>
      </c>
      <c r="C195" s="4" t="s">
        <v>46</v>
      </c>
      <c r="D195" s="4" t="s">
        <v>327</v>
      </c>
      <c r="E195" s="4">
        <v>194</v>
      </c>
      <c r="F195" s="9">
        <v>46062</v>
      </c>
      <c r="G195" s="9" t="b">
        <v>0</v>
      </c>
      <c r="H195" s="4" t="b">
        <v>0</v>
      </c>
      <c r="I195" s="28"/>
      <c r="J195" s="4">
        <f t="shared" si="9"/>
        <v>15</v>
      </c>
      <c r="K195" s="4">
        <f ca="1">IF(AND(F195&lt;&gt;"", L195&lt;&gt;""), NETWORKDAYS(TODAY(), L195-1, FESTIVOS!A$1:A$55), "")</f>
        <v>-72</v>
      </c>
      <c r="L195" s="9">
        <f>IF(AND(F195&lt;&gt;"", J195&lt;&gt;""), WORKDAY(F195, J195, FESTIVOS!A$1:A$55), "")</f>
        <v>46083</v>
      </c>
      <c r="M195" s="4" t="s">
        <v>21</v>
      </c>
      <c r="N195" s="4">
        <f t="shared" ca="1" si="10"/>
        <v>0</v>
      </c>
      <c r="O195" s="4" t="str">
        <f t="shared" ca="1" si="11"/>
        <v>Vencido</v>
      </c>
      <c r="P195" s="4" t="s">
        <v>55</v>
      </c>
      <c r="Q195" s="9">
        <v>46036</v>
      </c>
      <c r="R195" s="10">
        <f>IF(OR(Q195="", L195=""), "", NETWORKDAYS(L195, Q195, FESTIVOS!A194:A248))</f>
        <v>-34</v>
      </c>
    </row>
    <row r="196" spans="1:18" x14ac:dyDescent="0.25">
      <c r="A196" s="8" t="s">
        <v>16</v>
      </c>
      <c r="B196" s="7" t="s">
        <v>281</v>
      </c>
      <c r="C196" s="4" t="s">
        <v>90</v>
      </c>
      <c r="D196" s="4" t="s">
        <v>328</v>
      </c>
      <c r="E196" s="4">
        <v>195</v>
      </c>
      <c r="F196" s="9">
        <v>46062</v>
      </c>
      <c r="G196" s="9" t="b">
        <v>0</v>
      </c>
      <c r="H196" s="4" t="b">
        <v>0</v>
      </c>
      <c r="I196" s="28"/>
      <c r="J196" s="4">
        <f t="shared" si="9"/>
        <v>15</v>
      </c>
      <c r="K196" s="4">
        <f ca="1">IF(AND(F196&lt;&gt;"", L196&lt;&gt;""), NETWORKDAYS(TODAY(), L196-1, FESTIVOS!A$1:A$55), "")</f>
        <v>-72</v>
      </c>
      <c r="L196" s="9">
        <f>IF(AND(F196&lt;&gt;"", J196&lt;&gt;""), WORKDAY(F196, J196, FESTIVOS!A$1:A$55), "")</f>
        <v>46083</v>
      </c>
      <c r="M196" s="4" t="s">
        <v>21</v>
      </c>
      <c r="N196" s="4">
        <f t="shared" ca="1" si="10"/>
        <v>0</v>
      </c>
      <c r="O196" s="4" t="str">
        <f t="shared" ca="1" si="11"/>
        <v>Vencido</v>
      </c>
      <c r="P196" s="4" t="s">
        <v>55</v>
      </c>
      <c r="Q196" s="9">
        <v>46036</v>
      </c>
      <c r="R196" s="10">
        <f>IF(OR(Q196="", L196=""), "", NETWORKDAYS(L196, Q196, FESTIVOS!A195:A249))</f>
        <v>-34</v>
      </c>
    </row>
    <row r="197" spans="1:18" x14ac:dyDescent="0.25">
      <c r="A197" s="8" t="s">
        <v>16</v>
      </c>
      <c r="B197" s="7" t="s">
        <v>329</v>
      </c>
      <c r="C197" s="4" t="s">
        <v>46</v>
      </c>
      <c r="D197" s="4" t="s">
        <v>330</v>
      </c>
      <c r="E197" s="4">
        <v>196</v>
      </c>
      <c r="F197" s="9">
        <v>46062</v>
      </c>
      <c r="G197" s="9" t="b">
        <v>0</v>
      </c>
      <c r="H197" s="4" t="b">
        <v>0</v>
      </c>
      <c r="I197" s="28"/>
      <c r="J197" s="4">
        <f t="shared" si="9"/>
        <v>15</v>
      </c>
      <c r="K197" s="4">
        <f ca="1">IF(AND(F197&lt;&gt;"", L197&lt;&gt;""), NETWORKDAYS(TODAY(), L197-1, FESTIVOS!A$1:A$55), "")</f>
        <v>-72</v>
      </c>
      <c r="L197" s="9">
        <f>IF(AND(F197&lt;&gt;"", J197&lt;&gt;""), WORKDAY(F197, J197, FESTIVOS!A$1:A$55), "")</f>
        <v>46083</v>
      </c>
      <c r="M197" s="4" t="s">
        <v>21</v>
      </c>
      <c r="N197" s="4">
        <f t="shared" ca="1" si="10"/>
        <v>0</v>
      </c>
      <c r="O197" s="4" t="str">
        <f t="shared" ca="1" si="11"/>
        <v>Vencido</v>
      </c>
      <c r="P197" s="4" t="s">
        <v>55</v>
      </c>
      <c r="Q197" s="9">
        <v>46036</v>
      </c>
      <c r="R197" s="10">
        <f>IF(OR(Q197="", L197=""), "", NETWORKDAYS(L197, Q197, FESTIVOS!A196:A250))</f>
        <v>-34</v>
      </c>
    </row>
    <row r="198" spans="1:18" x14ac:dyDescent="0.25">
      <c r="A198" s="8" t="s">
        <v>16</v>
      </c>
      <c r="B198" s="7" t="s">
        <v>331</v>
      </c>
      <c r="C198" s="4" t="s">
        <v>46</v>
      </c>
      <c r="D198" s="4" t="s">
        <v>332</v>
      </c>
      <c r="E198" s="4">
        <v>197</v>
      </c>
      <c r="F198" s="9">
        <v>46063</v>
      </c>
      <c r="G198" s="9" t="b">
        <v>0</v>
      </c>
      <c r="H198" s="4" t="b">
        <v>0</v>
      </c>
      <c r="I198" s="28"/>
      <c r="J198" s="4">
        <f t="shared" si="9"/>
        <v>15</v>
      </c>
      <c r="K198" s="4">
        <f ca="1">IF(AND(F198&lt;&gt;"", L198&lt;&gt;""), NETWORKDAYS(TODAY(), L198-1, FESTIVOS!A$1:A$55), "")</f>
        <v>-72</v>
      </c>
      <c r="L198" s="9">
        <f>IF(AND(F198&lt;&gt;"", J198&lt;&gt;""), WORKDAY(F198, J198, FESTIVOS!A$1:A$55), "")</f>
        <v>46084</v>
      </c>
      <c r="M198" s="4" t="s">
        <v>21</v>
      </c>
      <c r="N198" s="4">
        <f t="shared" ca="1" si="10"/>
        <v>0</v>
      </c>
      <c r="O198" s="4" t="str">
        <f t="shared" ca="1" si="11"/>
        <v>Vencido</v>
      </c>
      <c r="P198" s="4" t="s">
        <v>55</v>
      </c>
      <c r="Q198" s="9">
        <v>46036</v>
      </c>
      <c r="R198" s="10">
        <f>IF(OR(Q198="", L198=""), "", NETWORKDAYS(L198, Q198, FESTIVOS!A197:A251))</f>
        <v>-35</v>
      </c>
    </row>
    <row r="199" spans="1:18" x14ac:dyDescent="0.25">
      <c r="A199" s="8" t="s">
        <v>16</v>
      </c>
      <c r="B199" s="7" t="s">
        <v>68</v>
      </c>
      <c r="C199" s="4" t="s">
        <v>186</v>
      </c>
      <c r="D199" s="4" t="s">
        <v>333</v>
      </c>
      <c r="E199" s="4">
        <v>198</v>
      </c>
      <c r="F199" s="9">
        <v>46063</v>
      </c>
      <c r="G199" s="9" t="b">
        <v>0</v>
      </c>
      <c r="H199" s="4" t="b">
        <v>0</v>
      </c>
      <c r="I199" s="28"/>
      <c r="J199" s="4">
        <f t="shared" si="9"/>
        <v>15</v>
      </c>
      <c r="K199" s="4">
        <f ca="1">IF(AND(F199&lt;&gt;"", L199&lt;&gt;""), NETWORKDAYS(TODAY(), L199-1, FESTIVOS!A$1:A$55), "")</f>
        <v>-72</v>
      </c>
      <c r="L199" s="9">
        <f>IF(AND(F199&lt;&gt;"", J199&lt;&gt;""), WORKDAY(F199, J199, FESTIVOS!A$1:A$55), "")</f>
        <v>46084</v>
      </c>
      <c r="M199" s="4" t="s">
        <v>21</v>
      </c>
      <c r="N199" s="4">
        <f t="shared" ca="1" si="10"/>
        <v>0</v>
      </c>
      <c r="O199" s="4" t="str">
        <f t="shared" ca="1" si="11"/>
        <v>Vencido</v>
      </c>
      <c r="P199" s="4" t="s">
        <v>55</v>
      </c>
      <c r="Q199" s="9">
        <v>46036</v>
      </c>
      <c r="R199" s="10">
        <f>IF(OR(Q199="", L199=""), "", NETWORKDAYS(L199, Q199, FESTIVOS!A198:A252))</f>
        <v>-35</v>
      </c>
    </row>
    <row r="200" spans="1:18" x14ac:dyDescent="0.25">
      <c r="A200" s="8" t="s">
        <v>16</v>
      </c>
      <c r="B200" s="7" t="s">
        <v>334</v>
      </c>
      <c r="C200" s="4" t="s">
        <v>46</v>
      </c>
      <c r="D200" s="4" t="s">
        <v>335</v>
      </c>
      <c r="E200" s="4">
        <v>199</v>
      </c>
      <c r="F200" s="9">
        <v>46063</v>
      </c>
      <c r="G200" s="9" t="b">
        <v>0</v>
      </c>
      <c r="H200" s="4" t="b">
        <v>0</v>
      </c>
      <c r="I200" s="28"/>
      <c r="J200" s="4">
        <f t="shared" si="9"/>
        <v>15</v>
      </c>
      <c r="K200" s="4">
        <f ca="1">IF(AND(F200&lt;&gt;"", L200&lt;&gt;""), NETWORKDAYS(TODAY(), L200-1, FESTIVOS!A$1:A$55), "")</f>
        <v>-72</v>
      </c>
      <c r="L200" s="9">
        <f>IF(AND(F200&lt;&gt;"", J200&lt;&gt;""), WORKDAY(F200, J200, FESTIVOS!A$1:A$55), "")</f>
        <v>46084</v>
      </c>
      <c r="M200" s="4" t="s">
        <v>21</v>
      </c>
      <c r="N200" s="4">
        <f t="shared" ca="1" si="10"/>
        <v>0</v>
      </c>
      <c r="O200" s="4" t="str">
        <f t="shared" ca="1" si="11"/>
        <v>Vencido</v>
      </c>
      <c r="P200" s="4" t="s">
        <v>55</v>
      </c>
      <c r="Q200" s="9">
        <v>46036</v>
      </c>
      <c r="R200" s="10">
        <f>IF(OR(Q200="", L200=""), "", NETWORKDAYS(L200, Q200, FESTIVOS!A199:A253))</f>
        <v>-35</v>
      </c>
    </row>
    <row r="201" spans="1:18" x14ac:dyDescent="0.25">
      <c r="A201" s="8" t="s">
        <v>16</v>
      </c>
      <c r="B201" s="7" t="s">
        <v>336</v>
      </c>
      <c r="C201" s="4" t="s">
        <v>46</v>
      </c>
      <c r="D201" s="4" t="s">
        <v>61</v>
      </c>
      <c r="E201" s="4">
        <v>200</v>
      </c>
      <c r="F201" s="9">
        <v>46063</v>
      </c>
      <c r="G201" s="9" t="b">
        <v>0</v>
      </c>
      <c r="H201" s="4" t="b">
        <v>0</v>
      </c>
      <c r="I201" s="28"/>
      <c r="J201" s="4">
        <f t="shared" si="9"/>
        <v>15</v>
      </c>
      <c r="K201" s="4">
        <f ca="1">IF(AND(F201&lt;&gt;"", L201&lt;&gt;""), NETWORKDAYS(TODAY(), L201-1, FESTIVOS!A$1:A$55), "")</f>
        <v>-72</v>
      </c>
      <c r="L201" s="9">
        <f>IF(AND(F201&lt;&gt;"", J201&lt;&gt;""), WORKDAY(F201, J201, FESTIVOS!A$1:A$55), "")</f>
        <v>46084</v>
      </c>
      <c r="M201" s="4" t="s">
        <v>21</v>
      </c>
      <c r="N201" s="4">
        <f t="shared" ca="1" si="10"/>
        <v>0</v>
      </c>
      <c r="O201" s="4" t="str">
        <f t="shared" ca="1" si="11"/>
        <v>Vencido</v>
      </c>
      <c r="P201" s="4" t="s">
        <v>55</v>
      </c>
      <c r="Q201" s="9">
        <v>46036</v>
      </c>
      <c r="R201" s="10">
        <f>IF(OR(Q201="", L201=""), "", NETWORKDAYS(L201, Q201, FESTIVOS!A200:A254))</f>
        <v>-35</v>
      </c>
    </row>
    <row r="202" spans="1:18" x14ac:dyDescent="0.25">
      <c r="A202" s="8" t="s">
        <v>16</v>
      </c>
      <c r="B202" s="7" t="s">
        <v>131</v>
      </c>
      <c r="C202" s="4" t="s">
        <v>84</v>
      </c>
      <c r="D202" s="4" t="s">
        <v>85</v>
      </c>
      <c r="E202" s="4">
        <v>201</v>
      </c>
      <c r="F202" s="9">
        <v>46063</v>
      </c>
      <c r="G202" s="9" t="b">
        <v>0</v>
      </c>
      <c r="H202" s="4" t="b">
        <v>0</v>
      </c>
      <c r="I202" s="28"/>
      <c r="J202" s="4">
        <f t="shared" si="9"/>
        <v>15</v>
      </c>
      <c r="K202" s="4">
        <f ca="1">IF(AND(F202&lt;&gt;"", L202&lt;&gt;""), NETWORKDAYS(TODAY(), L202-1, FESTIVOS!A$1:A$55), "")</f>
        <v>-72</v>
      </c>
      <c r="L202" s="9">
        <f>IF(AND(F202&lt;&gt;"", J202&lt;&gt;""), WORKDAY(F202, J202, FESTIVOS!A$1:A$55), "")</f>
        <v>46084</v>
      </c>
      <c r="M202" s="4" t="s">
        <v>21</v>
      </c>
      <c r="N202" s="4">
        <f t="shared" ca="1" si="10"/>
        <v>0</v>
      </c>
      <c r="O202" s="4" t="str">
        <f t="shared" ca="1" si="11"/>
        <v>Vencido</v>
      </c>
      <c r="P202" s="4" t="s">
        <v>55</v>
      </c>
      <c r="Q202" s="9">
        <v>46036</v>
      </c>
      <c r="R202" s="10">
        <f>IF(OR(Q202="", L202=""), "", NETWORKDAYS(L202, Q202, FESTIVOS!A201:A255))</f>
        <v>-35</v>
      </c>
    </row>
    <row r="203" spans="1:18" x14ac:dyDescent="0.25">
      <c r="A203" s="8" t="s">
        <v>16</v>
      </c>
      <c r="B203" s="7" t="s">
        <v>131</v>
      </c>
      <c r="C203" s="4" t="s">
        <v>84</v>
      </c>
      <c r="D203" s="4" t="s">
        <v>85</v>
      </c>
      <c r="E203" s="4">
        <v>202</v>
      </c>
      <c r="F203" s="9">
        <v>46063</v>
      </c>
      <c r="G203" s="9" t="b">
        <v>0</v>
      </c>
      <c r="H203" s="4" t="b">
        <v>0</v>
      </c>
      <c r="I203" s="28"/>
      <c r="J203" s="4">
        <f t="shared" si="9"/>
        <v>15</v>
      </c>
      <c r="K203" s="4">
        <f ca="1">IF(AND(F203&lt;&gt;"", L203&lt;&gt;""), NETWORKDAYS(TODAY(), L203-1, FESTIVOS!A$1:A$55), "")</f>
        <v>-72</v>
      </c>
      <c r="L203" s="9">
        <f>IF(AND(F203&lt;&gt;"", J203&lt;&gt;""), WORKDAY(F203, J203, FESTIVOS!A$1:A$55), "")</f>
        <v>46084</v>
      </c>
      <c r="M203" s="4" t="s">
        <v>21</v>
      </c>
      <c r="N203" s="4">
        <f t="shared" ca="1" si="10"/>
        <v>0</v>
      </c>
      <c r="O203" s="4" t="str">
        <f t="shared" ca="1" si="11"/>
        <v>Vencido</v>
      </c>
      <c r="P203" s="4" t="s">
        <v>55</v>
      </c>
      <c r="Q203" s="9">
        <v>46036</v>
      </c>
      <c r="R203" s="10">
        <f>IF(OR(Q203="", L203=""), "", NETWORKDAYS(L203, Q203, FESTIVOS!A202:A256))</f>
        <v>-35</v>
      </c>
    </row>
    <row r="204" spans="1:18" x14ac:dyDescent="0.25">
      <c r="A204" s="8" t="s">
        <v>16</v>
      </c>
      <c r="B204" s="7" t="s">
        <v>131</v>
      </c>
      <c r="C204" s="4" t="s">
        <v>84</v>
      </c>
      <c r="D204" s="4" t="s">
        <v>85</v>
      </c>
      <c r="E204" s="4">
        <v>203</v>
      </c>
      <c r="F204" s="9">
        <v>46063</v>
      </c>
      <c r="G204" s="9" t="b">
        <v>0</v>
      </c>
      <c r="H204" s="4" t="b">
        <v>0</v>
      </c>
      <c r="I204" s="28"/>
      <c r="J204" s="4">
        <f t="shared" si="9"/>
        <v>15</v>
      </c>
      <c r="K204" s="4">
        <f ca="1">IF(AND(F204&lt;&gt;"", L204&lt;&gt;""), NETWORKDAYS(TODAY(), L204-1, FESTIVOS!A$1:A$55), "")</f>
        <v>-72</v>
      </c>
      <c r="L204" s="9">
        <f>IF(AND(F204&lt;&gt;"", J204&lt;&gt;""), WORKDAY(F204, J204, FESTIVOS!A$1:A$55), "")</f>
        <v>46084</v>
      </c>
      <c r="M204" s="4" t="s">
        <v>21</v>
      </c>
      <c r="N204" s="4">
        <f t="shared" ca="1" si="10"/>
        <v>0</v>
      </c>
      <c r="O204" s="4" t="str">
        <f t="shared" ca="1" si="11"/>
        <v>Vencido</v>
      </c>
      <c r="P204" s="4" t="s">
        <v>55</v>
      </c>
      <c r="Q204" s="9">
        <v>46036</v>
      </c>
      <c r="R204" s="10">
        <f>IF(OR(Q204="", L204=""), "", NETWORKDAYS(L204, Q204, FESTIVOS!A203:A257))</f>
        <v>-35</v>
      </c>
    </row>
    <row r="205" spans="1:18" x14ac:dyDescent="0.25">
      <c r="A205" s="8" t="s">
        <v>16</v>
      </c>
      <c r="B205" s="7" t="s">
        <v>131</v>
      </c>
      <c r="C205" s="4" t="s">
        <v>84</v>
      </c>
      <c r="D205" s="4" t="s">
        <v>85</v>
      </c>
      <c r="E205" s="4">
        <v>204</v>
      </c>
      <c r="F205" s="9">
        <v>46063</v>
      </c>
      <c r="G205" s="9" t="b">
        <v>0</v>
      </c>
      <c r="H205" s="4" t="b">
        <v>0</v>
      </c>
      <c r="I205" s="28"/>
      <c r="J205" s="4">
        <f t="shared" si="9"/>
        <v>15</v>
      </c>
      <c r="K205" s="4">
        <f ca="1">IF(AND(F205&lt;&gt;"", L205&lt;&gt;""), NETWORKDAYS(TODAY(), L205-1, FESTIVOS!A$1:A$55), "")</f>
        <v>-72</v>
      </c>
      <c r="L205" s="9">
        <f>IF(AND(F205&lt;&gt;"", J205&lt;&gt;""), WORKDAY(F205, J205, FESTIVOS!A$1:A$55), "")</f>
        <v>46084</v>
      </c>
      <c r="M205" s="4" t="s">
        <v>21</v>
      </c>
      <c r="N205" s="4">
        <f t="shared" ca="1" si="10"/>
        <v>0</v>
      </c>
      <c r="O205" s="4" t="str">
        <f t="shared" ca="1" si="11"/>
        <v>Vencido</v>
      </c>
      <c r="P205" s="4" t="s">
        <v>55</v>
      </c>
      <c r="Q205" s="9">
        <v>46036</v>
      </c>
      <c r="R205" s="10">
        <f>IF(OR(Q205="", L205=""), "", NETWORKDAYS(L205, Q205, FESTIVOS!A204:A258))</f>
        <v>-35</v>
      </c>
    </row>
    <row r="206" spans="1:18" x14ac:dyDescent="0.25">
      <c r="A206" s="8" t="s">
        <v>16</v>
      </c>
      <c r="B206" s="7" t="s">
        <v>131</v>
      </c>
      <c r="C206" s="4" t="s">
        <v>84</v>
      </c>
      <c r="D206" s="4" t="s">
        <v>85</v>
      </c>
      <c r="E206" s="4">
        <v>205</v>
      </c>
      <c r="F206" s="9">
        <v>46063</v>
      </c>
      <c r="G206" s="9" t="b">
        <v>0</v>
      </c>
      <c r="H206" s="4" t="b">
        <v>0</v>
      </c>
      <c r="I206" s="28"/>
      <c r="J206" s="4">
        <f t="shared" si="9"/>
        <v>15</v>
      </c>
      <c r="K206" s="4">
        <f ca="1">IF(AND(F206&lt;&gt;"", L206&lt;&gt;""), NETWORKDAYS(TODAY(), L206-1, FESTIVOS!A$1:A$55), "")</f>
        <v>-72</v>
      </c>
      <c r="L206" s="9">
        <f>IF(AND(F206&lt;&gt;"", J206&lt;&gt;""), WORKDAY(F206, J206, FESTIVOS!A$1:A$55), "")</f>
        <v>46084</v>
      </c>
      <c r="M206" s="4" t="s">
        <v>21</v>
      </c>
      <c r="N206" s="4">
        <f t="shared" ca="1" si="10"/>
        <v>0</v>
      </c>
      <c r="O206" s="4" t="str">
        <f t="shared" ca="1" si="11"/>
        <v>Vencido</v>
      </c>
      <c r="P206" s="4" t="s">
        <v>55</v>
      </c>
      <c r="Q206" s="9">
        <v>46036</v>
      </c>
      <c r="R206" s="10">
        <f>IF(OR(Q206="", L206=""), "", NETWORKDAYS(L206, Q206, FESTIVOS!A205:A259))</f>
        <v>-35</v>
      </c>
    </row>
    <row r="207" spans="1:18" x14ac:dyDescent="0.25">
      <c r="A207" s="8" t="s">
        <v>16</v>
      </c>
      <c r="B207" s="7" t="s">
        <v>337</v>
      </c>
      <c r="C207" s="4" t="s">
        <v>46</v>
      </c>
      <c r="D207" s="4" t="s">
        <v>98</v>
      </c>
      <c r="E207" s="4">
        <v>206</v>
      </c>
      <c r="F207" s="9">
        <v>46064</v>
      </c>
      <c r="G207" s="9" t="b">
        <v>0</v>
      </c>
      <c r="H207" s="4" t="b">
        <v>0</v>
      </c>
      <c r="I207" s="28"/>
      <c r="J207" s="4">
        <f t="shared" si="9"/>
        <v>15</v>
      </c>
      <c r="K207" s="4">
        <f ca="1">IF(AND(F207&lt;&gt;"", L207&lt;&gt;""), NETWORKDAYS(TODAY(), L207-1, FESTIVOS!A$1:A$55), "")</f>
        <v>-71</v>
      </c>
      <c r="L207" s="9">
        <f>IF(AND(F207&lt;&gt;"", J207&lt;&gt;""), WORKDAY(F207, J207, FESTIVOS!A$1:A$55), "")</f>
        <v>46085</v>
      </c>
      <c r="M207" s="4" t="s">
        <v>21</v>
      </c>
      <c r="N207" s="4">
        <f t="shared" ca="1" si="10"/>
        <v>0</v>
      </c>
      <c r="O207" s="4" t="str">
        <f t="shared" ca="1" si="11"/>
        <v>Vencido</v>
      </c>
      <c r="P207" s="4" t="s">
        <v>55</v>
      </c>
      <c r="Q207" s="9">
        <v>46036</v>
      </c>
      <c r="R207" s="10">
        <f>IF(OR(Q207="", L207=""), "", NETWORKDAYS(L207, Q207, FESTIVOS!A206:A260))</f>
        <v>-36</v>
      </c>
    </row>
    <row r="208" spans="1:18" x14ac:dyDescent="0.25">
      <c r="A208" s="8" t="s">
        <v>16</v>
      </c>
      <c r="B208" s="7" t="s">
        <v>338</v>
      </c>
      <c r="C208" s="4" t="s">
        <v>46</v>
      </c>
      <c r="D208" s="4" t="s">
        <v>339</v>
      </c>
      <c r="E208" s="4">
        <v>207</v>
      </c>
      <c r="F208" s="9">
        <v>46064</v>
      </c>
      <c r="G208" s="9" t="b">
        <v>0</v>
      </c>
      <c r="H208" s="4" t="b">
        <v>0</v>
      </c>
      <c r="I208" s="28"/>
      <c r="J208" s="4">
        <f t="shared" si="9"/>
        <v>15</v>
      </c>
      <c r="K208" s="4">
        <f ca="1">IF(AND(F208&lt;&gt;"", L208&lt;&gt;""), NETWORKDAYS(TODAY(), L208-1, FESTIVOS!A$1:A$55), "")</f>
        <v>-71</v>
      </c>
      <c r="L208" s="9">
        <f>IF(AND(F208&lt;&gt;"", J208&lt;&gt;""), WORKDAY(F208, J208, FESTIVOS!A$1:A$55), "")</f>
        <v>46085</v>
      </c>
      <c r="M208" s="4" t="s">
        <v>21</v>
      </c>
      <c r="N208" s="4">
        <f t="shared" ca="1" si="10"/>
        <v>0</v>
      </c>
      <c r="O208" s="4" t="str">
        <f t="shared" ca="1" si="11"/>
        <v>Vencido</v>
      </c>
      <c r="P208" s="4" t="s">
        <v>55</v>
      </c>
      <c r="Q208" s="9">
        <v>46036</v>
      </c>
      <c r="R208" s="10">
        <f>IF(OR(Q208="", L208=""), "", NETWORKDAYS(L208, Q208, FESTIVOS!A207:A261))</f>
        <v>-36</v>
      </c>
    </row>
    <row r="209" spans="1:18" x14ac:dyDescent="0.25">
      <c r="A209" s="8" t="s">
        <v>16</v>
      </c>
      <c r="B209" s="7" t="s">
        <v>340</v>
      </c>
      <c r="C209" s="4" t="s">
        <v>46</v>
      </c>
      <c r="D209" s="4" t="s">
        <v>39</v>
      </c>
      <c r="E209" s="4">
        <v>208</v>
      </c>
      <c r="F209" s="9">
        <v>46064</v>
      </c>
      <c r="G209" s="9" t="b">
        <v>0</v>
      </c>
      <c r="H209" s="4" t="b">
        <v>0</v>
      </c>
      <c r="I209" s="28"/>
      <c r="J209" s="4">
        <f t="shared" si="9"/>
        <v>15</v>
      </c>
      <c r="K209" s="4">
        <f ca="1">IF(AND(F209&lt;&gt;"", L209&lt;&gt;""), NETWORKDAYS(TODAY(), L209-1, FESTIVOS!A$1:A$55), "")</f>
        <v>-71</v>
      </c>
      <c r="L209" s="9">
        <f>IF(AND(F209&lt;&gt;"", J209&lt;&gt;""), WORKDAY(F209, J209, FESTIVOS!A$1:A$55), "")</f>
        <v>46085</v>
      </c>
      <c r="M209" s="4" t="s">
        <v>21</v>
      </c>
      <c r="N209" s="4">
        <f t="shared" ca="1" si="10"/>
        <v>0</v>
      </c>
      <c r="O209" s="4" t="str">
        <f t="shared" ca="1" si="11"/>
        <v>Vencido</v>
      </c>
      <c r="P209" s="4" t="s">
        <v>55</v>
      </c>
      <c r="Q209" s="9">
        <v>46036</v>
      </c>
      <c r="R209" s="10">
        <f>IF(OR(Q209="", L209=""), "", NETWORKDAYS(L209, Q209, FESTIVOS!A208:A262))</f>
        <v>-36</v>
      </c>
    </row>
    <row r="210" spans="1:18" x14ac:dyDescent="0.25">
      <c r="A210" s="8" t="s">
        <v>16</v>
      </c>
      <c r="B210" s="7" t="s">
        <v>341</v>
      </c>
      <c r="C210" s="4" t="s">
        <v>46</v>
      </c>
      <c r="D210" s="4" t="s">
        <v>342</v>
      </c>
      <c r="E210" s="4">
        <v>209</v>
      </c>
      <c r="F210" s="9">
        <v>46064</v>
      </c>
      <c r="G210" s="9" t="b">
        <v>0</v>
      </c>
      <c r="H210" s="4" t="b">
        <v>0</v>
      </c>
      <c r="I210" s="28"/>
      <c r="J210" s="4">
        <f t="shared" si="9"/>
        <v>15</v>
      </c>
      <c r="K210" s="4">
        <f ca="1">IF(AND(F210&lt;&gt;"", L210&lt;&gt;""), NETWORKDAYS(TODAY(), L210-1, FESTIVOS!A$1:A$55), "")</f>
        <v>-71</v>
      </c>
      <c r="L210" s="9">
        <f>IF(AND(F210&lt;&gt;"", J210&lt;&gt;""), WORKDAY(F210, J210, FESTIVOS!A$1:A$55), "")</f>
        <v>46085</v>
      </c>
      <c r="M210" s="4" t="s">
        <v>21</v>
      </c>
      <c r="N210" s="4">
        <f t="shared" ca="1" si="10"/>
        <v>0</v>
      </c>
      <c r="O210" s="4" t="str">
        <f t="shared" ca="1" si="11"/>
        <v>Vencido</v>
      </c>
      <c r="P210" s="4" t="s">
        <v>55</v>
      </c>
      <c r="Q210" s="9">
        <v>46036</v>
      </c>
      <c r="R210" s="10">
        <f>IF(OR(Q210="", L210=""), "", NETWORKDAYS(L210, Q210, FESTIVOS!A209:A263))</f>
        <v>-36</v>
      </c>
    </row>
    <row r="211" spans="1:18" x14ac:dyDescent="0.25">
      <c r="A211" s="8" t="s">
        <v>16</v>
      </c>
      <c r="B211" s="7" t="s">
        <v>240</v>
      </c>
      <c r="C211" s="4" t="s">
        <v>90</v>
      </c>
      <c r="D211" s="4" t="s">
        <v>343</v>
      </c>
      <c r="E211" s="4">
        <v>210</v>
      </c>
      <c r="F211" s="9">
        <v>46064</v>
      </c>
      <c r="G211" s="9" t="b">
        <v>0</v>
      </c>
      <c r="H211" s="4" t="b">
        <v>0</v>
      </c>
      <c r="I211" s="28"/>
      <c r="J211" s="4">
        <f t="shared" si="9"/>
        <v>15</v>
      </c>
      <c r="K211" s="4">
        <f ca="1">IF(AND(F211&lt;&gt;"", L211&lt;&gt;""), NETWORKDAYS(TODAY(), L211-1, FESTIVOS!A$1:A$55), "")</f>
        <v>-71</v>
      </c>
      <c r="L211" s="9">
        <f>IF(AND(F211&lt;&gt;"", J211&lt;&gt;""), WORKDAY(F211, J211, FESTIVOS!A$1:A$55), "")</f>
        <v>46085</v>
      </c>
      <c r="M211" s="4" t="s">
        <v>21</v>
      </c>
      <c r="N211" s="4">
        <f t="shared" ca="1" si="10"/>
        <v>0</v>
      </c>
      <c r="O211" s="4" t="str">
        <f t="shared" ca="1" si="11"/>
        <v>Vencido</v>
      </c>
      <c r="P211" s="4" t="s">
        <v>55</v>
      </c>
      <c r="Q211" s="9">
        <v>46036</v>
      </c>
      <c r="R211" s="10">
        <f>IF(OR(Q211="", L211=""), "", NETWORKDAYS(L211, Q211, FESTIVOS!A210:A264))</f>
        <v>-36</v>
      </c>
    </row>
    <row r="212" spans="1:18" x14ac:dyDescent="0.25">
      <c r="A212" s="8" t="s">
        <v>16</v>
      </c>
      <c r="B212" s="7" t="s">
        <v>344</v>
      </c>
      <c r="C212" s="4" t="s">
        <v>90</v>
      </c>
      <c r="D212" s="4" t="s">
        <v>345</v>
      </c>
      <c r="E212" s="4">
        <v>211</v>
      </c>
      <c r="F212" s="9">
        <v>46065</v>
      </c>
      <c r="G212" s="9" t="b">
        <v>0</v>
      </c>
      <c r="H212" s="4" t="b">
        <v>0</v>
      </c>
      <c r="I212" s="28"/>
      <c r="J212" s="4">
        <f t="shared" si="9"/>
        <v>15</v>
      </c>
      <c r="K212" s="4">
        <f ca="1">IF(AND(F212&lt;&gt;"", L212&lt;&gt;""), NETWORKDAYS(TODAY(), L212-1, FESTIVOS!A$1:A$55), "")</f>
        <v>-70</v>
      </c>
      <c r="L212" s="9">
        <f>IF(AND(F212&lt;&gt;"", J212&lt;&gt;""), WORKDAY(F212, J212, FESTIVOS!A$1:A$55), "")</f>
        <v>46086</v>
      </c>
      <c r="M212" s="4" t="s">
        <v>21</v>
      </c>
      <c r="N212" s="4">
        <f t="shared" ca="1" si="10"/>
        <v>0</v>
      </c>
      <c r="O212" s="4" t="str">
        <f t="shared" ca="1" si="11"/>
        <v>Vencido</v>
      </c>
      <c r="P212" s="4" t="s">
        <v>55</v>
      </c>
      <c r="Q212" s="9">
        <v>46036</v>
      </c>
      <c r="R212" s="10">
        <f>IF(OR(Q212="", L212=""), "", NETWORKDAYS(L212, Q212, FESTIVOS!A211:A265))</f>
        <v>-37</v>
      </c>
    </row>
    <row r="213" spans="1:18" x14ac:dyDescent="0.25">
      <c r="A213" s="8" t="s">
        <v>16</v>
      </c>
      <c r="B213" s="7" t="s">
        <v>346</v>
      </c>
      <c r="C213" s="4" t="s">
        <v>46</v>
      </c>
      <c r="D213" s="4" t="s">
        <v>347</v>
      </c>
      <c r="E213" s="4">
        <v>212</v>
      </c>
      <c r="F213" s="9">
        <v>46065</v>
      </c>
      <c r="G213" s="9" t="b">
        <v>0</v>
      </c>
      <c r="H213" s="4" t="b">
        <v>0</v>
      </c>
      <c r="I213" s="28"/>
      <c r="J213" s="4">
        <f t="shared" si="9"/>
        <v>15</v>
      </c>
      <c r="K213" s="4">
        <f ca="1">IF(AND(F213&lt;&gt;"", L213&lt;&gt;""), NETWORKDAYS(TODAY(), L213-1, FESTIVOS!A$1:A$55), "")</f>
        <v>-70</v>
      </c>
      <c r="L213" s="9">
        <f>IF(AND(F213&lt;&gt;"", J213&lt;&gt;""), WORKDAY(F213, J213, FESTIVOS!A$1:A$55), "")</f>
        <v>46086</v>
      </c>
      <c r="M213" s="4" t="s">
        <v>21</v>
      </c>
      <c r="N213" s="4">
        <f t="shared" ca="1" si="10"/>
        <v>0</v>
      </c>
      <c r="O213" s="4" t="str">
        <f t="shared" ca="1" si="11"/>
        <v>Vencido</v>
      </c>
      <c r="P213" s="4" t="s">
        <v>55</v>
      </c>
      <c r="Q213" s="9">
        <v>46036</v>
      </c>
      <c r="R213" s="10">
        <f>IF(OR(Q213="", L213=""), "", NETWORKDAYS(L213, Q213, FESTIVOS!A212:A266))</f>
        <v>-37</v>
      </c>
    </row>
    <row r="214" spans="1:18" x14ac:dyDescent="0.25">
      <c r="A214" s="8" t="s">
        <v>16</v>
      </c>
      <c r="B214" s="7" t="s">
        <v>348</v>
      </c>
      <c r="C214" s="4" t="s">
        <v>42</v>
      </c>
      <c r="D214" s="4" t="s">
        <v>349</v>
      </c>
      <c r="E214" s="4">
        <v>213</v>
      </c>
      <c r="F214" s="9">
        <v>46065</v>
      </c>
      <c r="G214" s="9" t="b">
        <v>0</v>
      </c>
      <c r="H214" s="4" t="b">
        <v>0</v>
      </c>
      <c r="I214" s="28"/>
      <c r="J214" s="4">
        <f t="shared" si="9"/>
        <v>15</v>
      </c>
      <c r="K214" s="4">
        <f ca="1">IF(AND(F214&lt;&gt;"", L214&lt;&gt;""), NETWORKDAYS(TODAY(), L214-1, FESTIVOS!A$1:A$55), "")</f>
        <v>-70</v>
      </c>
      <c r="L214" s="9">
        <f>IF(AND(F214&lt;&gt;"", J214&lt;&gt;""), WORKDAY(F214, J214, FESTIVOS!A$1:A$55), "")</f>
        <v>46086</v>
      </c>
      <c r="M214" s="4" t="s">
        <v>21</v>
      </c>
      <c r="N214" s="4">
        <f t="shared" ca="1" si="10"/>
        <v>0</v>
      </c>
      <c r="O214" s="4" t="str">
        <f t="shared" ca="1" si="11"/>
        <v>Vencido</v>
      </c>
      <c r="P214" s="4" t="s">
        <v>55</v>
      </c>
      <c r="Q214" s="9">
        <v>46036</v>
      </c>
      <c r="R214" s="10">
        <f>IF(OR(Q214="", L214=""), "", NETWORKDAYS(L214, Q214, FESTIVOS!A213:A267))</f>
        <v>-37</v>
      </c>
    </row>
    <row r="215" spans="1:18" x14ac:dyDescent="0.25">
      <c r="A215" s="8" t="s">
        <v>16</v>
      </c>
      <c r="B215" s="7" t="s">
        <v>350</v>
      </c>
      <c r="C215" s="4" t="s">
        <v>46</v>
      </c>
      <c r="D215" s="4" t="s">
        <v>351</v>
      </c>
      <c r="E215" s="4">
        <v>214</v>
      </c>
      <c r="F215" s="9">
        <v>46065</v>
      </c>
      <c r="G215" s="9" t="b">
        <v>0</v>
      </c>
      <c r="H215" s="4" t="b">
        <v>0</v>
      </c>
      <c r="I215" s="28"/>
      <c r="J215" s="4">
        <f t="shared" si="9"/>
        <v>15</v>
      </c>
      <c r="K215" s="4">
        <f ca="1">IF(AND(F215&lt;&gt;"", L215&lt;&gt;""), NETWORKDAYS(TODAY(), L215-1, FESTIVOS!A$1:A$55), "")</f>
        <v>-70</v>
      </c>
      <c r="L215" s="9">
        <f>IF(AND(F215&lt;&gt;"", J215&lt;&gt;""), WORKDAY(F215, J215, FESTIVOS!A$1:A$55), "")</f>
        <v>46086</v>
      </c>
      <c r="M215" s="4" t="s">
        <v>21</v>
      </c>
      <c r="N215" s="4">
        <f t="shared" ca="1" si="10"/>
        <v>0</v>
      </c>
      <c r="O215" s="4" t="str">
        <f t="shared" ca="1" si="11"/>
        <v>Vencido</v>
      </c>
      <c r="P215" s="4" t="s">
        <v>55</v>
      </c>
      <c r="Q215" s="9">
        <v>46036</v>
      </c>
      <c r="R215" s="10">
        <f>IF(OR(Q215="", L215=""), "", NETWORKDAYS(L215, Q215, FESTIVOS!A214:A268))</f>
        <v>-37</v>
      </c>
    </row>
    <row r="216" spans="1:18" x14ac:dyDescent="0.25">
      <c r="A216" s="8" t="s">
        <v>16</v>
      </c>
      <c r="B216" s="7" t="s">
        <v>352</v>
      </c>
      <c r="C216" s="4" t="s">
        <v>46</v>
      </c>
      <c r="D216" s="4" t="s">
        <v>353</v>
      </c>
      <c r="E216" s="4">
        <v>215</v>
      </c>
      <c r="F216" s="9">
        <v>46065</v>
      </c>
      <c r="G216" s="9" t="b">
        <v>0</v>
      </c>
      <c r="H216" s="4" t="b">
        <v>0</v>
      </c>
      <c r="I216" s="28"/>
      <c r="J216" s="4">
        <f t="shared" si="9"/>
        <v>15</v>
      </c>
      <c r="K216" s="4">
        <f ca="1">IF(AND(F216&lt;&gt;"", L216&lt;&gt;""), NETWORKDAYS(TODAY(), L216-1, FESTIVOS!A$1:A$55), "")</f>
        <v>-70</v>
      </c>
      <c r="L216" s="9">
        <f>IF(AND(F216&lt;&gt;"", J216&lt;&gt;""), WORKDAY(F216, J216, FESTIVOS!A$1:A$55), "")</f>
        <v>46086</v>
      </c>
      <c r="M216" s="4" t="s">
        <v>21</v>
      </c>
      <c r="N216" s="4">
        <f t="shared" ca="1" si="10"/>
        <v>0</v>
      </c>
      <c r="O216" s="4" t="str">
        <f t="shared" ca="1" si="11"/>
        <v>Vencido</v>
      </c>
      <c r="P216" s="4" t="s">
        <v>55</v>
      </c>
      <c r="Q216" s="9">
        <v>46036</v>
      </c>
      <c r="R216" s="10">
        <f>IF(OR(Q216="", L216=""), "", NETWORKDAYS(L216, Q216, FESTIVOS!A215:A269))</f>
        <v>-37</v>
      </c>
    </row>
    <row r="217" spans="1:18" x14ac:dyDescent="0.25">
      <c r="A217" s="8" t="s">
        <v>16</v>
      </c>
      <c r="B217" s="7" t="s">
        <v>354</v>
      </c>
      <c r="C217" s="4" t="s">
        <v>90</v>
      </c>
      <c r="D217" s="4" t="s">
        <v>355</v>
      </c>
      <c r="E217" s="4">
        <v>216</v>
      </c>
      <c r="F217" s="9">
        <v>46065</v>
      </c>
      <c r="G217" s="9" t="b">
        <v>0</v>
      </c>
      <c r="H217" s="4" t="b">
        <v>0</v>
      </c>
      <c r="I217" s="28"/>
      <c r="J217" s="4">
        <f t="shared" si="9"/>
        <v>15</v>
      </c>
      <c r="K217" s="4">
        <f ca="1">IF(AND(F217&lt;&gt;"", L217&lt;&gt;""), NETWORKDAYS(TODAY(), L217-1, FESTIVOS!A$1:A$55), "")</f>
        <v>-70</v>
      </c>
      <c r="L217" s="9">
        <f>IF(AND(F217&lt;&gt;"", J217&lt;&gt;""), WORKDAY(F217, J217, FESTIVOS!A$1:A$55), "")</f>
        <v>46086</v>
      </c>
      <c r="M217" s="4" t="s">
        <v>21</v>
      </c>
      <c r="N217" s="4">
        <f t="shared" ca="1" si="10"/>
        <v>0</v>
      </c>
      <c r="O217" s="4" t="str">
        <f t="shared" ca="1" si="11"/>
        <v>Vencido</v>
      </c>
      <c r="P217" s="4" t="s">
        <v>55</v>
      </c>
      <c r="Q217" s="9">
        <v>46036</v>
      </c>
      <c r="R217" s="10">
        <f>IF(OR(Q217="", L217=""), "", NETWORKDAYS(L217, Q217, FESTIVOS!A216:A270))</f>
        <v>-37</v>
      </c>
    </row>
    <row r="218" spans="1:18" x14ac:dyDescent="0.25">
      <c r="A218" s="8" t="s">
        <v>16</v>
      </c>
      <c r="B218" s="7" t="s">
        <v>356</v>
      </c>
      <c r="C218" s="4" t="s">
        <v>90</v>
      </c>
      <c r="D218" s="4" t="s">
        <v>357</v>
      </c>
      <c r="E218" s="4">
        <v>217</v>
      </c>
      <c r="F218" s="9">
        <v>46065</v>
      </c>
      <c r="G218" s="9" t="b">
        <v>0</v>
      </c>
      <c r="H218" s="4" t="b">
        <v>0</v>
      </c>
      <c r="I218" s="28"/>
      <c r="J218" s="4">
        <f t="shared" si="9"/>
        <v>15</v>
      </c>
      <c r="K218" s="4">
        <f ca="1">IF(AND(F218&lt;&gt;"", L218&lt;&gt;""), NETWORKDAYS(TODAY(), L218-1, FESTIVOS!A$1:A$55), "")</f>
        <v>-70</v>
      </c>
      <c r="L218" s="9">
        <f>IF(AND(F218&lt;&gt;"", J218&lt;&gt;""), WORKDAY(F218, J218, FESTIVOS!A$1:A$55), "")</f>
        <v>46086</v>
      </c>
      <c r="M218" s="4" t="s">
        <v>21</v>
      </c>
      <c r="N218" s="4">
        <f t="shared" ca="1" si="10"/>
        <v>0</v>
      </c>
      <c r="O218" s="4" t="str">
        <f t="shared" ca="1" si="11"/>
        <v>Vencido</v>
      </c>
      <c r="P218" s="4" t="s">
        <v>55</v>
      </c>
      <c r="Q218" s="9">
        <v>46036</v>
      </c>
      <c r="R218" s="10">
        <f>IF(OR(Q218="", L218=""), "", NETWORKDAYS(L218, Q218, FESTIVOS!A217:A271))</f>
        <v>-37</v>
      </c>
    </row>
    <row r="219" spans="1:18" x14ac:dyDescent="0.25">
      <c r="A219" s="8" t="s">
        <v>16</v>
      </c>
      <c r="B219" s="7" t="s">
        <v>358</v>
      </c>
      <c r="C219" s="4" t="s">
        <v>46</v>
      </c>
      <c r="D219" s="4" t="s">
        <v>359</v>
      </c>
      <c r="E219" s="4">
        <v>218</v>
      </c>
      <c r="F219" s="9">
        <v>46065</v>
      </c>
      <c r="G219" s="9" t="b">
        <v>0</v>
      </c>
      <c r="H219" s="4" t="b">
        <v>0</v>
      </c>
      <c r="I219" s="28"/>
      <c r="J219" s="4">
        <f t="shared" si="9"/>
        <v>15</v>
      </c>
      <c r="K219" s="4">
        <f ca="1">IF(AND(F219&lt;&gt;"", L219&lt;&gt;""), NETWORKDAYS(TODAY(), L219-1, FESTIVOS!A$1:A$55), "")</f>
        <v>-70</v>
      </c>
      <c r="L219" s="9">
        <f>IF(AND(F219&lt;&gt;"", J219&lt;&gt;""), WORKDAY(F219, J219, FESTIVOS!A$1:A$55), "")</f>
        <v>46086</v>
      </c>
      <c r="M219" s="4" t="s">
        <v>21</v>
      </c>
      <c r="N219" s="4">
        <f t="shared" ca="1" si="10"/>
        <v>0</v>
      </c>
      <c r="O219" s="4" t="str">
        <f t="shared" ca="1" si="11"/>
        <v>Vencido</v>
      </c>
      <c r="P219" s="4" t="s">
        <v>55</v>
      </c>
      <c r="Q219" s="9">
        <v>46036</v>
      </c>
      <c r="R219" s="10">
        <f>IF(OR(Q219="", L219=""), "", NETWORKDAYS(L219, Q219, FESTIVOS!A218:A272))</f>
        <v>-37</v>
      </c>
    </row>
    <row r="220" spans="1:18" x14ac:dyDescent="0.25">
      <c r="A220" s="8" t="s">
        <v>16</v>
      </c>
      <c r="B220" s="7" t="s">
        <v>360</v>
      </c>
      <c r="C220" s="4" t="s">
        <v>90</v>
      </c>
      <c r="D220" s="4" t="s">
        <v>361</v>
      </c>
      <c r="E220" s="4">
        <v>219</v>
      </c>
      <c r="F220" s="9">
        <v>46065</v>
      </c>
      <c r="G220" s="9" t="b">
        <v>0</v>
      </c>
      <c r="H220" s="4" t="b">
        <v>0</v>
      </c>
      <c r="I220" s="28"/>
      <c r="J220" s="4">
        <f t="shared" si="9"/>
        <v>15</v>
      </c>
      <c r="K220" s="4">
        <f ca="1">IF(AND(F220&lt;&gt;"", L220&lt;&gt;""), NETWORKDAYS(TODAY(), L220-1, FESTIVOS!A$1:A$55), "")</f>
        <v>-70</v>
      </c>
      <c r="L220" s="9">
        <f>IF(AND(F220&lt;&gt;"", J220&lt;&gt;""), WORKDAY(F220, J220, FESTIVOS!A$1:A$55), "")</f>
        <v>46086</v>
      </c>
      <c r="M220" s="4" t="s">
        <v>21</v>
      </c>
      <c r="N220" s="4">
        <f t="shared" ca="1" si="10"/>
        <v>0</v>
      </c>
      <c r="O220" s="4" t="str">
        <f t="shared" ca="1" si="11"/>
        <v>Vencido</v>
      </c>
      <c r="P220" s="4" t="s">
        <v>55</v>
      </c>
      <c r="Q220" s="9">
        <v>46036</v>
      </c>
      <c r="R220" s="10">
        <f>IF(OR(Q220="", L220=""), "", NETWORKDAYS(L220, Q220, FESTIVOS!A219:A273))</f>
        <v>-37</v>
      </c>
    </row>
    <row r="221" spans="1:18" x14ac:dyDescent="0.25">
      <c r="A221" s="8" t="s">
        <v>16</v>
      </c>
      <c r="B221" s="7" t="s">
        <v>362</v>
      </c>
      <c r="C221" s="4" t="s">
        <v>90</v>
      </c>
      <c r="D221" s="4" t="s">
        <v>363</v>
      </c>
      <c r="E221" s="4">
        <v>220</v>
      </c>
      <c r="F221" s="9">
        <v>46065</v>
      </c>
      <c r="G221" s="9" t="b">
        <v>0</v>
      </c>
      <c r="H221" s="4" t="b">
        <v>0</v>
      </c>
      <c r="I221" s="28"/>
      <c r="J221" s="4">
        <f t="shared" si="9"/>
        <v>15</v>
      </c>
      <c r="K221" s="4">
        <f ca="1">IF(AND(F221&lt;&gt;"", L221&lt;&gt;""), NETWORKDAYS(TODAY(), L221-1, FESTIVOS!A$1:A$55), "")</f>
        <v>-70</v>
      </c>
      <c r="L221" s="9">
        <f>IF(AND(F221&lt;&gt;"", J221&lt;&gt;""), WORKDAY(F221, J221, FESTIVOS!A$1:A$55), "")</f>
        <v>46086</v>
      </c>
      <c r="M221" s="4" t="s">
        <v>21</v>
      </c>
      <c r="N221" s="4">
        <f t="shared" ca="1" si="10"/>
        <v>0</v>
      </c>
      <c r="O221" s="4" t="str">
        <f t="shared" ca="1" si="11"/>
        <v>Vencido</v>
      </c>
      <c r="P221" s="4" t="s">
        <v>55</v>
      </c>
      <c r="Q221" s="9">
        <v>46036</v>
      </c>
      <c r="R221" s="10">
        <f>IF(OR(Q221="", L221=""), "", NETWORKDAYS(L221, Q221, FESTIVOS!A220:A274))</f>
        <v>-37</v>
      </c>
    </row>
    <row r="222" spans="1:18" x14ac:dyDescent="0.25">
      <c r="A222" s="8" t="s">
        <v>16</v>
      </c>
      <c r="B222" s="7" t="s">
        <v>364</v>
      </c>
      <c r="C222" s="4" t="s">
        <v>46</v>
      </c>
      <c r="D222" s="4" t="s">
        <v>365</v>
      </c>
      <c r="E222" s="4">
        <v>221</v>
      </c>
      <c r="F222" s="9">
        <v>46066</v>
      </c>
      <c r="G222" s="9" t="b">
        <v>0</v>
      </c>
      <c r="H222" s="4" t="b">
        <v>0</v>
      </c>
      <c r="I222" s="28"/>
      <c r="J222" s="4">
        <f t="shared" si="9"/>
        <v>15</v>
      </c>
      <c r="K222" s="4">
        <f ca="1">IF(AND(F222&lt;&gt;"", L222&lt;&gt;""), NETWORKDAYS(TODAY(), L222-1, FESTIVOS!A$1:A$55), "")</f>
        <v>-69</v>
      </c>
      <c r="L222" s="9">
        <f>IF(AND(F222&lt;&gt;"", J222&lt;&gt;""), WORKDAY(F222, J222, FESTIVOS!A$1:A$55), "")</f>
        <v>46087</v>
      </c>
      <c r="M222" s="4" t="s">
        <v>21</v>
      </c>
      <c r="N222" s="4">
        <f t="shared" ca="1" si="10"/>
        <v>0</v>
      </c>
      <c r="O222" s="4" t="str">
        <f t="shared" ca="1" si="11"/>
        <v>Vencido</v>
      </c>
      <c r="P222" s="4" t="s">
        <v>55</v>
      </c>
      <c r="Q222" s="9">
        <v>46036</v>
      </c>
      <c r="R222" s="10">
        <f>IF(OR(Q222="", L222=""), "", NETWORKDAYS(L222, Q222, FESTIVOS!A221:A275))</f>
        <v>-38</v>
      </c>
    </row>
    <row r="223" spans="1:18" x14ac:dyDescent="0.25">
      <c r="A223" s="8" t="s">
        <v>16</v>
      </c>
      <c r="B223" s="7" t="s">
        <v>366</v>
      </c>
      <c r="C223" s="4" t="s">
        <v>46</v>
      </c>
      <c r="D223" s="4" t="s">
        <v>367</v>
      </c>
      <c r="E223" s="4">
        <v>222</v>
      </c>
      <c r="F223" s="9">
        <v>46066</v>
      </c>
      <c r="G223" s="9" t="b">
        <v>0</v>
      </c>
      <c r="H223" s="4" t="b">
        <v>0</v>
      </c>
      <c r="I223" s="28"/>
      <c r="J223" s="4">
        <f t="shared" si="9"/>
        <v>15</v>
      </c>
      <c r="K223" s="4">
        <f ca="1">IF(AND(F223&lt;&gt;"", L223&lt;&gt;""), NETWORKDAYS(TODAY(), L223-1, FESTIVOS!A$1:A$55), "")</f>
        <v>-69</v>
      </c>
      <c r="L223" s="9">
        <f>IF(AND(F223&lt;&gt;"", J223&lt;&gt;""), WORKDAY(F223, J223, FESTIVOS!A$1:A$55), "")</f>
        <v>46087</v>
      </c>
      <c r="M223" s="4" t="s">
        <v>21</v>
      </c>
      <c r="N223" s="4">
        <f t="shared" ca="1" si="10"/>
        <v>0</v>
      </c>
      <c r="O223" s="4" t="str">
        <f t="shared" ca="1" si="11"/>
        <v>Vencido</v>
      </c>
      <c r="P223" s="4" t="s">
        <v>55</v>
      </c>
      <c r="Q223" s="9">
        <v>46036</v>
      </c>
      <c r="R223" s="10">
        <f>IF(OR(Q223="", L223=""), "", NETWORKDAYS(L223, Q223, FESTIVOS!A222:A276))</f>
        <v>-38</v>
      </c>
    </row>
    <row r="224" spans="1:18" x14ac:dyDescent="0.25">
      <c r="A224" s="8" t="s">
        <v>16</v>
      </c>
      <c r="B224" s="7" t="s">
        <v>368</v>
      </c>
      <c r="C224" s="4" t="s">
        <v>93</v>
      </c>
      <c r="D224" s="4" t="s">
        <v>369</v>
      </c>
      <c r="E224" s="4">
        <v>223</v>
      </c>
      <c r="F224" s="9">
        <v>46066</v>
      </c>
      <c r="G224" s="9" t="b">
        <v>0</v>
      </c>
      <c r="H224" s="4" t="b">
        <v>0</v>
      </c>
      <c r="I224" s="28"/>
      <c r="J224" s="4">
        <f t="shared" si="9"/>
        <v>15</v>
      </c>
      <c r="K224" s="4">
        <f ca="1">IF(AND(F224&lt;&gt;"", L224&lt;&gt;""), NETWORKDAYS(TODAY(), L224-1, FESTIVOS!A$1:A$55), "")</f>
        <v>-69</v>
      </c>
      <c r="L224" s="9">
        <f>IF(AND(F224&lt;&gt;"", J224&lt;&gt;""), WORKDAY(F224, J224, FESTIVOS!A$1:A$55), "")</f>
        <v>46087</v>
      </c>
      <c r="M224" s="4" t="s">
        <v>21</v>
      </c>
      <c r="N224" s="4">
        <f t="shared" ca="1" si="10"/>
        <v>0</v>
      </c>
      <c r="O224" s="4" t="str">
        <f t="shared" ca="1" si="11"/>
        <v>Vencido</v>
      </c>
      <c r="P224" s="4" t="s">
        <v>55</v>
      </c>
      <c r="Q224" s="9">
        <v>46036</v>
      </c>
      <c r="R224" s="10">
        <f>IF(OR(Q224="", L224=""), "", NETWORKDAYS(L224, Q224, FESTIVOS!A223:A277))</f>
        <v>-38</v>
      </c>
    </row>
    <row r="225" spans="1:18" x14ac:dyDescent="0.25">
      <c r="A225" s="8" t="s">
        <v>16</v>
      </c>
      <c r="B225" s="7" t="s">
        <v>370</v>
      </c>
      <c r="C225" s="4" t="s">
        <v>42</v>
      </c>
      <c r="D225" s="4" t="s">
        <v>371</v>
      </c>
      <c r="E225" s="4">
        <v>224</v>
      </c>
      <c r="F225" s="9">
        <v>46066</v>
      </c>
      <c r="G225" s="9" t="b">
        <v>0</v>
      </c>
      <c r="H225" s="4" t="b">
        <v>0</v>
      </c>
      <c r="I225" s="28"/>
      <c r="J225" s="4">
        <f t="shared" si="9"/>
        <v>15</v>
      </c>
      <c r="K225" s="4">
        <f ca="1">IF(AND(F225&lt;&gt;"", L225&lt;&gt;""), NETWORKDAYS(TODAY(), L225-1, FESTIVOS!A$1:A$55), "")</f>
        <v>-69</v>
      </c>
      <c r="L225" s="9">
        <f>IF(AND(F225&lt;&gt;"", J225&lt;&gt;""), WORKDAY(F225, J225, FESTIVOS!A$1:A$55), "")</f>
        <v>46087</v>
      </c>
      <c r="M225" s="4" t="s">
        <v>21</v>
      </c>
      <c r="N225" s="4">
        <f t="shared" ca="1" si="10"/>
        <v>0</v>
      </c>
      <c r="O225" s="4" t="str">
        <f t="shared" ca="1" si="11"/>
        <v>Vencido</v>
      </c>
      <c r="P225" s="4" t="s">
        <v>55</v>
      </c>
      <c r="Q225" s="9">
        <v>46036</v>
      </c>
      <c r="R225" s="10">
        <f>IF(OR(Q225="", L225=""), "", NETWORKDAYS(L225, Q225, FESTIVOS!A224:A278))</f>
        <v>-38</v>
      </c>
    </row>
    <row r="226" spans="1:18" x14ac:dyDescent="0.25">
      <c r="A226" s="8" t="s">
        <v>16</v>
      </c>
      <c r="B226" s="7" t="s">
        <v>372</v>
      </c>
      <c r="C226" s="4" t="s">
        <v>46</v>
      </c>
      <c r="D226" s="4" t="s">
        <v>373</v>
      </c>
      <c r="E226" s="4">
        <v>225</v>
      </c>
      <c r="F226" s="9">
        <v>46066</v>
      </c>
      <c r="G226" s="9" t="b">
        <v>0</v>
      </c>
      <c r="H226" s="4" t="b">
        <v>0</v>
      </c>
      <c r="I226" s="28"/>
      <c r="J226" s="4">
        <f t="shared" si="9"/>
        <v>15</v>
      </c>
      <c r="K226" s="4">
        <f ca="1">IF(AND(F226&lt;&gt;"", L226&lt;&gt;""), NETWORKDAYS(TODAY(), L226-1, FESTIVOS!A$1:A$55), "")</f>
        <v>-69</v>
      </c>
      <c r="L226" s="9">
        <f>IF(AND(F226&lt;&gt;"", J226&lt;&gt;""), WORKDAY(F226, J226, FESTIVOS!A$1:A$55), "")</f>
        <v>46087</v>
      </c>
      <c r="M226" s="4" t="s">
        <v>21</v>
      </c>
      <c r="N226" s="4">
        <f t="shared" ca="1" si="10"/>
        <v>0</v>
      </c>
      <c r="O226" s="4" t="str">
        <f t="shared" ca="1" si="11"/>
        <v>Vencido</v>
      </c>
      <c r="P226" s="4" t="s">
        <v>55</v>
      </c>
      <c r="Q226" s="9">
        <v>46036</v>
      </c>
      <c r="R226" s="10">
        <f>IF(OR(Q226="", L226=""), "", NETWORKDAYS(L226, Q226, FESTIVOS!A225:A279))</f>
        <v>-38</v>
      </c>
    </row>
    <row r="227" spans="1:18" x14ac:dyDescent="0.25">
      <c r="A227" s="8" t="s">
        <v>16</v>
      </c>
      <c r="B227" s="7" t="s">
        <v>374</v>
      </c>
      <c r="C227" s="4" t="s">
        <v>46</v>
      </c>
      <c r="D227" s="4" t="s">
        <v>375</v>
      </c>
      <c r="E227" s="4">
        <v>226</v>
      </c>
      <c r="F227" s="9">
        <v>46066</v>
      </c>
      <c r="G227" s="9" t="b">
        <v>0</v>
      </c>
      <c r="H227" s="4" t="b">
        <v>0</v>
      </c>
      <c r="I227" s="28"/>
      <c r="J227" s="4">
        <f t="shared" si="9"/>
        <v>15</v>
      </c>
      <c r="K227" s="4">
        <f ca="1">IF(AND(F227&lt;&gt;"", L227&lt;&gt;""), NETWORKDAYS(TODAY(), L227-1, FESTIVOS!A$1:A$55), "")</f>
        <v>-69</v>
      </c>
      <c r="L227" s="9">
        <f>IF(AND(F227&lt;&gt;"", J227&lt;&gt;""), WORKDAY(F227, J227, FESTIVOS!A$1:A$55), "")</f>
        <v>46087</v>
      </c>
      <c r="M227" s="4" t="s">
        <v>21</v>
      </c>
      <c r="N227" s="4">
        <f t="shared" ca="1" si="10"/>
        <v>0</v>
      </c>
      <c r="O227" s="4" t="str">
        <f t="shared" ca="1" si="11"/>
        <v>Vencido</v>
      </c>
      <c r="P227" s="4" t="s">
        <v>55</v>
      </c>
      <c r="Q227" s="9">
        <v>46036</v>
      </c>
      <c r="R227" s="10">
        <f>IF(OR(Q227="", L227=""), "", NETWORKDAYS(L227, Q227, FESTIVOS!A226:A280))</f>
        <v>-38</v>
      </c>
    </row>
    <row r="228" spans="1:18" x14ac:dyDescent="0.25">
      <c r="A228" s="8" t="s">
        <v>16</v>
      </c>
      <c r="B228" s="7" t="s">
        <v>376</v>
      </c>
      <c r="C228" s="4" t="s">
        <v>46</v>
      </c>
      <c r="D228" s="4" t="s">
        <v>377</v>
      </c>
      <c r="E228" s="4">
        <v>227</v>
      </c>
      <c r="F228" s="9">
        <v>46066</v>
      </c>
      <c r="G228" s="9" t="b">
        <v>0</v>
      </c>
      <c r="H228" s="4" t="b">
        <v>0</v>
      </c>
      <c r="I228" s="28"/>
      <c r="J228" s="4">
        <f t="shared" si="9"/>
        <v>15</v>
      </c>
      <c r="K228" s="4">
        <f ca="1">IF(AND(F228&lt;&gt;"", L228&lt;&gt;""), NETWORKDAYS(TODAY(), L228-1, FESTIVOS!A$1:A$55), "")</f>
        <v>-69</v>
      </c>
      <c r="L228" s="9">
        <f>IF(AND(F228&lt;&gt;"", J228&lt;&gt;""), WORKDAY(F228, J228, FESTIVOS!A$1:A$55), "")</f>
        <v>46087</v>
      </c>
      <c r="M228" s="4" t="s">
        <v>21</v>
      </c>
      <c r="N228" s="4">
        <f t="shared" ca="1" si="10"/>
        <v>0</v>
      </c>
      <c r="O228" s="4" t="str">
        <f t="shared" ca="1" si="11"/>
        <v>Vencido</v>
      </c>
      <c r="P228" s="4" t="s">
        <v>55</v>
      </c>
      <c r="Q228" s="9">
        <v>46036</v>
      </c>
      <c r="R228" s="10">
        <f>IF(OR(Q228="", L228=""), "", NETWORKDAYS(L228, Q228, FESTIVOS!A227:A281))</f>
        <v>-38</v>
      </c>
    </row>
    <row r="229" spans="1:18" x14ac:dyDescent="0.25">
      <c r="A229" s="8" t="s">
        <v>16</v>
      </c>
      <c r="B229" s="7" t="s">
        <v>378</v>
      </c>
      <c r="C229" s="4" t="s">
        <v>179</v>
      </c>
      <c r="D229" s="4" t="s">
        <v>379</v>
      </c>
      <c r="E229" s="4">
        <v>228</v>
      </c>
      <c r="F229" s="9">
        <v>46066</v>
      </c>
      <c r="G229" s="9" t="b">
        <v>0</v>
      </c>
      <c r="H229" s="4" t="b">
        <v>0</v>
      </c>
      <c r="I229" s="28"/>
      <c r="J229" s="4">
        <f t="shared" si="9"/>
        <v>15</v>
      </c>
      <c r="K229" s="4">
        <f ca="1">IF(AND(F229&lt;&gt;"", L229&lt;&gt;""), NETWORKDAYS(TODAY(), L229-1, FESTIVOS!A$1:A$55), "")</f>
        <v>-69</v>
      </c>
      <c r="L229" s="9">
        <f>IF(AND(F229&lt;&gt;"", J229&lt;&gt;""), WORKDAY(F229, J229, FESTIVOS!A$1:A$55), "")</f>
        <v>46087</v>
      </c>
      <c r="M229" s="4" t="s">
        <v>21</v>
      </c>
      <c r="N229" s="4">
        <f t="shared" ca="1" si="10"/>
        <v>0</v>
      </c>
      <c r="O229" s="4" t="str">
        <f t="shared" ca="1" si="11"/>
        <v>Vencido</v>
      </c>
      <c r="P229" s="4" t="s">
        <v>55</v>
      </c>
      <c r="Q229" s="9">
        <v>46036</v>
      </c>
      <c r="R229" s="10">
        <f>IF(OR(Q229="", L229=""), "", NETWORKDAYS(L229, Q229, FESTIVOS!A228:A282))</f>
        <v>-38</v>
      </c>
    </row>
    <row r="230" spans="1:18" x14ac:dyDescent="0.25">
      <c r="A230" s="8" t="s">
        <v>16</v>
      </c>
      <c r="B230" s="7" t="s">
        <v>240</v>
      </c>
      <c r="C230" s="4" t="s">
        <v>90</v>
      </c>
      <c r="D230" s="4" t="s">
        <v>380</v>
      </c>
      <c r="E230" s="4">
        <v>229</v>
      </c>
      <c r="F230" s="9">
        <v>46066</v>
      </c>
      <c r="G230" s="9" t="b">
        <v>0</v>
      </c>
      <c r="H230" s="4" t="b">
        <v>0</v>
      </c>
      <c r="I230" s="28"/>
      <c r="J230" s="4">
        <f t="shared" si="9"/>
        <v>15</v>
      </c>
      <c r="K230" s="4">
        <f ca="1">IF(AND(F230&lt;&gt;"", L230&lt;&gt;""), NETWORKDAYS(TODAY(), L230-1, FESTIVOS!A$1:A$55), "")</f>
        <v>-69</v>
      </c>
      <c r="L230" s="9">
        <f>IF(AND(F230&lt;&gt;"", J230&lt;&gt;""), WORKDAY(F230, J230, FESTIVOS!A$1:A$55), "")</f>
        <v>46087</v>
      </c>
      <c r="M230" s="4" t="s">
        <v>21</v>
      </c>
      <c r="N230" s="4">
        <f t="shared" ca="1" si="10"/>
        <v>0</v>
      </c>
      <c r="O230" s="4" t="str">
        <f t="shared" ca="1" si="11"/>
        <v>Vencido</v>
      </c>
      <c r="P230" s="4" t="s">
        <v>55</v>
      </c>
      <c r="Q230" s="9">
        <v>46036</v>
      </c>
      <c r="R230" s="10">
        <f>IF(OR(Q230="", L230=""), "", NETWORKDAYS(L230, Q230, FESTIVOS!A229:A283))</f>
        <v>-38</v>
      </c>
    </row>
    <row r="231" spans="1:18" x14ac:dyDescent="0.25">
      <c r="A231" s="8" t="s">
        <v>16</v>
      </c>
      <c r="B231" s="7" t="s">
        <v>240</v>
      </c>
      <c r="C231" s="4" t="s">
        <v>90</v>
      </c>
      <c r="D231" s="4" t="s">
        <v>381</v>
      </c>
      <c r="E231" s="4">
        <v>230</v>
      </c>
      <c r="F231" s="9">
        <v>46069</v>
      </c>
      <c r="G231" s="9" t="b">
        <v>0</v>
      </c>
      <c r="H231" s="4" t="b">
        <v>0</v>
      </c>
      <c r="I231" s="28"/>
      <c r="J231" s="4">
        <f t="shared" si="9"/>
        <v>15</v>
      </c>
      <c r="K231" s="4">
        <f ca="1">IF(AND(F231&lt;&gt;"", L231&lt;&gt;""), NETWORKDAYS(TODAY(), L231-1, FESTIVOS!A$1:A$55), "")</f>
        <v>-67</v>
      </c>
      <c r="L231" s="9">
        <f>IF(AND(F231&lt;&gt;"", J231&lt;&gt;""), WORKDAY(F231, J231, FESTIVOS!A$1:A$55), "")</f>
        <v>46090</v>
      </c>
      <c r="M231" s="4" t="s">
        <v>21</v>
      </c>
      <c r="N231" s="4">
        <f t="shared" ca="1" si="10"/>
        <v>0</v>
      </c>
      <c r="O231" s="4" t="str">
        <f t="shared" ca="1" si="11"/>
        <v>Vencido</v>
      </c>
      <c r="P231" s="4" t="s">
        <v>55</v>
      </c>
      <c r="Q231" s="9">
        <v>46036</v>
      </c>
      <c r="R231" s="10">
        <f>IF(OR(Q231="", L231=""), "", NETWORKDAYS(L231, Q231, FESTIVOS!A230:A284))</f>
        <v>-39</v>
      </c>
    </row>
    <row r="232" spans="1:18" x14ac:dyDescent="0.25">
      <c r="A232" s="8" t="s">
        <v>16</v>
      </c>
      <c r="B232" s="7" t="s">
        <v>362</v>
      </c>
      <c r="C232" s="4" t="s">
        <v>90</v>
      </c>
      <c r="D232" s="4" t="s">
        <v>382</v>
      </c>
      <c r="E232" s="4">
        <v>231</v>
      </c>
      <c r="F232" s="9">
        <v>46069</v>
      </c>
      <c r="G232" s="9" t="b">
        <v>0</v>
      </c>
      <c r="H232" s="4" t="b">
        <v>0</v>
      </c>
      <c r="I232" s="28"/>
      <c r="J232" s="4">
        <f t="shared" si="9"/>
        <v>15</v>
      </c>
      <c r="K232" s="4">
        <f ca="1">IF(AND(F232&lt;&gt;"", L232&lt;&gt;""), NETWORKDAYS(TODAY(), L232-1, FESTIVOS!A$1:A$55), "")</f>
        <v>-67</v>
      </c>
      <c r="L232" s="9">
        <f>IF(AND(F232&lt;&gt;"", J232&lt;&gt;""), WORKDAY(F232, J232, FESTIVOS!A$1:A$55), "")</f>
        <v>46090</v>
      </c>
      <c r="M232" s="4" t="s">
        <v>21</v>
      </c>
      <c r="N232" s="4">
        <f t="shared" ca="1" si="10"/>
        <v>0</v>
      </c>
      <c r="O232" s="4" t="str">
        <f t="shared" ca="1" si="11"/>
        <v>Vencido</v>
      </c>
      <c r="P232" s="4" t="s">
        <v>55</v>
      </c>
      <c r="Q232" s="9">
        <v>46036</v>
      </c>
      <c r="R232" s="10">
        <f>IF(OR(Q232="", L232=""), "", NETWORKDAYS(L232, Q232, FESTIVOS!A231:A285))</f>
        <v>-39</v>
      </c>
    </row>
    <row r="233" spans="1:18" x14ac:dyDescent="0.25">
      <c r="A233" s="8" t="s">
        <v>16</v>
      </c>
      <c r="B233" s="7" t="s">
        <v>383</v>
      </c>
      <c r="C233" s="4" t="s">
        <v>46</v>
      </c>
      <c r="D233" s="4" t="s">
        <v>61</v>
      </c>
      <c r="E233" s="4">
        <v>232</v>
      </c>
      <c r="F233" s="9">
        <v>46069</v>
      </c>
      <c r="G233" s="9" t="b">
        <v>0</v>
      </c>
      <c r="H233" s="4" t="b">
        <v>0</v>
      </c>
      <c r="I233" s="28"/>
      <c r="J233" s="4">
        <f t="shared" si="9"/>
        <v>15</v>
      </c>
      <c r="K233" s="4">
        <f ca="1">IF(AND(F233&lt;&gt;"", L233&lt;&gt;""), NETWORKDAYS(TODAY(), L233-1, FESTIVOS!A$1:A$55), "")</f>
        <v>-67</v>
      </c>
      <c r="L233" s="9">
        <f>IF(AND(F233&lt;&gt;"", J233&lt;&gt;""), WORKDAY(F233, J233, FESTIVOS!A$1:A$55), "")</f>
        <v>46090</v>
      </c>
      <c r="M233" s="4" t="s">
        <v>21</v>
      </c>
      <c r="N233" s="4">
        <f t="shared" ca="1" si="10"/>
        <v>0</v>
      </c>
      <c r="O233" s="4" t="str">
        <f t="shared" ca="1" si="11"/>
        <v>Vencido</v>
      </c>
      <c r="P233" s="4" t="s">
        <v>55</v>
      </c>
      <c r="Q233" s="9">
        <v>46036</v>
      </c>
      <c r="R233" s="10">
        <f>IF(OR(Q233="", L233=""), "", NETWORKDAYS(L233, Q233, FESTIVOS!A232:A286))</f>
        <v>-39</v>
      </c>
    </row>
    <row r="234" spans="1:18" x14ac:dyDescent="0.25">
      <c r="A234" s="8" t="s">
        <v>16</v>
      </c>
      <c r="B234" s="7" t="s">
        <v>384</v>
      </c>
      <c r="C234" s="4" t="s">
        <v>46</v>
      </c>
      <c r="D234" s="4" t="s">
        <v>385</v>
      </c>
      <c r="E234" s="4">
        <v>233</v>
      </c>
      <c r="F234" s="9">
        <v>46069</v>
      </c>
      <c r="G234" s="9" t="b">
        <v>0</v>
      </c>
      <c r="H234" s="4" t="b">
        <v>0</v>
      </c>
      <c r="I234" s="28"/>
      <c r="J234" s="4">
        <f t="shared" si="9"/>
        <v>15</v>
      </c>
      <c r="K234" s="4">
        <f ca="1">IF(AND(F234&lt;&gt;"", L234&lt;&gt;""), NETWORKDAYS(TODAY(), L234-1, FESTIVOS!A$1:A$55), "")</f>
        <v>-67</v>
      </c>
      <c r="L234" s="9">
        <f>IF(AND(F234&lt;&gt;"", J234&lt;&gt;""), WORKDAY(F234, J234, FESTIVOS!A$1:A$55), "")</f>
        <v>46090</v>
      </c>
      <c r="M234" s="4" t="s">
        <v>21</v>
      </c>
      <c r="N234" s="4">
        <f t="shared" ca="1" si="10"/>
        <v>0</v>
      </c>
      <c r="O234" s="4" t="str">
        <f t="shared" ca="1" si="11"/>
        <v>Vencido</v>
      </c>
      <c r="P234" s="4" t="s">
        <v>55</v>
      </c>
      <c r="Q234" s="9">
        <v>46036</v>
      </c>
      <c r="R234" s="10">
        <f>IF(OR(Q234="", L234=""), "", NETWORKDAYS(L234, Q234, FESTIVOS!A233:A287))</f>
        <v>-39</v>
      </c>
    </row>
    <row r="235" spans="1:18" x14ac:dyDescent="0.25">
      <c r="A235" s="8" t="s">
        <v>16</v>
      </c>
      <c r="B235" s="7" t="s">
        <v>386</v>
      </c>
      <c r="C235" s="4" t="s">
        <v>46</v>
      </c>
      <c r="D235" s="4" t="s">
        <v>387</v>
      </c>
      <c r="E235" s="4">
        <v>234</v>
      </c>
      <c r="F235" s="9">
        <v>46069</v>
      </c>
      <c r="G235" s="9" t="b">
        <v>0</v>
      </c>
      <c r="H235" s="4" t="b">
        <v>0</v>
      </c>
      <c r="I235" s="28"/>
      <c r="J235" s="4">
        <f t="shared" si="9"/>
        <v>15</v>
      </c>
      <c r="K235" s="4">
        <f ca="1">IF(AND(F235&lt;&gt;"", L235&lt;&gt;""), NETWORKDAYS(TODAY(), L235-1, FESTIVOS!A$1:A$55), "")</f>
        <v>-67</v>
      </c>
      <c r="L235" s="9">
        <f>IF(AND(F235&lt;&gt;"", J235&lt;&gt;""), WORKDAY(F235, J235, FESTIVOS!A$1:A$55), "")</f>
        <v>46090</v>
      </c>
      <c r="M235" s="4" t="s">
        <v>21</v>
      </c>
      <c r="N235" s="4">
        <f t="shared" ca="1" si="10"/>
        <v>0</v>
      </c>
      <c r="O235" s="4" t="str">
        <f t="shared" ca="1" si="11"/>
        <v>Vencido</v>
      </c>
      <c r="P235" s="4" t="s">
        <v>55</v>
      </c>
      <c r="Q235" s="9">
        <v>46036</v>
      </c>
      <c r="R235" s="10">
        <f>IF(OR(Q235="", L235=""), "", NETWORKDAYS(L235, Q235, FESTIVOS!A234:A288))</f>
        <v>-39</v>
      </c>
    </row>
    <row r="236" spans="1:18" x14ac:dyDescent="0.25">
      <c r="A236" s="8" t="s">
        <v>16</v>
      </c>
      <c r="B236" s="7" t="s">
        <v>388</v>
      </c>
      <c r="C236" s="4" t="s">
        <v>46</v>
      </c>
      <c r="D236" s="4" t="s">
        <v>389</v>
      </c>
      <c r="E236" s="4">
        <v>235</v>
      </c>
      <c r="F236" s="9">
        <v>46069</v>
      </c>
      <c r="G236" s="9" t="b">
        <v>0</v>
      </c>
      <c r="H236" s="4" t="b">
        <v>0</v>
      </c>
      <c r="I236" s="28"/>
      <c r="J236" s="4">
        <f t="shared" si="9"/>
        <v>15</v>
      </c>
      <c r="K236" s="4">
        <f ca="1">IF(AND(F236&lt;&gt;"", L236&lt;&gt;""), NETWORKDAYS(TODAY(), L236-1, FESTIVOS!A$1:A$55), "")</f>
        <v>-67</v>
      </c>
      <c r="L236" s="9">
        <f>IF(AND(F236&lt;&gt;"", J236&lt;&gt;""), WORKDAY(F236, J236, FESTIVOS!A$1:A$55), "")</f>
        <v>46090</v>
      </c>
      <c r="M236" s="4" t="s">
        <v>21</v>
      </c>
      <c r="N236" s="4">
        <f t="shared" ca="1" si="10"/>
        <v>0</v>
      </c>
      <c r="O236" s="4" t="str">
        <f t="shared" ca="1" si="11"/>
        <v>Vencido</v>
      </c>
      <c r="P236" s="4" t="s">
        <v>55</v>
      </c>
      <c r="Q236" s="9">
        <v>46036</v>
      </c>
      <c r="R236" s="10">
        <f>IF(OR(Q236="", L236=""), "", NETWORKDAYS(L236, Q236, FESTIVOS!A235:A289))</f>
        <v>-39</v>
      </c>
    </row>
    <row r="237" spans="1:18" x14ac:dyDescent="0.25">
      <c r="A237" s="8" t="s">
        <v>16</v>
      </c>
      <c r="B237" s="7" t="s">
        <v>307</v>
      </c>
      <c r="C237" s="4" t="s">
        <v>46</v>
      </c>
      <c r="D237" s="4" t="s">
        <v>390</v>
      </c>
      <c r="E237" s="4">
        <v>236</v>
      </c>
      <c r="F237" s="9">
        <v>46069</v>
      </c>
      <c r="G237" s="9" t="b">
        <v>0</v>
      </c>
      <c r="H237" s="4" t="b">
        <v>0</v>
      </c>
      <c r="I237" s="28"/>
      <c r="J237" s="4">
        <f t="shared" si="9"/>
        <v>15</v>
      </c>
      <c r="K237" s="4">
        <f ca="1">IF(AND(F237&lt;&gt;"", L237&lt;&gt;""), NETWORKDAYS(TODAY(), L237-1, FESTIVOS!A$1:A$55), "")</f>
        <v>-67</v>
      </c>
      <c r="L237" s="9">
        <f>IF(AND(F237&lt;&gt;"", J237&lt;&gt;""), WORKDAY(F237, J237, FESTIVOS!A$1:A$55), "")</f>
        <v>46090</v>
      </c>
      <c r="M237" s="4" t="s">
        <v>21</v>
      </c>
      <c r="N237" s="4">
        <f t="shared" ca="1" si="10"/>
        <v>0</v>
      </c>
      <c r="O237" s="4" t="str">
        <f t="shared" ca="1" si="11"/>
        <v>Vencido</v>
      </c>
      <c r="P237" s="4" t="s">
        <v>55</v>
      </c>
      <c r="Q237" s="9">
        <v>46036</v>
      </c>
      <c r="R237" s="10">
        <f>IF(OR(Q237="", L237=""), "", NETWORKDAYS(L237, Q237, FESTIVOS!A236:A290))</f>
        <v>-39</v>
      </c>
    </row>
    <row r="238" spans="1:18" x14ac:dyDescent="0.25">
      <c r="A238" s="8" t="s">
        <v>16</v>
      </c>
      <c r="B238" s="7" t="s">
        <v>391</v>
      </c>
      <c r="C238" s="4" t="s">
        <v>46</v>
      </c>
      <c r="D238" s="4" t="s">
        <v>392</v>
      </c>
      <c r="E238" s="4">
        <v>237</v>
      </c>
      <c r="F238" s="9">
        <v>46070</v>
      </c>
      <c r="G238" s="9" t="b">
        <v>0</v>
      </c>
      <c r="H238" s="4" t="b">
        <v>0</v>
      </c>
      <c r="I238" s="28"/>
      <c r="J238" s="4">
        <f t="shared" si="9"/>
        <v>15</v>
      </c>
      <c r="K238" s="4">
        <f ca="1">IF(AND(F238&lt;&gt;"", L238&lt;&gt;""), NETWORKDAYS(TODAY(), L238-1, FESTIVOS!A$1:A$55), "")</f>
        <v>-67</v>
      </c>
      <c r="L238" s="9">
        <f>IF(AND(F238&lt;&gt;"", J238&lt;&gt;""), WORKDAY(F238, J238, FESTIVOS!A$1:A$55), "")</f>
        <v>46091</v>
      </c>
      <c r="M238" s="4" t="s">
        <v>21</v>
      </c>
      <c r="N238" s="4">
        <f t="shared" ca="1" si="10"/>
        <v>0</v>
      </c>
      <c r="O238" s="4" t="str">
        <f t="shared" ca="1" si="11"/>
        <v>Vencido</v>
      </c>
      <c r="P238" s="4" t="s">
        <v>55</v>
      </c>
      <c r="Q238" s="9">
        <v>46036</v>
      </c>
      <c r="R238" s="10">
        <f>IF(OR(Q238="", L238=""), "", NETWORKDAYS(L238, Q238, FESTIVOS!A237:A291))</f>
        <v>-40</v>
      </c>
    </row>
    <row r="239" spans="1:18" x14ac:dyDescent="0.25">
      <c r="A239" s="8" t="s">
        <v>16</v>
      </c>
      <c r="B239" s="7" t="s">
        <v>360</v>
      </c>
      <c r="C239" s="4" t="s">
        <v>46</v>
      </c>
      <c r="D239" s="4" t="s">
        <v>393</v>
      </c>
      <c r="E239" s="4">
        <v>238</v>
      </c>
      <c r="F239" s="9">
        <v>46070</v>
      </c>
      <c r="G239" s="9" t="b">
        <v>0</v>
      </c>
      <c r="H239" s="4" t="b">
        <v>0</v>
      </c>
      <c r="I239" s="28"/>
      <c r="J239" s="4">
        <f t="shared" si="9"/>
        <v>15</v>
      </c>
      <c r="K239" s="4">
        <f ca="1">IF(AND(F239&lt;&gt;"", L239&lt;&gt;""), NETWORKDAYS(TODAY(), L239-1, FESTIVOS!A$1:A$55), "")</f>
        <v>-67</v>
      </c>
      <c r="L239" s="9">
        <f>IF(AND(F239&lt;&gt;"", J239&lt;&gt;""), WORKDAY(F239, J239, FESTIVOS!A$1:A$55), "")</f>
        <v>46091</v>
      </c>
      <c r="M239" s="4" t="s">
        <v>21</v>
      </c>
      <c r="N239" s="4">
        <f t="shared" ca="1" si="10"/>
        <v>0</v>
      </c>
      <c r="O239" s="4" t="str">
        <f t="shared" ca="1" si="11"/>
        <v>Vencido</v>
      </c>
      <c r="P239" s="4" t="s">
        <v>55</v>
      </c>
      <c r="Q239" s="9">
        <v>46036</v>
      </c>
      <c r="R239" s="10">
        <f>IF(OR(Q239="", L239=""), "", NETWORKDAYS(L239, Q239, FESTIVOS!A238:A292))</f>
        <v>-40</v>
      </c>
    </row>
    <row r="240" spans="1:18" x14ac:dyDescent="0.25">
      <c r="A240" s="8" t="s">
        <v>16</v>
      </c>
      <c r="B240" s="7" t="s">
        <v>394</v>
      </c>
      <c r="C240" s="4" t="s">
        <v>46</v>
      </c>
      <c r="D240" s="4" t="s">
        <v>353</v>
      </c>
      <c r="E240" s="4">
        <v>239</v>
      </c>
      <c r="F240" s="9">
        <v>46070</v>
      </c>
      <c r="G240" s="9" t="b">
        <v>0</v>
      </c>
      <c r="H240" s="4" t="b">
        <v>0</v>
      </c>
      <c r="I240" s="28"/>
      <c r="J240" s="4">
        <f t="shared" si="9"/>
        <v>15</v>
      </c>
      <c r="K240" s="4">
        <f ca="1">IF(AND(F240&lt;&gt;"", L240&lt;&gt;""), NETWORKDAYS(TODAY(), L240-1, FESTIVOS!A$1:A$55), "")</f>
        <v>-67</v>
      </c>
      <c r="L240" s="9">
        <f>IF(AND(F240&lt;&gt;"", J240&lt;&gt;""), WORKDAY(F240, J240, FESTIVOS!A$1:A$55), "")</f>
        <v>46091</v>
      </c>
      <c r="M240" s="4" t="s">
        <v>21</v>
      </c>
      <c r="N240" s="4">
        <f t="shared" ca="1" si="10"/>
        <v>0</v>
      </c>
      <c r="O240" s="4" t="str">
        <f t="shared" ca="1" si="11"/>
        <v>Vencido</v>
      </c>
      <c r="P240" s="4" t="s">
        <v>55</v>
      </c>
      <c r="Q240" s="9">
        <v>46036</v>
      </c>
      <c r="R240" s="10">
        <f>IF(OR(Q240="", L240=""), "", NETWORKDAYS(L240, Q240, FESTIVOS!A239:A293))</f>
        <v>-40</v>
      </c>
    </row>
    <row r="241" spans="1:18" x14ac:dyDescent="0.25">
      <c r="A241" s="8" t="s">
        <v>16</v>
      </c>
      <c r="B241" s="7" t="s">
        <v>181</v>
      </c>
      <c r="C241" s="4" t="s">
        <v>46</v>
      </c>
      <c r="D241" s="4" t="s">
        <v>395</v>
      </c>
      <c r="E241" s="4">
        <v>240</v>
      </c>
      <c r="F241" s="9">
        <v>46070</v>
      </c>
      <c r="G241" s="9" t="b">
        <v>0</v>
      </c>
      <c r="H241" s="4" t="b">
        <v>0</v>
      </c>
      <c r="I241" s="28"/>
      <c r="J241" s="4">
        <f t="shared" si="9"/>
        <v>15</v>
      </c>
      <c r="K241" s="4">
        <f ca="1">IF(AND(F241&lt;&gt;"", L241&lt;&gt;""), NETWORKDAYS(TODAY(), L241-1, FESTIVOS!A$1:A$55), "")</f>
        <v>-67</v>
      </c>
      <c r="L241" s="9">
        <f>IF(AND(F241&lt;&gt;"", J241&lt;&gt;""), WORKDAY(F241, J241, FESTIVOS!A$1:A$55), "")</f>
        <v>46091</v>
      </c>
      <c r="M241" s="4" t="s">
        <v>21</v>
      </c>
      <c r="N241" s="4">
        <f t="shared" ca="1" si="10"/>
        <v>0</v>
      </c>
      <c r="O241" s="4" t="str">
        <f t="shared" ca="1" si="11"/>
        <v>Vencido</v>
      </c>
      <c r="P241" s="4" t="s">
        <v>55</v>
      </c>
      <c r="Q241" s="9">
        <v>46036</v>
      </c>
      <c r="R241" s="10">
        <f>IF(OR(Q241="", L241=""), "", NETWORKDAYS(L241, Q241, FESTIVOS!A240:A294))</f>
        <v>-40</v>
      </c>
    </row>
    <row r="242" spans="1:18" x14ac:dyDescent="0.25">
      <c r="A242" s="8" t="s">
        <v>16</v>
      </c>
      <c r="B242" s="7" t="s">
        <v>396</v>
      </c>
      <c r="C242" s="4" t="s">
        <v>46</v>
      </c>
      <c r="D242" s="4" t="s">
        <v>397</v>
      </c>
      <c r="E242" s="4">
        <v>241</v>
      </c>
      <c r="F242" s="9">
        <v>46070</v>
      </c>
      <c r="G242" s="9" t="b">
        <v>0</v>
      </c>
      <c r="H242" s="4" t="b">
        <v>0</v>
      </c>
      <c r="I242" s="28"/>
      <c r="J242" s="4">
        <f t="shared" si="9"/>
        <v>15</v>
      </c>
      <c r="K242" s="4">
        <f ca="1">IF(AND(F242&lt;&gt;"", L242&lt;&gt;""), NETWORKDAYS(TODAY(), L242-1, FESTIVOS!A$1:A$55), "")</f>
        <v>-67</v>
      </c>
      <c r="L242" s="9">
        <f>IF(AND(F242&lt;&gt;"", J242&lt;&gt;""), WORKDAY(F242, J242, FESTIVOS!A$1:A$55), "")</f>
        <v>46091</v>
      </c>
      <c r="M242" s="4" t="s">
        <v>21</v>
      </c>
      <c r="N242" s="4">
        <f t="shared" ca="1" si="10"/>
        <v>0</v>
      </c>
      <c r="O242" s="4" t="str">
        <f t="shared" ca="1" si="11"/>
        <v>Vencido</v>
      </c>
      <c r="P242" s="4" t="s">
        <v>55</v>
      </c>
      <c r="Q242" s="9">
        <v>46036</v>
      </c>
      <c r="R242" s="10">
        <f>IF(OR(Q242="", L242=""), "", NETWORKDAYS(L242, Q242, FESTIVOS!A241:A295))</f>
        <v>-40</v>
      </c>
    </row>
    <row r="243" spans="1:18" x14ac:dyDescent="0.25">
      <c r="A243" s="8" t="s">
        <v>16</v>
      </c>
      <c r="B243" s="7" t="s">
        <v>398</v>
      </c>
      <c r="C243" s="4" t="s">
        <v>46</v>
      </c>
      <c r="D243" s="4" t="s">
        <v>399</v>
      </c>
      <c r="E243" s="4">
        <v>242</v>
      </c>
      <c r="F243" s="9">
        <v>46070</v>
      </c>
      <c r="G243" s="9" t="b">
        <v>0</v>
      </c>
      <c r="H243" s="4" t="b">
        <v>0</v>
      </c>
      <c r="I243" s="28"/>
      <c r="J243" s="4">
        <f t="shared" si="9"/>
        <v>15</v>
      </c>
      <c r="K243" s="4">
        <f ca="1">IF(AND(F243&lt;&gt;"", L243&lt;&gt;""), NETWORKDAYS(TODAY(), L243-1, FESTIVOS!A$1:A$55), "")</f>
        <v>-67</v>
      </c>
      <c r="L243" s="9">
        <f>IF(AND(F243&lt;&gt;"", J243&lt;&gt;""), WORKDAY(F243, J243, FESTIVOS!A$1:A$55), "")</f>
        <v>46091</v>
      </c>
      <c r="M243" s="4" t="s">
        <v>21</v>
      </c>
      <c r="N243" s="4">
        <f t="shared" ca="1" si="10"/>
        <v>0</v>
      </c>
      <c r="O243" s="4" t="str">
        <f t="shared" ca="1" si="11"/>
        <v>Vencido</v>
      </c>
      <c r="P243" s="4" t="s">
        <v>55</v>
      </c>
      <c r="Q243" s="9">
        <v>46036</v>
      </c>
      <c r="R243" s="10">
        <f>IF(OR(Q243="", L243=""), "", NETWORKDAYS(L243, Q243, FESTIVOS!A242:A296))</f>
        <v>-40</v>
      </c>
    </row>
    <row r="244" spans="1:18" x14ac:dyDescent="0.25">
      <c r="A244" s="8" t="s">
        <v>16</v>
      </c>
      <c r="B244" s="7" t="s">
        <v>362</v>
      </c>
      <c r="C244" s="4" t="s">
        <v>90</v>
      </c>
      <c r="D244" s="4" t="s">
        <v>400</v>
      </c>
      <c r="E244" s="4">
        <v>243</v>
      </c>
      <c r="F244" s="9">
        <v>46070</v>
      </c>
      <c r="G244" s="9" t="b">
        <v>0</v>
      </c>
      <c r="H244" s="4" t="b">
        <v>0</v>
      </c>
      <c r="I244" s="28"/>
      <c r="J244" s="4">
        <f t="shared" si="9"/>
        <v>15</v>
      </c>
      <c r="K244" s="4">
        <f ca="1">IF(AND(F244&lt;&gt;"", L244&lt;&gt;""), NETWORKDAYS(TODAY(), L244-1, FESTIVOS!A$1:A$55), "")</f>
        <v>-67</v>
      </c>
      <c r="L244" s="9">
        <f>IF(AND(F244&lt;&gt;"", J244&lt;&gt;""), WORKDAY(F244, J244, FESTIVOS!A$1:A$55), "")</f>
        <v>46091</v>
      </c>
      <c r="M244" s="4" t="s">
        <v>21</v>
      </c>
      <c r="N244" s="4">
        <f t="shared" ca="1" si="10"/>
        <v>0</v>
      </c>
      <c r="O244" s="4" t="str">
        <f t="shared" ca="1" si="11"/>
        <v>Vencido</v>
      </c>
      <c r="P244" s="4" t="s">
        <v>55</v>
      </c>
      <c r="Q244" s="9">
        <v>46036</v>
      </c>
      <c r="R244" s="10">
        <f>IF(OR(Q244="", L244=""), "", NETWORKDAYS(L244, Q244, FESTIVOS!A243:A297))</f>
        <v>-40</v>
      </c>
    </row>
    <row r="245" spans="1:18" x14ac:dyDescent="0.25">
      <c r="A245" s="8" t="s">
        <v>16</v>
      </c>
      <c r="B245" s="7" t="s">
        <v>401</v>
      </c>
      <c r="C245" s="4" t="s">
        <v>90</v>
      </c>
      <c r="D245" s="4" t="s">
        <v>402</v>
      </c>
      <c r="E245" s="4">
        <v>244</v>
      </c>
      <c r="F245" s="9">
        <v>46070</v>
      </c>
      <c r="G245" s="9" t="b">
        <v>0</v>
      </c>
      <c r="H245" s="4" t="b">
        <v>0</v>
      </c>
      <c r="I245" s="28"/>
      <c r="J245" s="4">
        <f t="shared" si="9"/>
        <v>15</v>
      </c>
      <c r="K245" s="4">
        <f ca="1">IF(AND(F245&lt;&gt;"", L245&lt;&gt;""), NETWORKDAYS(TODAY(), L245-1, FESTIVOS!A$1:A$55), "")</f>
        <v>-67</v>
      </c>
      <c r="L245" s="9">
        <f>IF(AND(F245&lt;&gt;"", J245&lt;&gt;""), WORKDAY(F245, J245, FESTIVOS!A$1:A$55), "")</f>
        <v>46091</v>
      </c>
      <c r="M245" s="4" t="s">
        <v>21</v>
      </c>
      <c r="N245" s="4">
        <f t="shared" ca="1" si="10"/>
        <v>0</v>
      </c>
      <c r="O245" s="4" t="str">
        <f t="shared" ca="1" si="11"/>
        <v>Vencido</v>
      </c>
      <c r="P245" s="4" t="s">
        <v>55</v>
      </c>
      <c r="Q245" s="9">
        <v>46036</v>
      </c>
      <c r="R245" s="10">
        <f>IF(OR(Q245="", L245=""), "", NETWORKDAYS(L245, Q245, FESTIVOS!A244:A298))</f>
        <v>-40</v>
      </c>
    </row>
    <row r="246" spans="1:18" x14ac:dyDescent="0.25">
      <c r="A246" s="8" t="s">
        <v>16</v>
      </c>
      <c r="B246" s="7" t="s">
        <v>403</v>
      </c>
      <c r="C246" s="4" t="s">
        <v>46</v>
      </c>
      <c r="D246" s="4" t="s">
        <v>67</v>
      </c>
      <c r="E246" s="4">
        <v>245</v>
      </c>
      <c r="F246" s="9">
        <v>46070</v>
      </c>
      <c r="G246" s="9" t="b">
        <v>0</v>
      </c>
      <c r="H246" s="4" t="b">
        <v>0</v>
      </c>
      <c r="I246" s="28"/>
      <c r="J246" s="4">
        <f t="shared" si="9"/>
        <v>15</v>
      </c>
      <c r="K246" s="4">
        <f ca="1">IF(AND(F246&lt;&gt;"", L246&lt;&gt;""), NETWORKDAYS(TODAY(), L246-1, FESTIVOS!A$1:A$55), "")</f>
        <v>-67</v>
      </c>
      <c r="L246" s="9">
        <f>IF(AND(F246&lt;&gt;"", J246&lt;&gt;""), WORKDAY(F246, J246, FESTIVOS!A$1:A$55), "")</f>
        <v>46091</v>
      </c>
      <c r="M246" s="4" t="s">
        <v>21</v>
      </c>
      <c r="N246" s="4">
        <f t="shared" ca="1" si="10"/>
        <v>0</v>
      </c>
      <c r="O246" s="4" t="str">
        <f t="shared" ca="1" si="11"/>
        <v>Vencido</v>
      </c>
      <c r="P246" s="4" t="s">
        <v>55</v>
      </c>
      <c r="Q246" s="9">
        <v>46036</v>
      </c>
      <c r="R246" s="10">
        <f>IF(OR(Q246="", L246=""), "", NETWORKDAYS(L246, Q246, FESTIVOS!A245:A299))</f>
        <v>-40</v>
      </c>
    </row>
    <row r="247" spans="1:18" x14ac:dyDescent="0.25">
      <c r="A247" s="8" t="s">
        <v>16</v>
      </c>
      <c r="B247" s="7" t="s">
        <v>404</v>
      </c>
      <c r="C247" s="4" t="s">
        <v>46</v>
      </c>
      <c r="D247" s="4" t="s">
        <v>39</v>
      </c>
      <c r="E247" s="4">
        <v>246</v>
      </c>
      <c r="F247" s="9">
        <v>46070</v>
      </c>
      <c r="G247" s="9" t="b">
        <v>0</v>
      </c>
      <c r="H247" s="4" t="b">
        <v>0</v>
      </c>
      <c r="I247" s="28"/>
      <c r="J247" s="4">
        <f t="shared" si="9"/>
        <v>15</v>
      </c>
      <c r="K247" s="4">
        <f ca="1">IF(AND(F247&lt;&gt;"", L247&lt;&gt;""), NETWORKDAYS(TODAY(), L247-1, FESTIVOS!A$1:A$55), "")</f>
        <v>-67</v>
      </c>
      <c r="L247" s="9">
        <f>IF(AND(F247&lt;&gt;"", J247&lt;&gt;""), WORKDAY(F247, J247, FESTIVOS!A$1:A$55), "")</f>
        <v>46091</v>
      </c>
      <c r="M247" s="4" t="s">
        <v>21</v>
      </c>
      <c r="N247" s="4">
        <f t="shared" ca="1" si="10"/>
        <v>0</v>
      </c>
      <c r="O247" s="4" t="str">
        <f t="shared" ca="1" si="11"/>
        <v>Vencido</v>
      </c>
      <c r="P247" s="4" t="s">
        <v>55</v>
      </c>
      <c r="Q247" s="9">
        <v>46036</v>
      </c>
      <c r="R247" s="10">
        <f>IF(OR(Q247="", L247=""), "", NETWORKDAYS(L247, Q247, FESTIVOS!A246:A300))</f>
        <v>-40</v>
      </c>
    </row>
    <row r="248" spans="1:18" x14ac:dyDescent="0.25">
      <c r="A248" s="8" t="s">
        <v>16</v>
      </c>
      <c r="B248" s="7" t="s">
        <v>405</v>
      </c>
      <c r="C248" s="4" t="s">
        <v>186</v>
      </c>
      <c r="D248" s="4" t="s">
        <v>406</v>
      </c>
      <c r="E248" s="4">
        <v>247</v>
      </c>
      <c r="F248" s="9">
        <v>46071</v>
      </c>
      <c r="G248" s="9" t="b">
        <v>0</v>
      </c>
      <c r="H248" s="4" t="b">
        <v>0</v>
      </c>
      <c r="I248" s="28"/>
      <c r="J248" s="4">
        <f t="shared" si="9"/>
        <v>15</v>
      </c>
      <c r="K248" s="4">
        <f ca="1">IF(AND(F248&lt;&gt;"", L248&lt;&gt;""), NETWORKDAYS(TODAY(), L248-1, FESTIVOS!A$1:A$55), "")</f>
        <v>-66</v>
      </c>
      <c r="L248" s="9">
        <f>IF(AND(F248&lt;&gt;"", J248&lt;&gt;""), WORKDAY(F248, J248, FESTIVOS!A$1:A$55), "")</f>
        <v>46092</v>
      </c>
      <c r="M248" s="4" t="s">
        <v>21</v>
      </c>
      <c r="N248" s="4">
        <f t="shared" ca="1" si="10"/>
        <v>0</v>
      </c>
      <c r="O248" s="4" t="str">
        <f t="shared" ca="1" si="11"/>
        <v>Vencido</v>
      </c>
      <c r="P248" s="4" t="s">
        <v>55</v>
      </c>
      <c r="Q248" s="9">
        <v>46036</v>
      </c>
      <c r="R248" s="10">
        <f>IF(OR(Q248="", L248=""), "", NETWORKDAYS(L248, Q248, FESTIVOS!A247:A301))</f>
        <v>-41</v>
      </c>
    </row>
    <row r="249" spans="1:18" x14ac:dyDescent="0.25">
      <c r="A249" s="8" t="s">
        <v>16</v>
      </c>
      <c r="B249" s="7" t="s">
        <v>405</v>
      </c>
      <c r="C249" s="4" t="s">
        <v>186</v>
      </c>
      <c r="D249" s="4" t="s">
        <v>407</v>
      </c>
      <c r="E249" s="4">
        <v>248</v>
      </c>
      <c r="F249" s="9">
        <v>46071</v>
      </c>
      <c r="G249" s="9" t="b">
        <v>0</v>
      </c>
      <c r="H249" s="4" t="b">
        <v>0</v>
      </c>
      <c r="I249" s="28"/>
      <c r="J249" s="4">
        <f t="shared" si="9"/>
        <v>15</v>
      </c>
      <c r="K249" s="4">
        <f ca="1">IF(AND(F249&lt;&gt;"", L249&lt;&gt;""), NETWORKDAYS(TODAY(), L249-1, FESTIVOS!A$1:A$55), "")</f>
        <v>-66</v>
      </c>
      <c r="L249" s="9">
        <f>IF(AND(F249&lt;&gt;"", J249&lt;&gt;""), WORKDAY(F249, J249, FESTIVOS!A$1:A$55), "")</f>
        <v>46092</v>
      </c>
      <c r="M249" s="4" t="s">
        <v>21</v>
      </c>
      <c r="N249" s="4">
        <f t="shared" ca="1" si="10"/>
        <v>0</v>
      </c>
      <c r="O249" s="4" t="str">
        <f t="shared" ca="1" si="11"/>
        <v>Vencido</v>
      </c>
      <c r="P249" s="4" t="s">
        <v>55</v>
      </c>
      <c r="Q249" s="9">
        <v>46036</v>
      </c>
      <c r="R249" s="10">
        <f>IF(OR(Q249="", L249=""), "", NETWORKDAYS(L249, Q249, FESTIVOS!A248:A302))</f>
        <v>-41</v>
      </c>
    </row>
    <row r="250" spans="1:18" x14ac:dyDescent="0.25">
      <c r="A250" s="8" t="s">
        <v>16</v>
      </c>
      <c r="B250" s="7" t="s">
        <v>408</v>
      </c>
      <c r="C250" s="4" t="s">
        <v>90</v>
      </c>
      <c r="D250" s="4" t="s">
        <v>409</v>
      </c>
      <c r="E250" s="4">
        <v>249</v>
      </c>
      <c r="F250" s="9">
        <v>46071</v>
      </c>
      <c r="G250" s="9" t="b">
        <v>0</v>
      </c>
      <c r="H250" s="4" t="b">
        <v>0</v>
      </c>
      <c r="I250" s="28"/>
      <c r="J250" s="4">
        <f t="shared" si="9"/>
        <v>15</v>
      </c>
      <c r="K250" s="4">
        <f ca="1">IF(AND(F250&lt;&gt;"", L250&lt;&gt;""), NETWORKDAYS(TODAY(), L250-1, FESTIVOS!A$1:A$55), "")</f>
        <v>-66</v>
      </c>
      <c r="L250" s="9">
        <f>IF(AND(F250&lt;&gt;"", J250&lt;&gt;""), WORKDAY(F250, J250, FESTIVOS!A$1:A$55), "")</f>
        <v>46092</v>
      </c>
      <c r="M250" s="4" t="s">
        <v>21</v>
      </c>
      <c r="N250" s="4">
        <f t="shared" ca="1" si="10"/>
        <v>0</v>
      </c>
      <c r="O250" s="4" t="str">
        <f t="shared" ca="1" si="11"/>
        <v>Vencido</v>
      </c>
      <c r="P250" s="4" t="s">
        <v>55</v>
      </c>
      <c r="Q250" s="9">
        <v>46036</v>
      </c>
      <c r="R250" s="10">
        <f>IF(OR(Q250="", L250=""), "", NETWORKDAYS(L250, Q250, FESTIVOS!A249:A303))</f>
        <v>-41</v>
      </c>
    </row>
    <row r="251" spans="1:18" x14ac:dyDescent="0.25">
      <c r="A251" s="8" t="s">
        <v>16</v>
      </c>
      <c r="B251" s="7" t="s">
        <v>131</v>
      </c>
      <c r="C251" s="4" t="s">
        <v>84</v>
      </c>
      <c r="D251" s="4" t="s">
        <v>85</v>
      </c>
      <c r="E251" s="4">
        <v>250</v>
      </c>
      <c r="F251" s="9">
        <v>46071</v>
      </c>
      <c r="G251" s="9" t="b">
        <v>0</v>
      </c>
      <c r="H251" s="4" t="b">
        <v>0</v>
      </c>
      <c r="I251" s="28"/>
      <c r="J251" s="4">
        <f t="shared" si="9"/>
        <v>15</v>
      </c>
      <c r="K251" s="4">
        <f ca="1">IF(AND(F251&lt;&gt;"", L251&lt;&gt;""), NETWORKDAYS(TODAY(), L251-1, FESTIVOS!A$1:A$55), "")</f>
        <v>-66</v>
      </c>
      <c r="L251" s="9">
        <f>IF(AND(F251&lt;&gt;"", J251&lt;&gt;""), WORKDAY(F251, J251, FESTIVOS!A$1:A$55), "")</f>
        <v>46092</v>
      </c>
      <c r="M251" s="4" t="s">
        <v>21</v>
      </c>
      <c r="N251" s="4">
        <f t="shared" ca="1" si="10"/>
        <v>0</v>
      </c>
      <c r="O251" s="4" t="str">
        <f t="shared" ca="1" si="11"/>
        <v>Vencido</v>
      </c>
      <c r="P251" s="4" t="s">
        <v>55</v>
      </c>
      <c r="Q251" s="9">
        <v>46036</v>
      </c>
      <c r="R251" s="10">
        <f>IF(OR(Q251="", L251=""), "", NETWORKDAYS(L251, Q251, FESTIVOS!A250:A304))</f>
        <v>-41</v>
      </c>
    </row>
    <row r="252" spans="1:18" x14ac:dyDescent="0.25">
      <c r="A252" s="8" t="s">
        <v>16</v>
      </c>
      <c r="B252" s="7" t="s">
        <v>131</v>
      </c>
      <c r="C252" s="4" t="s">
        <v>84</v>
      </c>
      <c r="D252" s="4" t="s">
        <v>85</v>
      </c>
      <c r="E252" s="4">
        <v>251</v>
      </c>
      <c r="F252" s="9">
        <v>46071</v>
      </c>
      <c r="G252" s="9" t="b">
        <v>0</v>
      </c>
      <c r="H252" s="4" t="b">
        <v>0</v>
      </c>
      <c r="I252" s="28"/>
      <c r="J252" s="4">
        <f t="shared" si="9"/>
        <v>15</v>
      </c>
      <c r="K252" s="4">
        <f ca="1">IF(AND(F252&lt;&gt;"", L252&lt;&gt;""), NETWORKDAYS(TODAY(), L252-1, FESTIVOS!A$1:A$55), "")</f>
        <v>-66</v>
      </c>
      <c r="L252" s="9">
        <f>IF(AND(F252&lt;&gt;"", J252&lt;&gt;""), WORKDAY(F252, J252, FESTIVOS!A$1:A$55), "")</f>
        <v>46092</v>
      </c>
      <c r="M252" s="4" t="s">
        <v>21</v>
      </c>
      <c r="N252" s="4">
        <f t="shared" ca="1" si="10"/>
        <v>0</v>
      </c>
      <c r="O252" s="4" t="str">
        <f t="shared" ca="1" si="11"/>
        <v>Vencido</v>
      </c>
      <c r="P252" s="4" t="s">
        <v>55</v>
      </c>
      <c r="Q252" s="9">
        <v>46036</v>
      </c>
      <c r="R252" s="10">
        <f>IF(OR(Q252="", L252=""), "", NETWORKDAYS(L252, Q252, FESTIVOS!A251:A305))</f>
        <v>-41</v>
      </c>
    </row>
    <row r="253" spans="1:18" x14ac:dyDescent="0.25">
      <c r="A253" s="8" t="s">
        <v>16</v>
      </c>
      <c r="B253" s="7" t="s">
        <v>131</v>
      </c>
      <c r="C253" s="4" t="s">
        <v>84</v>
      </c>
      <c r="D253" s="4" t="s">
        <v>85</v>
      </c>
      <c r="E253" s="4">
        <v>252</v>
      </c>
      <c r="F253" s="9">
        <v>46071</v>
      </c>
      <c r="G253" s="9" t="b">
        <v>0</v>
      </c>
      <c r="H253" s="4" t="b">
        <v>0</v>
      </c>
      <c r="I253" s="28"/>
      <c r="J253" s="4">
        <f t="shared" si="9"/>
        <v>15</v>
      </c>
      <c r="K253" s="4">
        <f ca="1">IF(AND(F253&lt;&gt;"", L253&lt;&gt;""), NETWORKDAYS(TODAY(), L253-1, FESTIVOS!A$1:A$55), "")</f>
        <v>-66</v>
      </c>
      <c r="L253" s="9">
        <f>IF(AND(F253&lt;&gt;"", J253&lt;&gt;""), WORKDAY(F253, J253, FESTIVOS!A$1:A$55), "")</f>
        <v>46092</v>
      </c>
      <c r="M253" s="4" t="s">
        <v>21</v>
      </c>
      <c r="N253" s="4">
        <f t="shared" ca="1" si="10"/>
        <v>0</v>
      </c>
      <c r="O253" s="4" t="str">
        <f t="shared" ca="1" si="11"/>
        <v>Vencido</v>
      </c>
      <c r="P253" s="4" t="s">
        <v>55</v>
      </c>
      <c r="Q253" s="9">
        <v>46036</v>
      </c>
      <c r="R253" s="10">
        <f>IF(OR(Q253="", L253=""), "", NETWORKDAYS(L253, Q253, FESTIVOS!A252:A306))</f>
        <v>-41</v>
      </c>
    </row>
    <row r="254" spans="1:18" x14ac:dyDescent="0.25">
      <c r="A254" s="8" t="s">
        <v>16</v>
      </c>
      <c r="B254" s="7" t="s">
        <v>131</v>
      </c>
      <c r="C254" s="4" t="s">
        <v>84</v>
      </c>
      <c r="D254" s="4" t="s">
        <v>85</v>
      </c>
      <c r="E254" s="4">
        <v>253</v>
      </c>
      <c r="F254" s="9">
        <v>46071</v>
      </c>
      <c r="G254" s="9" t="b">
        <v>0</v>
      </c>
      <c r="H254" s="4" t="b">
        <v>0</v>
      </c>
      <c r="I254" s="28"/>
      <c r="J254" s="4">
        <f t="shared" si="9"/>
        <v>15</v>
      </c>
      <c r="K254" s="4">
        <f ca="1">IF(AND(F254&lt;&gt;"", L254&lt;&gt;""), NETWORKDAYS(TODAY(), L254-1, FESTIVOS!A$1:A$55), "")</f>
        <v>-66</v>
      </c>
      <c r="L254" s="9">
        <f>IF(AND(F254&lt;&gt;"", J254&lt;&gt;""), WORKDAY(F254, J254, FESTIVOS!A$1:A$55), "")</f>
        <v>46092</v>
      </c>
      <c r="M254" s="4" t="s">
        <v>21</v>
      </c>
      <c r="N254" s="4">
        <f t="shared" ca="1" si="10"/>
        <v>0</v>
      </c>
      <c r="O254" s="4" t="str">
        <f t="shared" ca="1" si="11"/>
        <v>Vencido</v>
      </c>
      <c r="P254" s="4" t="s">
        <v>55</v>
      </c>
      <c r="Q254" s="9">
        <v>46036</v>
      </c>
      <c r="R254" s="10">
        <f>IF(OR(Q254="", L254=""), "", NETWORKDAYS(L254, Q254, FESTIVOS!A253:A307))</f>
        <v>-41</v>
      </c>
    </row>
    <row r="255" spans="1:18" x14ac:dyDescent="0.25">
      <c r="A255" s="8" t="s">
        <v>16</v>
      </c>
      <c r="B255" s="7" t="s">
        <v>131</v>
      </c>
      <c r="C255" s="4" t="s">
        <v>84</v>
      </c>
      <c r="D255" s="4" t="s">
        <v>85</v>
      </c>
      <c r="E255" s="4">
        <v>254</v>
      </c>
      <c r="F255" s="9">
        <v>46071</v>
      </c>
      <c r="G255" s="9" t="b">
        <v>0</v>
      </c>
      <c r="H255" s="4" t="b">
        <v>0</v>
      </c>
      <c r="I255" s="28"/>
      <c r="J255" s="4">
        <f t="shared" si="9"/>
        <v>15</v>
      </c>
      <c r="K255" s="4">
        <f ca="1">IF(AND(F255&lt;&gt;"", L255&lt;&gt;""), NETWORKDAYS(TODAY(), L255-1, FESTIVOS!A$1:A$55), "")</f>
        <v>-66</v>
      </c>
      <c r="L255" s="9">
        <f>IF(AND(F255&lt;&gt;"", J255&lt;&gt;""), WORKDAY(F255, J255, FESTIVOS!A$1:A$55), "")</f>
        <v>46092</v>
      </c>
      <c r="M255" s="4" t="s">
        <v>21</v>
      </c>
      <c r="N255" s="4">
        <f t="shared" ca="1" si="10"/>
        <v>0</v>
      </c>
      <c r="O255" s="4" t="str">
        <f t="shared" ca="1" si="11"/>
        <v>Vencido</v>
      </c>
      <c r="P255" s="4" t="s">
        <v>55</v>
      </c>
      <c r="Q255" s="9">
        <v>46036</v>
      </c>
      <c r="R255" s="10">
        <f>IF(OR(Q255="", L255=""), "", NETWORKDAYS(L255, Q255, FESTIVOS!A254:A308))</f>
        <v>-41</v>
      </c>
    </row>
    <row r="256" spans="1:18" x14ac:dyDescent="0.25">
      <c r="A256" s="8" t="s">
        <v>16</v>
      </c>
      <c r="B256" s="7" t="s">
        <v>131</v>
      </c>
      <c r="C256" s="4" t="s">
        <v>84</v>
      </c>
      <c r="D256" s="4" t="s">
        <v>85</v>
      </c>
      <c r="E256" s="4">
        <v>255</v>
      </c>
      <c r="F256" s="9">
        <v>46071</v>
      </c>
      <c r="G256" s="9" t="b">
        <v>0</v>
      </c>
      <c r="H256" s="4" t="b">
        <v>0</v>
      </c>
      <c r="I256" s="28"/>
      <c r="J256" s="4">
        <f t="shared" si="9"/>
        <v>15</v>
      </c>
      <c r="K256" s="4">
        <f ca="1">IF(AND(F256&lt;&gt;"", L256&lt;&gt;""), NETWORKDAYS(TODAY(), L256-1, FESTIVOS!A$1:A$55), "")</f>
        <v>-66</v>
      </c>
      <c r="L256" s="9">
        <f>IF(AND(F256&lt;&gt;"", J256&lt;&gt;""), WORKDAY(F256, J256, FESTIVOS!A$1:A$55), "")</f>
        <v>46092</v>
      </c>
      <c r="M256" s="4" t="s">
        <v>21</v>
      </c>
      <c r="N256" s="4">
        <f t="shared" ca="1" si="10"/>
        <v>0</v>
      </c>
      <c r="O256" s="4" t="str">
        <f t="shared" ca="1" si="11"/>
        <v>Vencido</v>
      </c>
      <c r="P256" s="4" t="s">
        <v>55</v>
      </c>
      <c r="Q256" s="9">
        <v>46036</v>
      </c>
      <c r="R256" s="10">
        <f>IF(OR(Q256="", L256=""), "", NETWORKDAYS(L256, Q256, FESTIVOS!A255:A309))</f>
        <v>-41</v>
      </c>
    </row>
    <row r="257" spans="1:18" x14ac:dyDescent="0.25">
      <c r="A257" s="8" t="s">
        <v>16</v>
      </c>
      <c r="B257" s="7" t="s">
        <v>131</v>
      </c>
      <c r="C257" s="4" t="s">
        <v>84</v>
      </c>
      <c r="D257" s="4" t="s">
        <v>85</v>
      </c>
      <c r="E257" s="4">
        <v>256</v>
      </c>
      <c r="F257" s="9">
        <v>46071</v>
      </c>
      <c r="G257" s="9" t="b">
        <v>0</v>
      </c>
      <c r="H257" s="4" t="b">
        <v>0</v>
      </c>
      <c r="I257" s="28"/>
      <c r="J257" s="4">
        <f t="shared" si="9"/>
        <v>15</v>
      </c>
      <c r="K257" s="4">
        <f ca="1">IF(AND(F257&lt;&gt;"", L257&lt;&gt;""), NETWORKDAYS(TODAY(), L257-1, FESTIVOS!A$1:A$55), "")</f>
        <v>-66</v>
      </c>
      <c r="L257" s="9">
        <f>IF(AND(F257&lt;&gt;"", J257&lt;&gt;""), WORKDAY(F257, J257, FESTIVOS!A$1:A$55), "")</f>
        <v>46092</v>
      </c>
      <c r="M257" s="4" t="s">
        <v>21</v>
      </c>
      <c r="N257" s="4">
        <f t="shared" ca="1" si="10"/>
        <v>0</v>
      </c>
      <c r="O257" s="4" t="str">
        <f t="shared" ca="1" si="11"/>
        <v>Vencido</v>
      </c>
      <c r="P257" s="4" t="s">
        <v>55</v>
      </c>
      <c r="Q257" s="9">
        <v>46036</v>
      </c>
      <c r="R257" s="10">
        <f>IF(OR(Q257="", L257=""), "", NETWORKDAYS(L257, Q257, FESTIVOS!A256:A310))</f>
        <v>-41</v>
      </c>
    </row>
    <row r="258" spans="1:18" x14ac:dyDescent="0.25">
      <c r="A258" s="8" t="s">
        <v>16</v>
      </c>
      <c r="B258" s="7" t="s">
        <v>131</v>
      </c>
      <c r="C258" s="4" t="s">
        <v>84</v>
      </c>
      <c r="D258" s="4" t="s">
        <v>85</v>
      </c>
      <c r="E258" s="4">
        <v>257</v>
      </c>
      <c r="F258" s="9">
        <v>46071</v>
      </c>
      <c r="G258" s="9" t="b">
        <v>0</v>
      </c>
      <c r="H258" s="4" t="b">
        <v>0</v>
      </c>
      <c r="I258" s="28"/>
      <c r="J258" s="4">
        <f t="shared" ref="J258:J299" si="12">IF(A258="INFORMACIÓN O DOCUMENTOS", 10, IF(A258="CONSULTA", 30, IF(A258="FACTURACIÓN Y COBROS", 15, IF(A258="VINCULACIÓN Y DESVINCULACIÓN", 15, IF(A258="NO ES DE NUESTRA COMPETENCIA", 5, IF(A258="OTRO", 15, ""))))))</f>
        <v>15</v>
      </c>
      <c r="K258" s="4">
        <f ca="1">IF(AND(F258&lt;&gt;"", L258&lt;&gt;""), NETWORKDAYS(TODAY(), L258-1, FESTIVOS!A$1:A$55), "")</f>
        <v>-66</v>
      </c>
      <c r="L258" s="9">
        <f>IF(AND(F258&lt;&gt;"", J258&lt;&gt;""), WORKDAY(F258, J258, FESTIVOS!A$1:A$55), "")</f>
        <v>46092</v>
      </c>
      <c r="M258" s="4" t="s">
        <v>21</v>
      </c>
      <c r="N258" s="4">
        <f t="shared" ref="N258:N309" ca="1" si="13">IF(K258="", "", MAX(0, K258 - (TODAY() - TODAY())))</f>
        <v>0</v>
      </c>
      <c r="O258" s="4" t="str">
        <f t="shared" ref="O258:O309" ca="1" si="14">IF(OR(K258="", J258=""), "", IF(K258&lt;0, "Vencido", IF(K258&gt;(J258/2), "Supere la mitad", "Bajo la mitad")))</f>
        <v>Vencido</v>
      </c>
      <c r="P258" s="4" t="s">
        <v>55</v>
      </c>
      <c r="Q258" s="9">
        <v>46036</v>
      </c>
      <c r="R258" s="10">
        <f>IF(OR(Q258="", L258=""), "", NETWORKDAYS(L258, Q258, FESTIVOS!A257:A311))</f>
        <v>-41</v>
      </c>
    </row>
    <row r="259" spans="1:18" x14ac:dyDescent="0.25">
      <c r="A259" s="8" t="s">
        <v>16</v>
      </c>
      <c r="B259" s="7" t="s">
        <v>410</v>
      </c>
      <c r="C259" s="4" t="s">
        <v>46</v>
      </c>
      <c r="D259" s="4" t="s">
        <v>411</v>
      </c>
      <c r="E259" s="4">
        <v>258</v>
      </c>
      <c r="F259" s="9">
        <v>46071</v>
      </c>
      <c r="G259" s="9" t="b">
        <v>0</v>
      </c>
      <c r="H259" s="4" t="b">
        <v>0</v>
      </c>
      <c r="I259" s="28"/>
      <c r="J259" s="4">
        <f t="shared" si="12"/>
        <v>15</v>
      </c>
      <c r="K259" s="4">
        <f ca="1">IF(AND(F259&lt;&gt;"", L259&lt;&gt;""), NETWORKDAYS(TODAY(), L259-1, FESTIVOS!A$1:A$55), "")</f>
        <v>-66</v>
      </c>
      <c r="L259" s="9">
        <f>IF(AND(F259&lt;&gt;"", J259&lt;&gt;""), WORKDAY(F259, J259, FESTIVOS!A$1:A$55), "")</f>
        <v>46092</v>
      </c>
      <c r="M259" s="4" t="s">
        <v>21</v>
      </c>
      <c r="N259" s="4">
        <f t="shared" ca="1" si="13"/>
        <v>0</v>
      </c>
      <c r="O259" s="4" t="str">
        <f t="shared" ca="1" si="14"/>
        <v>Vencido</v>
      </c>
      <c r="P259" s="4" t="s">
        <v>55</v>
      </c>
      <c r="Q259" s="9">
        <v>46036</v>
      </c>
      <c r="R259" s="10">
        <f>IF(OR(Q259="", L259=""), "", NETWORKDAYS(L259, Q259, FESTIVOS!A258:A312))</f>
        <v>-41</v>
      </c>
    </row>
    <row r="260" spans="1:18" x14ac:dyDescent="0.25">
      <c r="A260" s="8" t="s">
        <v>16</v>
      </c>
      <c r="B260" s="7" t="s">
        <v>412</v>
      </c>
      <c r="C260" s="4" t="s">
        <v>46</v>
      </c>
      <c r="D260" s="4" t="s">
        <v>413</v>
      </c>
      <c r="E260" s="4">
        <v>259</v>
      </c>
      <c r="F260" s="9">
        <v>46071</v>
      </c>
      <c r="G260" s="9" t="b">
        <v>0</v>
      </c>
      <c r="H260" s="4" t="b">
        <v>0</v>
      </c>
      <c r="I260" s="28"/>
      <c r="J260" s="4">
        <f t="shared" si="12"/>
        <v>15</v>
      </c>
      <c r="K260" s="4">
        <f ca="1">IF(AND(F260&lt;&gt;"", L260&lt;&gt;""), NETWORKDAYS(TODAY(), L260-1, FESTIVOS!A$1:A$55), "")</f>
        <v>-66</v>
      </c>
      <c r="L260" s="9">
        <f>IF(AND(F260&lt;&gt;"", J260&lt;&gt;""), WORKDAY(F260, J260, FESTIVOS!A$1:A$55), "")</f>
        <v>46092</v>
      </c>
      <c r="M260" s="4" t="s">
        <v>21</v>
      </c>
      <c r="N260" s="4">
        <f t="shared" ca="1" si="13"/>
        <v>0</v>
      </c>
      <c r="O260" s="4" t="str">
        <f t="shared" ca="1" si="14"/>
        <v>Vencido</v>
      </c>
      <c r="P260" s="4" t="s">
        <v>55</v>
      </c>
      <c r="Q260" s="9">
        <v>46036</v>
      </c>
      <c r="R260" s="10">
        <f>IF(OR(Q260="", L260=""), "", NETWORKDAYS(L260, Q260, FESTIVOS!A259:A313))</f>
        <v>-41</v>
      </c>
    </row>
    <row r="261" spans="1:18" x14ac:dyDescent="0.25">
      <c r="A261" s="8" t="s">
        <v>16</v>
      </c>
      <c r="B261" s="7" t="s">
        <v>412</v>
      </c>
      <c r="C261" s="4" t="s">
        <v>46</v>
      </c>
      <c r="D261" s="4" t="s">
        <v>414</v>
      </c>
      <c r="E261" s="4">
        <v>260</v>
      </c>
      <c r="F261" s="9">
        <v>46071</v>
      </c>
      <c r="G261" s="9" t="b">
        <v>0</v>
      </c>
      <c r="H261" s="4" t="b">
        <v>0</v>
      </c>
      <c r="I261" s="28"/>
      <c r="J261" s="4">
        <f t="shared" si="12"/>
        <v>15</v>
      </c>
      <c r="K261" s="4">
        <f ca="1">IF(AND(F261&lt;&gt;"", L261&lt;&gt;""), NETWORKDAYS(TODAY(), L261-1, FESTIVOS!A$1:A$55), "")</f>
        <v>-66</v>
      </c>
      <c r="L261" s="9">
        <f>IF(AND(F261&lt;&gt;"", J261&lt;&gt;""), WORKDAY(F261, J261, FESTIVOS!A$1:A$55), "")</f>
        <v>46092</v>
      </c>
      <c r="M261" s="4" t="s">
        <v>21</v>
      </c>
      <c r="N261" s="4">
        <f t="shared" ca="1" si="13"/>
        <v>0</v>
      </c>
      <c r="O261" s="4" t="str">
        <f t="shared" ca="1" si="14"/>
        <v>Vencido</v>
      </c>
      <c r="P261" s="4" t="s">
        <v>415</v>
      </c>
      <c r="Q261" s="9">
        <v>46073</v>
      </c>
      <c r="R261" s="10">
        <f>IF(OR(Q261="", L261=""), "", NETWORKDAYS(L261, Q261, FESTIVOS!A260:A314))</f>
        <v>-14</v>
      </c>
    </row>
    <row r="262" spans="1:18" x14ac:dyDescent="0.25">
      <c r="A262" s="8" t="s">
        <v>16</v>
      </c>
      <c r="B262" s="7" t="s">
        <v>416</v>
      </c>
      <c r="C262" s="4" t="s">
        <v>90</v>
      </c>
      <c r="D262" s="4" t="s">
        <v>185</v>
      </c>
      <c r="E262" s="4">
        <v>261</v>
      </c>
      <c r="F262" s="9">
        <v>46072</v>
      </c>
      <c r="G262" s="9" t="b">
        <v>0</v>
      </c>
      <c r="H262" s="4" t="b">
        <v>0</v>
      </c>
      <c r="I262" s="28"/>
      <c r="J262" s="4">
        <f t="shared" si="12"/>
        <v>15</v>
      </c>
      <c r="K262" s="4">
        <f ca="1">IF(AND(F262&lt;&gt;"", L262&lt;&gt;""), NETWORKDAYS(TODAY(), L262-1, FESTIVOS!A$1:A$55), "")</f>
        <v>-65</v>
      </c>
      <c r="L262" s="9">
        <f>IF(AND(F262&lt;&gt;"", J262&lt;&gt;""), WORKDAY(F262, J262, FESTIVOS!A$1:A$55), "")</f>
        <v>46093</v>
      </c>
      <c r="M262" s="4" t="s">
        <v>21</v>
      </c>
      <c r="N262" s="4">
        <f t="shared" ca="1" si="13"/>
        <v>0</v>
      </c>
      <c r="O262" s="4" t="str">
        <f t="shared" ca="1" si="14"/>
        <v>Vencido</v>
      </c>
      <c r="P262" s="4" t="s">
        <v>417</v>
      </c>
      <c r="Q262" s="9">
        <v>46073</v>
      </c>
      <c r="R262" s="10">
        <f>IF(OR(Q262="", L262=""), "", NETWORKDAYS(L262, Q262, FESTIVOS!A261:A315))</f>
        <v>-15</v>
      </c>
    </row>
    <row r="263" spans="1:18" x14ac:dyDescent="0.25">
      <c r="A263" s="8" t="s">
        <v>16</v>
      </c>
      <c r="B263" s="7" t="s">
        <v>418</v>
      </c>
      <c r="C263" s="4" t="s">
        <v>90</v>
      </c>
      <c r="D263" s="4" t="s">
        <v>419</v>
      </c>
      <c r="E263" s="4">
        <v>262</v>
      </c>
      <c r="F263" s="9">
        <v>46072</v>
      </c>
      <c r="G263" s="9" t="b">
        <v>0</v>
      </c>
      <c r="H263" s="4" t="b">
        <v>0</v>
      </c>
      <c r="I263" s="28"/>
      <c r="J263" s="4">
        <f t="shared" si="12"/>
        <v>15</v>
      </c>
      <c r="K263" s="4">
        <f ca="1">IF(AND(F263&lt;&gt;"", L263&lt;&gt;""), NETWORKDAYS(TODAY(), L263-1, FESTIVOS!A$1:A$55), "")</f>
        <v>-65</v>
      </c>
      <c r="L263" s="9">
        <f>IF(AND(F263&lt;&gt;"", J263&lt;&gt;""), WORKDAY(F263, J263, FESTIVOS!A$1:A$55), "")</f>
        <v>46093</v>
      </c>
      <c r="M263" s="4" t="s">
        <v>21</v>
      </c>
      <c r="N263" s="4">
        <f t="shared" ca="1" si="13"/>
        <v>0</v>
      </c>
      <c r="O263" s="4" t="str">
        <f t="shared" ca="1" si="14"/>
        <v>Vencido</v>
      </c>
      <c r="P263" s="4" t="s">
        <v>420</v>
      </c>
      <c r="Q263" s="9">
        <v>46085</v>
      </c>
      <c r="R263" s="10">
        <f>IF(OR(Q263="", L263=""), "", NETWORKDAYS(L263, Q263, FESTIVOS!A262:A316))</f>
        <v>-7</v>
      </c>
    </row>
    <row r="264" spans="1:18" x14ac:dyDescent="0.25">
      <c r="A264" s="8" t="s">
        <v>16</v>
      </c>
      <c r="B264" s="7" t="s">
        <v>421</v>
      </c>
      <c r="C264" s="4" t="s">
        <v>126</v>
      </c>
      <c r="D264" s="4" t="s">
        <v>422</v>
      </c>
      <c r="E264" s="4">
        <v>263</v>
      </c>
      <c r="F264" s="9">
        <v>46072</v>
      </c>
      <c r="G264" s="9" t="b">
        <v>0</v>
      </c>
      <c r="H264" s="4" t="b">
        <v>0</v>
      </c>
      <c r="I264" s="28"/>
      <c r="J264" s="4">
        <f t="shared" si="12"/>
        <v>15</v>
      </c>
      <c r="K264" s="4">
        <f ca="1">IF(AND(F264&lt;&gt;"", L264&lt;&gt;""), NETWORKDAYS(TODAY(), L264-1, FESTIVOS!A$1:A$55), "")</f>
        <v>-65</v>
      </c>
      <c r="L264" s="9">
        <f>IF(AND(F264&lt;&gt;"", J264&lt;&gt;""), WORKDAY(F264, J264, FESTIVOS!A$1:A$55), "")</f>
        <v>46093</v>
      </c>
      <c r="M264" s="4" t="s">
        <v>21</v>
      </c>
      <c r="N264" s="4">
        <f t="shared" ca="1" si="13"/>
        <v>0</v>
      </c>
      <c r="O264" s="4" t="str">
        <f t="shared" ca="1" si="14"/>
        <v>Vencido</v>
      </c>
      <c r="P264" s="4" t="s">
        <v>37</v>
      </c>
      <c r="Q264" s="9" t="b">
        <v>0</v>
      </c>
      <c r="R264" s="10" t="e">
        <f>IF(OR(Q264="", L264=""), "", NETWORKDAYS(L264, Q264, FESTIVOS!A263:A317))</f>
        <v>#VALUE!</v>
      </c>
    </row>
    <row r="265" spans="1:18" x14ac:dyDescent="0.25">
      <c r="A265" s="8" t="s">
        <v>16</v>
      </c>
      <c r="B265" s="7" t="s">
        <v>423</v>
      </c>
      <c r="C265" s="4" t="s">
        <v>90</v>
      </c>
      <c r="D265" s="4" t="s">
        <v>424</v>
      </c>
      <c r="E265" s="4">
        <v>264</v>
      </c>
      <c r="F265" s="9">
        <v>46072</v>
      </c>
      <c r="G265" s="9" t="b">
        <v>0</v>
      </c>
      <c r="H265" s="4" t="b">
        <v>0</v>
      </c>
      <c r="I265" s="28"/>
      <c r="J265" s="4">
        <f t="shared" si="12"/>
        <v>15</v>
      </c>
      <c r="K265" s="4">
        <f ca="1">IF(AND(F265&lt;&gt;"", L265&lt;&gt;""), NETWORKDAYS(TODAY(), L265-1, FESTIVOS!A$1:A$55), "")</f>
        <v>-65</v>
      </c>
      <c r="L265" s="9">
        <f>IF(AND(F265&lt;&gt;"", J265&lt;&gt;""), WORKDAY(F265, J265, FESTIVOS!A$1:A$55), "")</f>
        <v>46093</v>
      </c>
      <c r="M265" s="4" t="s">
        <v>21</v>
      </c>
      <c r="N265" s="4">
        <f t="shared" ca="1" si="13"/>
        <v>0</v>
      </c>
      <c r="O265" s="4" t="str">
        <f t="shared" ca="1" si="14"/>
        <v>Vencido</v>
      </c>
      <c r="P265" s="4" t="s">
        <v>425</v>
      </c>
      <c r="Q265" s="9">
        <v>46076</v>
      </c>
      <c r="R265" s="10">
        <f>IF(OR(Q265="", L265=""), "", NETWORKDAYS(L265, Q265, FESTIVOS!A264:A318))</f>
        <v>-14</v>
      </c>
    </row>
    <row r="266" spans="1:18" x14ac:dyDescent="0.25">
      <c r="A266" s="8" t="s">
        <v>16</v>
      </c>
      <c r="B266" s="7" t="s">
        <v>426</v>
      </c>
      <c r="C266" s="4" t="s">
        <v>46</v>
      </c>
      <c r="D266" s="4" t="s">
        <v>427</v>
      </c>
      <c r="E266" s="4">
        <v>265</v>
      </c>
      <c r="F266" s="9">
        <v>46072</v>
      </c>
      <c r="G266" s="9" t="b">
        <v>0</v>
      </c>
      <c r="H266" s="4" t="b">
        <v>0</v>
      </c>
      <c r="I266" s="28"/>
      <c r="J266" s="4">
        <f t="shared" si="12"/>
        <v>15</v>
      </c>
      <c r="K266" s="4">
        <f ca="1">IF(AND(F266&lt;&gt;"", L266&lt;&gt;""), NETWORKDAYS(TODAY(), L266-1, FESTIVOS!A$1:A$55), "")</f>
        <v>-65</v>
      </c>
      <c r="L266" s="9">
        <f>IF(AND(F266&lt;&gt;"", J266&lt;&gt;""), WORKDAY(F266, J266, FESTIVOS!A$1:A$55), "")</f>
        <v>46093</v>
      </c>
      <c r="M266" s="4" t="s">
        <v>21</v>
      </c>
      <c r="N266" s="4">
        <f t="shared" ca="1" si="13"/>
        <v>0</v>
      </c>
      <c r="O266" s="4" t="str">
        <f t="shared" ca="1" si="14"/>
        <v>Vencido</v>
      </c>
      <c r="P266" s="4" t="s">
        <v>428</v>
      </c>
      <c r="Q266" s="9">
        <v>46090</v>
      </c>
      <c r="R266" s="10">
        <f>IF(OR(Q266="", L266=""), "", NETWORKDAYS(L266, Q266, FESTIVOS!A265:A319))</f>
        <v>-4</v>
      </c>
    </row>
    <row r="267" spans="1:18" x14ac:dyDescent="0.25">
      <c r="A267" s="8" t="s">
        <v>16</v>
      </c>
      <c r="B267" s="7" t="s">
        <v>429</v>
      </c>
      <c r="C267" s="4" t="s">
        <v>186</v>
      </c>
      <c r="D267" s="4" t="s">
        <v>430</v>
      </c>
      <c r="E267" s="4">
        <v>266</v>
      </c>
      <c r="F267" s="9">
        <v>46072</v>
      </c>
      <c r="G267" s="9" t="b">
        <v>0</v>
      </c>
      <c r="H267" s="4" t="b">
        <v>0</v>
      </c>
      <c r="I267" s="28"/>
      <c r="J267" s="4">
        <f t="shared" si="12"/>
        <v>15</v>
      </c>
      <c r="K267" s="4">
        <f ca="1">IF(AND(F267&lt;&gt;"", L267&lt;&gt;""), NETWORKDAYS(TODAY(), L267-1, FESTIVOS!A$1:A$55), "")</f>
        <v>-65</v>
      </c>
      <c r="L267" s="9">
        <f>IF(AND(F267&lt;&gt;"", J267&lt;&gt;""), WORKDAY(F267, J267, FESTIVOS!A$1:A$55), "")</f>
        <v>46093</v>
      </c>
      <c r="M267" s="4" t="s">
        <v>21</v>
      </c>
      <c r="N267" s="4">
        <f t="shared" ca="1" si="13"/>
        <v>0</v>
      </c>
      <c r="O267" s="4" t="str">
        <f t="shared" ca="1" si="14"/>
        <v>Vencido</v>
      </c>
      <c r="P267" s="4" t="s">
        <v>431</v>
      </c>
      <c r="Q267" s="9">
        <v>46093</v>
      </c>
      <c r="R267" s="10">
        <f>IF(OR(Q267="", L267=""), "", NETWORKDAYS(L267, Q267, FESTIVOS!A266:A320))</f>
        <v>1</v>
      </c>
    </row>
    <row r="268" spans="1:18" x14ac:dyDescent="0.25">
      <c r="A268" s="8" t="s">
        <v>16</v>
      </c>
      <c r="B268" s="7" t="s">
        <v>432</v>
      </c>
      <c r="C268" s="4" t="s">
        <v>46</v>
      </c>
      <c r="D268" s="4" t="s">
        <v>61</v>
      </c>
      <c r="E268" s="4">
        <v>267</v>
      </c>
      <c r="F268" s="9">
        <v>46072</v>
      </c>
      <c r="G268" s="9" t="b">
        <v>0</v>
      </c>
      <c r="H268" s="4" t="b">
        <v>0</v>
      </c>
      <c r="I268" s="28"/>
      <c r="J268" s="4">
        <f t="shared" si="12"/>
        <v>15</v>
      </c>
      <c r="K268" s="4">
        <f ca="1">IF(AND(F268&lt;&gt;"", L268&lt;&gt;""), NETWORKDAYS(TODAY(), L268-1, FESTIVOS!A$1:A$55), "")</f>
        <v>-65</v>
      </c>
      <c r="L268" s="9">
        <f>IF(AND(F268&lt;&gt;"", J268&lt;&gt;""), WORKDAY(F268, J268, FESTIVOS!A$1:A$55), "")</f>
        <v>46093</v>
      </c>
      <c r="M268" s="4" t="s">
        <v>21</v>
      </c>
      <c r="N268" s="4">
        <f t="shared" ca="1" si="13"/>
        <v>0</v>
      </c>
      <c r="O268" s="4" t="str">
        <f t="shared" ca="1" si="14"/>
        <v>Vencido</v>
      </c>
      <c r="P268" s="4" t="s">
        <v>433</v>
      </c>
      <c r="Q268" s="9">
        <v>46107</v>
      </c>
      <c r="R268" s="10">
        <f>IF(OR(Q268="", L268=""), "", NETWORKDAYS(L268, Q268, FESTIVOS!A267:A321))</f>
        <v>11</v>
      </c>
    </row>
    <row r="269" spans="1:18" x14ac:dyDescent="0.25">
      <c r="A269" s="8" t="s">
        <v>16</v>
      </c>
      <c r="B269" s="7" t="s">
        <v>434</v>
      </c>
      <c r="C269" s="4" t="s">
        <v>46</v>
      </c>
      <c r="D269" s="4" t="s">
        <v>135</v>
      </c>
      <c r="E269" s="4">
        <v>268</v>
      </c>
      <c r="F269" s="9">
        <v>46073</v>
      </c>
      <c r="G269" s="9" t="b">
        <v>0</v>
      </c>
      <c r="H269" s="4" t="b">
        <v>0</v>
      </c>
      <c r="I269" s="28"/>
      <c r="J269" s="4">
        <f t="shared" si="12"/>
        <v>15</v>
      </c>
      <c r="K269" s="4">
        <f ca="1">IF(AND(F269&lt;&gt;"", L269&lt;&gt;""), NETWORKDAYS(TODAY(), L269-1, FESTIVOS!A$1:A$55), "")</f>
        <v>-64</v>
      </c>
      <c r="L269" s="9">
        <f>IF(AND(F269&lt;&gt;"", J269&lt;&gt;""), WORKDAY(F269, J269, FESTIVOS!A$1:A$55), "")</f>
        <v>46094</v>
      </c>
      <c r="M269" s="4" t="s">
        <v>21</v>
      </c>
      <c r="N269" s="4">
        <f t="shared" ca="1" si="13"/>
        <v>0</v>
      </c>
      <c r="O269" s="4" t="str">
        <f t="shared" ca="1" si="14"/>
        <v>Vencido</v>
      </c>
      <c r="P269" s="4" t="s">
        <v>435</v>
      </c>
      <c r="Q269" s="9">
        <v>46085</v>
      </c>
      <c r="R269" s="10">
        <f>IF(OR(Q269="", L269=""), "", NETWORKDAYS(L269, Q269, FESTIVOS!A268:A322))</f>
        <v>-8</v>
      </c>
    </row>
    <row r="270" spans="1:18" x14ac:dyDescent="0.25">
      <c r="A270" s="8" t="s">
        <v>16</v>
      </c>
      <c r="B270" s="7" t="s">
        <v>240</v>
      </c>
      <c r="C270" s="4" t="s">
        <v>90</v>
      </c>
      <c r="D270" s="4" t="s">
        <v>436</v>
      </c>
      <c r="E270" s="4">
        <v>269</v>
      </c>
      <c r="F270" s="9">
        <v>46073</v>
      </c>
      <c r="G270" s="9" t="b">
        <v>0</v>
      </c>
      <c r="H270" s="4" t="b">
        <v>0</v>
      </c>
      <c r="I270" s="28"/>
      <c r="J270" s="4">
        <f t="shared" si="12"/>
        <v>15</v>
      </c>
      <c r="K270" s="4">
        <f ca="1">IF(AND(F270&lt;&gt;"", L270&lt;&gt;""), NETWORKDAYS(TODAY(), L270-1, FESTIVOS!A$1:A$55), "")</f>
        <v>-64</v>
      </c>
      <c r="L270" s="9">
        <f>IF(AND(F270&lt;&gt;"", J270&lt;&gt;""), WORKDAY(F270, J270, FESTIVOS!A$1:A$55), "")</f>
        <v>46094</v>
      </c>
      <c r="M270" s="4" t="s">
        <v>21</v>
      </c>
      <c r="N270" s="4">
        <f t="shared" ca="1" si="13"/>
        <v>0</v>
      </c>
      <c r="O270" s="4" t="str">
        <f t="shared" ca="1" si="14"/>
        <v>Vencido</v>
      </c>
      <c r="P270" s="4" t="s">
        <v>437</v>
      </c>
      <c r="Q270" s="9">
        <v>46085</v>
      </c>
      <c r="R270" s="10">
        <f>IF(OR(Q270="", L270=""), "", NETWORKDAYS(L270, Q270, FESTIVOS!A269:A323))</f>
        <v>-8</v>
      </c>
    </row>
    <row r="271" spans="1:18" x14ac:dyDescent="0.25">
      <c r="A271" s="8" t="s">
        <v>16</v>
      </c>
      <c r="B271" s="7" t="s">
        <v>438</v>
      </c>
      <c r="C271" s="4" t="s">
        <v>46</v>
      </c>
      <c r="D271" s="4" t="s">
        <v>439</v>
      </c>
      <c r="E271" s="4">
        <v>270</v>
      </c>
      <c r="F271" s="9">
        <v>46073</v>
      </c>
      <c r="G271" s="9" t="b">
        <v>0</v>
      </c>
      <c r="H271" s="4" t="b">
        <v>0</v>
      </c>
      <c r="I271" s="28"/>
      <c r="J271" s="4">
        <f t="shared" si="12"/>
        <v>15</v>
      </c>
      <c r="K271" s="4">
        <f ca="1">IF(AND(F271&lt;&gt;"", L271&lt;&gt;""), NETWORKDAYS(TODAY(), L271-1, FESTIVOS!A$1:A$55), "")</f>
        <v>-64</v>
      </c>
      <c r="L271" s="9">
        <f>IF(AND(F271&lt;&gt;"", J271&lt;&gt;""), WORKDAY(F271, J271, FESTIVOS!A$1:A$55), "")</f>
        <v>46094</v>
      </c>
      <c r="M271" s="4" t="s">
        <v>21</v>
      </c>
      <c r="N271" s="4">
        <f t="shared" ca="1" si="13"/>
        <v>0</v>
      </c>
      <c r="O271" s="4" t="str">
        <f t="shared" ca="1" si="14"/>
        <v>Vencido</v>
      </c>
      <c r="P271" s="4" t="s">
        <v>440</v>
      </c>
      <c r="Q271" s="9">
        <v>46079</v>
      </c>
      <c r="R271" s="10">
        <f>IF(OR(Q271="", L271=""), "", NETWORKDAYS(L271, Q271, FESTIVOS!A270:A324))</f>
        <v>-12</v>
      </c>
    </row>
    <row r="272" spans="1:18" x14ac:dyDescent="0.25">
      <c r="A272" s="8" t="s">
        <v>16</v>
      </c>
      <c r="B272" s="7" t="s">
        <v>17</v>
      </c>
      <c r="C272" s="4" t="s">
        <v>84</v>
      </c>
      <c r="D272" s="4" t="s">
        <v>102</v>
      </c>
      <c r="E272" s="4">
        <v>271</v>
      </c>
      <c r="F272" s="9">
        <v>46073</v>
      </c>
      <c r="G272" s="9" t="b">
        <v>0</v>
      </c>
      <c r="H272" s="4" t="b">
        <v>0</v>
      </c>
      <c r="I272" s="28" t="s">
        <v>20</v>
      </c>
      <c r="J272" s="4">
        <f t="shared" si="12"/>
        <v>15</v>
      </c>
      <c r="K272" s="4">
        <f ca="1">IF(AND(F272&lt;&gt;"", L272&lt;&gt;""), NETWORKDAYS(TODAY(), L272-1, FESTIVOS!A$1:A$55), "")</f>
        <v>-64</v>
      </c>
      <c r="L272" s="9">
        <f>IF(AND(F272&lt;&gt;"", J272&lt;&gt;""), WORKDAY(F272, J272, FESTIVOS!A$1:A$55), "")</f>
        <v>46094</v>
      </c>
      <c r="M272" s="4" t="s">
        <v>21</v>
      </c>
      <c r="N272" s="4">
        <f t="shared" ca="1" si="13"/>
        <v>0</v>
      </c>
      <c r="O272" s="4" t="str">
        <f t="shared" ca="1" si="14"/>
        <v>Vencido</v>
      </c>
      <c r="P272" s="9" t="s">
        <v>441</v>
      </c>
      <c r="Q272" s="9">
        <v>46091</v>
      </c>
      <c r="R272" s="10" t="b">
        <v>0</v>
      </c>
    </row>
    <row r="273" spans="1:18" x14ac:dyDescent="0.25">
      <c r="A273" s="8" t="s">
        <v>16</v>
      </c>
      <c r="B273" s="7" t="s">
        <v>17</v>
      </c>
      <c r="C273" s="4" t="s">
        <v>84</v>
      </c>
      <c r="D273" s="4" t="s">
        <v>102</v>
      </c>
      <c r="E273" s="4">
        <v>272</v>
      </c>
      <c r="F273" s="9">
        <v>46073</v>
      </c>
      <c r="G273" s="9" t="b">
        <v>0</v>
      </c>
      <c r="H273" s="4" t="b">
        <v>0</v>
      </c>
      <c r="I273" s="28" t="s">
        <v>20</v>
      </c>
      <c r="J273" s="4">
        <f t="shared" si="12"/>
        <v>15</v>
      </c>
      <c r="K273" s="4">
        <f ca="1">IF(AND(F273&lt;&gt;"", L273&lt;&gt;""), NETWORKDAYS(TODAY(), L273-1, FESTIVOS!A$1:A$55), "")</f>
        <v>-64</v>
      </c>
      <c r="L273" s="9">
        <f>IF(AND(F273&lt;&gt;"", J273&lt;&gt;""), WORKDAY(F273, J273, FESTIVOS!A$1:A$55), "")</f>
        <v>46094</v>
      </c>
      <c r="M273" s="4" t="s">
        <v>21</v>
      </c>
      <c r="N273" s="4">
        <f t="shared" ca="1" si="13"/>
        <v>0</v>
      </c>
      <c r="O273" s="4" t="str">
        <f t="shared" ca="1" si="14"/>
        <v>Vencido</v>
      </c>
      <c r="P273" s="9" t="s">
        <v>442</v>
      </c>
      <c r="Q273" s="9" t="s">
        <v>443</v>
      </c>
      <c r="R273" s="10" t="b">
        <v>0</v>
      </c>
    </row>
    <row r="274" spans="1:18" x14ac:dyDescent="0.25">
      <c r="A274" s="8" t="s">
        <v>16</v>
      </c>
      <c r="B274" s="7" t="s">
        <v>17</v>
      </c>
      <c r="C274" s="4" t="s">
        <v>84</v>
      </c>
      <c r="D274" s="4" t="s">
        <v>102</v>
      </c>
      <c r="E274" s="4">
        <v>273</v>
      </c>
      <c r="F274" s="9">
        <v>46073</v>
      </c>
      <c r="G274" s="9" t="b">
        <v>0</v>
      </c>
      <c r="H274" s="4" t="b">
        <v>0</v>
      </c>
      <c r="I274" s="28" t="s">
        <v>20</v>
      </c>
      <c r="J274" s="4">
        <f t="shared" si="12"/>
        <v>15</v>
      </c>
      <c r="K274" s="4">
        <f ca="1">IF(AND(F274&lt;&gt;"", L274&lt;&gt;""), NETWORKDAYS(TODAY(), L274-1, FESTIVOS!A$1:A$55), "")</f>
        <v>-64</v>
      </c>
      <c r="L274" s="9">
        <f>IF(AND(F274&lt;&gt;"", J274&lt;&gt;""), WORKDAY(F274, J274, FESTIVOS!A$1:A$55), "")</f>
        <v>46094</v>
      </c>
      <c r="M274" s="4" t="s">
        <v>21</v>
      </c>
      <c r="N274" s="4">
        <f t="shared" ca="1" si="13"/>
        <v>0</v>
      </c>
      <c r="O274" s="4" t="str">
        <f t="shared" ca="1" si="14"/>
        <v>Vencido</v>
      </c>
      <c r="P274" s="9" t="s">
        <v>444</v>
      </c>
      <c r="Q274" s="9" t="s">
        <v>443</v>
      </c>
      <c r="R274" s="10" t="b">
        <v>0</v>
      </c>
    </row>
    <row r="275" spans="1:18" x14ac:dyDescent="0.25">
      <c r="A275" s="8" t="s">
        <v>16</v>
      </c>
      <c r="B275" s="7" t="s">
        <v>17</v>
      </c>
      <c r="C275" s="4" t="s">
        <v>84</v>
      </c>
      <c r="D275" s="4" t="s">
        <v>102</v>
      </c>
      <c r="E275" s="4">
        <v>274</v>
      </c>
      <c r="F275" s="9">
        <v>46073</v>
      </c>
      <c r="G275" s="9" t="b">
        <v>0</v>
      </c>
      <c r="H275" s="4" t="b">
        <v>0</v>
      </c>
      <c r="I275" s="28" t="s">
        <v>20</v>
      </c>
      <c r="J275" s="4">
        <f t="shared" si="12"/>
        <v>15</v>
      </c>
      <c r="K275" s="4">
        <f ca="1">IF(AND(F275&lt;&gt;"", L275&lt;&gt;""), NETWORKDAYS(TODAY(), L275-1, FESTIVOS!A$1:A$55), "")</f>
        <v>-64</v>
      </c>
      <c r="L275" s="9">
        <f>IF(AND(F275&lt;&gt;"", J275&lt;&gt;""), WORKDAY(F275, J275, FESTIVOS!A$1:A$55), "")</f>
        <v>46094</v>
      </c>
      <c r="M275" s="4" t="s">
        <v>21</v>
      </c>
      <c r="N275" s="4">
        <f t="shared" ca="1" si="13"/>
        <v>0</v>
      </c>
      <c r="O275" s="4" t="str">
        <f t="shared" ca="1" si="14"/>
        <v>Vencido</v>
      </c>
      <c r="P275" s="9" t="s">
        <v>445</v>
      </c>
      <c r="Q275" s="9" t="s">
        <v>443</v>
      </c>
      <c r="R275" s="10" t="b">
        <v>0</v>
      </c>
    </row>
    <row r="276" spans="1:18" x14ac:dyDescent="0.25">
      <c r="A276" s="8" t="s">
        <v>16</v>
      </c>
      <c r="B276" s="7" t="s">
        <v>17</v>
      </c>
      <c r="C276" s="4" t="s">
        <v>84</v>
      </c>
      <c r="D276" s="4" t="s">
        <v>102</v>
      </c>
      <c r="E276" s="4">
        <v>275</v>
      </c>
      <c r="F276" s="9">
        <v>46073</v>
      </c>
      <c r="G276" s="9" t="b">
        <v>0</v>
      </c>
      <c r="H276" s="4" t="b">
        <v>0</v>
      </c>
      <c r="I276" s="28" t="s">
        <v>20</v>
      </c>
      <c r="J276" s="4">
        <f t="shared" si="12"/>
        <v>15</v>
      </c>
      <c r="K276" s="4">
        <f ca="1">IF(AND(F276&lt;&gt;"", L276&lt;&gt;""), NETWORKDAYS(TODAY(), L276-1, FESTIVOS!A$1:A$55), "")</f>
        <v>-64</v>
      </c>
      <c r="L276" s="9">
        <f>IF(AND(F276&lt;&gt;"", J276&lt;&gt;""), WORKDAY(F276, J276, FESTIVOS!A$1:A$55), "")</f>
        <v>46094</v>
      </c>
      <c r="M276" s="4" t="s">
        <v>21</v>
      </c>
      <c r="N276" s="4">
        <f t="shared" ca="1" si="13"/>
        <v>0</v>
      </c>
      <c r="O276" s="4" t="str">
        <f t="shared" ca="1" si="14"/>
        <v>Vencido</v>
      </c>
      <c r="P276" s="9" t="s">
        <v>446</v>
      </c>
      <c r="Q276" s="9">
        <v>46095</v>
      </c>
      <c r="R276" s="10" t="b">
        <v>0</v>
      </c>
    </row>
    <row r="277" spans="1:18" x14ac:dyDescent="0.25">
      <c r="A277" s="8" t="s">
        <v>16</v>
      </c>
      <c r="B277" s="7" t="s">
        <v>17</v>
      </c>
      <c r="C277" s="4" t="s">
        <v>84</v>
      </c>
      <c r="D277" s="4" t="s">
        <v>102</v>
      </c>
      <c r="E277" s="4">
        <v>276</v>
      </c>
      <c r="F277" s="9">
        <v>46073</v>
      </c>
      <c r="G277" s="9" t="b">
        <v>0</v>
      </c>
      <c r="H277" s="4" t="b">
        <v>0</v>
      </c>
      <c r="I277" s="28" t="s">
        <v>20</v>
      </c>
      <c r="J277" s="4">
        <f t="shared" si="12"/>
        <v>15</v>
      </c>
      <c r="K277" s="4">
        <f ca="1">IF(AND(F277&lt;&gt;"", L277&lt;&gt;""), NETWORKDAYS(TODAY(), L277-1, FESTIVOS!A$1:A$55), "")</f>
        <v>-64</v>
      </c>
      <c r="L277" s="9">
        <f>IF(AND(F277&lt;&gt;"", J277&lt;&gt;""), WORKDAY(F277, J277, FESTIVOS!A$1:A$55), "")</f>
        <v>46094</v>
      </c>
      <c r="M277" s="4" t="s">
        <v>21</v>
      </c>
      <c r="N277" s="4">
        <f t="shared" ca="1" si="13"/>
        <v>0</v>
      </c>
      <c r="O277" s="4" t="str">
        <f t="shared" ca="1" si="14"/>
        <v>Vencido</v>
      </c>
      <c r="P277" s="9" t="s">
        <v>447</v>
      </c>
      <c r="Q277" s="9">
        <v>46085</v>
      </c>
      <c r="R277" s="10" t="b">
        <v>0</v>
      </c>
    </row>
    <row r="278" spans="1:18" x14ac:dyDescent="0.25">
      <c r="A278" s="8" t="s">
        <v>16</v>
      </c>
      <c r="B278" s="7" t="s">
        <v>17</v>
      </c>
      <c r="C278" s="4" t="s">
        <v>84</v>
      </c>
      <c r="D278" s="4" t="s">
        <v>102</v>
      </c>
      <c r="E278" s="4">
        <v>277</v>
      </c>
      <c r="F278" s="9">
        <v>46073</v>
      </c>
      <c r="G278" s="9" t="b">
        <v>0</v>
      </c>
      <c r="H278" s="4" t="b">
        <v>0</v>
      </c>
      <c r="I278" s="28" t="s">
        <v>20</v>
      </c>
      <c r="J278" s="4">
        <f t="shared" si="12"/>
        <v>15</v>
      </c>
      <c r="K278" s="4">
        <f ca="1">IF(AND(F278&lt;&gt;"", L278&lt;&gt;""), NETWORKDAYS(TODAY(), L278-1, FESTIVOS!A$1:A$55), "")</f>
        <v>-64</v>
      </c>
      <c r="L278" s="9">
        <f>IF(AND(F278&lt;&gt;"", J278&lt;&gt;""), WORKDAY(F278, J278, FESTIVOS!A$1:A$55), "")</f>
        <v>46094</v>
      </c>
      <c r="M278" s="4" t="s">
        <v>21</v>
      </c>
      <c r="N278" s="4">
        <f t="shared" ca="1" si="13"/>
        <v>0</v>
      </c>
      <c r="O278" s="4" t="str">
        <f t="shared" ca="1" si="14"/>
        <v>Vencido</v>
      </c>
      <c r="P278" s="9" t="s">
        <v>448</v>
      </c>
      <c r="Q278" s="4" t="s">
        <v>443</v>
      </c>
      <c r="R278" s="10" t="b">
        <v>0</v>
      </c>
    </row>
    <row r="279" spans="1:18" x14ac:dyDescent="0.25">
      <c r="A279" s="8" t="s">
        <v>16</v>
      </c>
      <c r="B279" s="7" t="s">
        <v>449</v>
      </c>
      <c r="C279" s="4" t="s">
        <v>46</v>
      </c>
      <c r="D279" s="4" t="s">
        <v>39</v>
      </c>
      <c r="E279" s="4">
        <v>278</v>
      </c>
      <c r="F279" s="9">
        <v>46073</v>
      </c>
      <c r="G279" s="9" t="b">
        <v>0</v>
      </c>
      <c r="H279" s="4" t="b">
        <v>0</v>
      </c>
      <c r="I279" s="28" t="s">
        <v>20</v>
      </c>
      <c r="J279" s="4">
        <f t="shared" si="12"/>
        <v>15</v>
      </c>
      <c r="K279" s="4">
        <f ca="1">IF(AND(F279&lt;&gt;"", L279&lt;&gt;""), NETWORKDAYS(TODAY(), L279-1, FESTIVOS!A$1:A$55), "")</f>
        <v>-64</v>
      </c>
      <c r="L279" s="9">
        <f>IF(AND(F279&lt;&gt;"", J279&lt;&gt;""), WORKDAY(F279, J279, FESTIVOS!A$1:A$55), "")</f>
        <v>46094</v>
      </c>
      <c r="M279" s="4" t="s">
        <v>21</v>
      </c>
      <c r="N279" s="4">
        <f t="shared" ca="1" si="13"/>
        <v>0</v>
      </c>
      <c r="O279" s="4" t="str">
        <f t="shared" ca="1" si="14"/>
        <v>Vencido</v>
      </c>
      <c r="P279" s="9" t="s">
        <v>450</v>
      </c>
      <c r="Q279" s="9">
        <v>46090</v>
      </c>
      <c r="R279" s="10" t="b">
        <v>0</v>
      </c>
    </row>
    <row r="280" spans="1:18" x14ac:dyDescent="0.25">
      <c r="A280" s="8" t="s">
        <v>16</v>
      </c>
      <c r="B280" s="7" t="s">
        <v>17</v>
      </c>
      <c r="C280" s="4" t="s">
        <v>84</v>
      </c>
      <c r="D280" s="4" t="s">
        <v>102</v>
      </c>
      <c r="E280" s="4">
        <v>279</v>
      </c>
      <c r="F280" s="9">
        <v>46073</v>
      </c>
      <c r="G280" s="9" t="b">
        <v>0</v>
      </c>
      <c r="H280" s="4" t="b">
        <v>0</v>
      </c>
      <c r="I280" s="28" t="s">
        <v>20</v>
      </c>
      <c r="J280" s="4">
        <f t="shared" si="12"/>
        <v>15</v>
      </c>
      <c r="K280" s="4">
        <f ca="1">IF(AND(F280&lt;&gt;"", L280&lt;&gt;""), NETWORKDAYS(TODAY(), L280-1, FESTIVOS!A$1:A$55), "")</f>
        <v>-64</v>
      </c>
      <c r="L280" s="9">
        <f>IF(AND(F280&lt;&gt;"", J280&lt;&gt;""), WORKDAY(F280, J280, FESTIVOS!A$1:A$55), "")</f>
        <v>46094</v>
      </c>
      <c r="M280" s="4" t="s">
        <v>21</v>
      </c>
      <c r="N280" s="4">
        <f t="shared" ca="1" si="13"/>
        <v>0</v>
      </c>
      <c r="O280" s="4" t="str">
        <f t="shared" ca="1" si="14"/>
        <v>Vencido</v>
      </c>
      <c r="P280" s="9" t="s">
        <v>451</v>
      </c>
      <c r="Q280" s="9">
        <v>46090</v>
      </c>
      <c r="R280" s="10" t="b">
        <v>0</v>
      </c>
    </row>
    <row r="281" spans="1:18" x14ac:dyDescent="0.25">
      <c r="A281" s="8" t="s">
        <v>16</v>
      </c>
      <c r="B281" s="7" t="s">
        <v>452</v>
      </c>
      <c r="C281" s="4" t="s">
        <v>46</v>
      </c>
      <c r="D281" s="4" t="s">
        <v>453</v>
      </c>
      <c r="E281" s="4">
        <v>280</v>
      </c>
      <c r="F281" s="9">
        <v>46073</v>
      </c>
      <c r="G281" s="9" t="b">
        <v>0</v>
      </c>
      <c r="H281" s="4" t="b">
        <v>0</v>
      </c>
      <c r="I281" s="28" t="s">
        <v>20</v>
      </c>
      <c r="J281" s="4">
        <f t="shared" si="12"/>
        <v>15</v>
      </c>
      <c r="K281" s="4">
        <f ca="1">IF(AND(F281&lt;&gt;"", L281&lt;&gt;""), NETWORKDAYS(TODAY(), L281-1, FESTIVOS!A$1:A$55), "")</f>
        <v>-64</v>
      </c>
      <c r="L281" s="9">
        <f>IF(AND(F281&lt;&gt;"", J281&lt;&gt;""), WORKDAY(F281, J281, FESTIVOS!A$1:A$55), "")</f>
        <v>46094</v>
      </c>
      <c r="M281" s="4" t="s">
        <v>21</v>
      </c>
      <c r="N281" s="4">
        <f t="shared" ca="1" si="13"/>
        <v>0</v>
      </c>
      <c r="O281" s="4" t="str">
        <f t="shared" ca="1" si="14"/>
        <v>Vencido</v>
      </c>
      <c r="P281" s="9" t="s">
        <v>454</v>
      </c>
      <c r="Q281" s="9">
        <v>46094</v>
      </c>
      <c r="R281" s="10" t="b">
        <v>0</v>
      </c>
    </row>
    <row r="282" spans="1:18" x14ac:dyDescent="0.25">
      <c r="A282" s="8" t="s">
        <v>16</v>
      </c>
      <c r="B282" s="7" t="s">
        <v>455</v>
      </c>
      <c r="C282" s="4" t="s">
        <v>46</v>
      </c>
      <c r="D282" s="4" t="s">
        <v>456</v>
      </c>
      <c r="E282" s="4">
        <v>281</v>
      </c>
      <c r="F282" s="9">
        <v>46076</v>
      </c>
      <c r="G282" s="9" t="b">
        <v>0</v>
      </c>
      <c r="H282" s="4" t="b">
        <v>0</v>
      </c>
      <c r="I282" s="28" t="s">
        <v>66</v>
      </c>
      <c r="J282" s="4">
        <f t="shared" si="12"/>
        <v>15</v>
      </c>
      <c r="K282" s="4">
        <f ca="1">IF(AND(F282&lt;&gt;"", L282&lt;&gt;""), NETWORKDAYS(TODAY(), L282-1, FESTIVOS!A$1:A$55), "")</f>
        <v>-62</v>
      </c>
      <c r="L282" s="9">
        <f>IF(AND(F282&lt;&gt;"", J282&lt;&gt;""), WORKDAY(F282, J282, FESTIVOS!A$1:A$55), "")</f>
        <v>46097</v>
      </c>
      <c r="M282" s="4" t="s">
        <v>21</v>
      </c>
      <c r="N282" s="4">
        <f t="shared" ca="1" si="13"/>
        <v>0</v>
      </c>
      <c r="O282" s="4" t="str">
        <f t="shared" ca="1" si="14"/>
        <v>Vencido</v>
      </c>
      <c r="P282" s="9" t="s">
        <v>457</v>
      </c>
      <c r="Q282" s="9">
        <v>46080</v>
      </c>
      <c r="R282" s="10" t="b">
        <v>0</v>
      </c>
    </row>
    <row r="283" spans="1:18" x14ac:dyDescent="0.25">
      <c r="A283" s="8" t="s">
        <v>16</v>
      </c>
      <c r="B283" s="7" t="s">
        <v>340</v>
      </c>
      <c r="C283" s="4" t="s">
        <v>46</v>
      </c>
      <c r="D283" s="4" t="s">
        <v>39</v>
      </c>
      <c r="E283" s="4">
        <v>282</v>
      </c>
      <c r="F283" s="9">
        <v>46076</v>
      </c>
      <c r="G283" s="9" t="b">
        <v>0</v>
      </c>
      <c r="H283" s="4" t="b">
        <v>0</v>
      </c>
      <c r="I283" s="28" t="s">
        <v>20</v>
      </c>
      <c r="J283" s="4">
        <f t="shared" si="12"/>
        <v>15</v>
      </c>
      <c r="K283" s="4">
        <f ca="1">IF(AND(F283&lt;&gt;"", L283&lt;&gt;""), NETWORKDAYS(TODAY(), L283-1, FESTIVOS!A$1:A$55), "")</f>
        <v>-62</v>
      </c>
      <c r="L283" s="9">
        <f>IF(AND(F283&lt;&gt;"", J283&lt;&gt;""), WORKDAY(F283, J283, FESTIVOS!A$1:A$55), "")</f>
        <v>46097</v>
      </c>
      <c r="M283" s="4" t="s">
        <v>21</v>
      </c>
      <c r="N283" s="4">
        <f t="shared" ca="1" si="13"/>
        <v>0</v>
      </c>
      <c r="O283" s="4" t="str">
        <f t="shared" ca="1" si="14"/>
        <v>Vencido</v>
      </c>
      <c r="P283" s="9" t="s">
        <v>458</v>
      </c>
      <c r="Q283" s="9">
        <v>46086</v>
      </c>
      <c r="R283" s="10" t="b">
        <v>0</v>
      </c>
    </row>
    <row r="284" spans="1:18" x14ac:dyDescent="0.25">
      <c r="A284" s="8" t="s">
        <v>16</v>
      </c>
      <c r="B284" s="7" t="s">
        <v>459</v>
      </c>
      <c r="C284" s="4" t="s">
        <v>46</v>
      </c>
      <c r="D284" s="4" t="s">
        <v>26</v>
      </c>
      <c r="E284" s="4">
        <v>283</v>
      </c>
      <c r="F284" s="9">
        <v>46076</v>
      </c>
      <c r="G284" s="9" t="b">
        <v>0</v>
      </c>
      <c r="H284" s="4" t="b">
        <v>0</v>
      </c>
      <c r="I284" s="28" t="s">
        <v>20</v>
      </c>
      <c r="J284" s="4">
        <f t="shared" si="12"/>
        <v>15</v>
      </c>
      <c r="K284" s="4">
        <f ca="1">IF(AND(F284&lt;&gt;"", L284&lt;&gt;""), NETWORKDAYS(TODAY(), L284-1, FESTIVOS!A$1:A$55), "")</f>
        <v>-62</v>
      </c>
      <c r="L284" s="9">
        <f>IF(AND(F284&lt;&gt;"", J284&lt;&gt;""), WORKDAY(F284, J284, FESTIVOS!A$1:A$55), "")</f>
        <v>46097</v>
      </c>
      <c r="M284" s="4" t="s">
        <v>21</v>
      </c>
      <c r="N284" s="4">
        <f t="shared" ca="1" si="13"/>
        <v>0</v>
      </c>
      <c r="O284" s="4" t="str">
        <f t="shared" ca="1" si="14"/>
        <v>Vencido</v>
      </c>
      <c r="P284" s="9" t="s">
        <v>460</v>
      </c>
      <c r="Q284" s="9">
        <v>46079</v>
      </c>
      <c r="R284" s="10">
        <f>IF(OR(Q284="", L284=""), "", NETWORKDAYS(L284, Q284, FESTIVOS!A283:A337))</f>
        <v>-13</v>
      </c>
    </row>
    <row r="285" spans="1:18" x14ac:dyDescent="0.25">
      <c r="A285" s="8" t="s">
        <v>16</v>
      </c>
      <c r="B285" s="7" t="s">
        <v>461</v>
      </c>
      <c r="C285" s="4" t="s">
        <v>46</v>
      </c>
      <c r="D285" s="4" t="s">
        <v>462</v>
      </c>
      <c r="E285" s="4">
        <v>284</v>
      </c>
      <c r="F285" s="9">
        <v>46076</v>
      </c>
      <c r="G285" s="9" t="b">
        <v>0</v>
      </c>
      <c r="H285" s="4" t="b">
        <v>0</v>
      </c>
      <c r="I285" s="28" t="s">
        <v>80</v>
      </c>
      <c r="J285" s="4">
        <f t="shared" si="12"/>
        <v>15</v>
      </c>
      <c r="K285" s="4">
        <f ca="1">IF(AND(F285&lt;&gt;"", L285&lt;&gt;""), NETWORKDAYS(TODAY(), L285-1, FESTIVOS!A$1:A$55), "")</f>
        <v>-62</v>
      </c>
      <c r="L285" s="9">
        <f>IF(AND(F285&lt;&gt;"", J285&lt;&gt;""), WORKDAY(F285, J285, FESTIVOS!A$1:A$55), "")</f>
        <v>46097</v>
      </c>
      <c r="M285" s="4" t="s">
        <v>21</v>
      </c>
      <c r="N285" s="4">
        <f t="shared" ca="1" si="13"/>
        <v>0</v>
      </c>
      <c r="O285" s="4" t="str">
        <f t="shared" ca="1" si="14"/>
        <v>Vencido</v>
      </c>
      <c r="P285" s="4" t="s">
        <v>37</v>
      </c>
      <c r="Q285" s="9" t="b">
        <v>0</v>
      </c>
      <c r="R285" s="10" t="e">
        <f>IF(OR(Q285="", L285=""), "", NETWORKDAYS(L285, Q285, FESTIVOS!A284:A338))</f>
        <v>#VALUE!</v>
      </c>
    </row>
    <row r="286" spans="1:18" x14ac:dyDescent="0.25">
      <c r="A286" s="8" t="s">
        <v>16</v>
      </c>
      <c r="B286" s="7" t="s">
        <v>463</v>
      </c>
      <c r="C286" s="4" t="s">
        <v>46</v>
      </c>
      <c r="D286" s="4" t="s">
        <v>464</v>
      </c>
      <c r="E286" s="4">
        <v>285</v>
      </c>
      <c r="F286" s="9">
        <v>46076</v>
      </c>
      <c r="G286" s="9" t="b">
        <v>0</v>
      </c>
      <c r="H286" s="4" t="b">
        <v>0</v>
      </c>
      <c r="I286" s="28" t="s">
        <v>66</v>
      </c>
      <c r="J286" s="4">
        <f t="shared" si="12"/>
        <v>15</v>
      </c>
      <c r="K286" s="4">
        <f ca="1">IF(AND(F286&lt;&gt;"", L286&lt;&gt;""), NETWORKDAYS(TODAY(), L286-1, FESTIVOS!A$1:A$55), "")</f>
        <v>-62</v>
      </c>
      <c r="L286" s="9">
        <f>IF(AND(F286&lt;&gt;"", J286&lt;&gt;""), WORKDAY(F286, J286, FESTIVOS!A$1:A$55), "")</f>
        <v>46097</v>
      </c>
      <c r="M286" s="4" t="s">
        <v>21</v>
      </c>
      <c r="N286" s="4">
        <f t="shared" ca="1" si="13"/>
        <v>0</v>
      </c>
      <c r="O286" s="4" t="str">
        <f t="shared" ca="1" si="14"/>
        <v>Vencido</v>
      </c>
      <c r="P286" s="4" t="s">
        <v>465</v>
      </c>
      <c r="Q286" s="9">
        <v>46094</v>
      </c>
      <c r="R286" s="10">
        <f>IF(OR(Q286="", L286=""), "", NETWORKDAYS(L286, Q286, FESTIVOS!A285:A339))</f>
        <v>-2</v>
      </c>
    </row>
    <row r="287" spans="1:18" x14ac:dyDescent="0.25">
      <c r="A287" s="8" t="s">
        <v>16</v>
      </c>
      <c r="B287" s="7" t="s">
        <v>466</v>
      </c>
      <c r="C287" s="4" t="s">
        <v>46</v>
      </c>
      <c r="D287" s="4" t="s">
        <v>467</v>
      </c>
      <c r="E287" s="4">
        <v>286</v>
      </c>
      <c r="F287" s="9">
        <v>46076</v>
      </c>
      <c r="G287" s="9" t="b">
        <v>0</v>
      </c>
      <c r="H287" s="4" t="b">
        <v>0</v>
      </c>
      <c r="I287" s="28"/>
      <c r="J287" s="4">
        <f t="shared" si="12"/>
        <v>15</v>
      </c>
      <c r="K287" s="4">
        <f ca="1">IF(AND(F287&lt;&gt;"", L287&lt;&gt;""), NETWORKDAYS(TODAY(), L287-1, FESTIVOS!A$1:A$55), "")</f>
        <v>-62</v>
      </c>
      <c r="L287" s="9">
        <f>IF(AND(F287&lt;&gt;"", J287&lt;&gt;""), WORKDAY(F287, J287, FESTIVOS!A$1:A$55), "")</f>
        <v>46097</v>
      </c>
      <c r="M287" s="4" t="s">
        <v>21</v>
      </c>
      <c r="N287" s="4">
        <f t="shared" ca="1" si="13"/>
        <v>0</v>
      </c>
      <c r="O287" s="4" t="str">
        <f t="shared" ca="1" si="14"/>
        <v>Vencido</v>
      </c>
      <c r="P287" s="4" t="s">
        <v>468</v>
      </c>
      <c r="Q287" s="9">
        <v>46079</v>
      </c>
      <c r="R287" s="10">
        <f>IF(OR(Q287="", L287=""), "", NETWORKDAYS(L287, Q287, FESTIVOS!A286:A340))</f>
        <v>-13</v>
      </c>
    </row>
    <row r="288" spans="1:18" x14ac:dyDescent="0.25">
      <c r="A288" s="8" t="s">
        <v>16</v>
      </c>
      <c r="B288" s="7" t="s">
        <v>469</v>
      </c>
      <c r="C288" s="4" t="s">
        <v>46</v>
      </c>
      <c r="D288" s="4" t="s">
        <v>470</v>
      </c>
      <c r="E288" s="4">
        <v>287</v>
      </c>
      <c r="F288" s="9">
        <v>46076</v>
      </c>
      <c r="G288" s="9" t="b">
        <v>0</v>
      </c>
      <c r="H288" s="4" t="b">
        <v>0</v>
      </c>
      <c r="I288" s="28" t="s">
        <v>80</v>
      </c>
      <c r="J288" s="4">
        <f t="shared" si="12"/>
        <v>15</v>
      </c>
      <c r="K288" s="4">
        <f ca="1">IF(AND(F288&lt;&gt;"", L288&lt;&gt;""), NETWORKDAYS(TODAY(), L288-1, FESTIVOS!A$1:A$55), "")</f>
        <v>-62</v>
      </c>
      <c r="L288" s="9">
        <f>IF(AND(F288&lt;&gt;"", J288&lt;&gt;""), WORKDAY(F288, J288, FESTIVOS!A$1:A$55), "")</f>
        <v>46097</v>
      </c>
      <c r="M288" s="4" t="s">
        <v>21</v>
      </c>
      <c r="N288" s="4">
        <f t="shared" ca="1" si="13"/>
        <v>0</v>
      </c>
      <c r="O288" s="4" t="b">
        <v>0</v>
      </c>
      <c r="P288" s="4" t="s">
        <v>37</v>
      </c>
      <c r="Q288" s="9" t="b">
        <v>0</v>
      </c>
      <c r="R288" s="10" t="e">
        <f>IF(OR(Q288="", L288=""), "", NETWORKDAYS(L288, Q288, FESTIVOS!A287:A341))</f>
        <v>#VALUE!</v>
      </c>
    </row>
    <row r="289" spans="1:18" x14ac:dyDescent="0.25">
      <c r="A289" s="8" t="s">
        <v>16</v>
      </c>
      <c r="B289" s="7" t="s">
        <v>326</v>
      </c>
      <c r="C289" s="4" t="s">
        <v>90</v>
      </c>
      <c r="D289" s="4" t="s">
        <v>471</v>
      </c>
      <c r="E289" s="4">
        <v>288</v>
      </c>
      <c r="F289" s="9">
        <v>46076</v>
      </c>
      <c r="G289" s="9" t="b">
        <v>0</v>
      </c>
      <c r="H289" s="4" t="b">
        <v>0</v>
      </c>
      <c r="I289" s="28" t="s">
        <v>20</v>
      </c>
      <c r="J289" s="4">
        <f t="shared" si="12"/>
        <v>15</v>
      </c>
      <c r="K289" s="4">
        <f ca="1">IF(AND(F289&lt;&gt;"", L289&lt;&gt;""), NETWORKDAYS(TODAY(), L289-1, FESTIVOS!A$1:A$55), "")</f>
        <v>-62</v>
      </c>
      <c r="L289" s="9">
        <f>IF(AND(F289&lt;&gt;"", J289&lt;&gt;""), WORKDAY(F289, J289, FESTIVOS!A$1:A$55), "")</f>
        <v>46097</v>
      </c>
      <c r="M289" s="4" t="s">
        <v>21</v>
      </c>
      <c r="N289" s="4">
        <f t="shared" ca="1" si="13"/>
        <v>0</v>
      </c>
      <c r="O289" s="4" t="str">
        <f t="shared" ca="1" si="14"/>
        <v>Vencido</v>
      </c>
      <c r="P289" s="4" t="s">
        <v>472</v>
      </c>
      <c r="Q289" s="9">
        <v>46084</v>
      </c>
      <c r="R289" s="10">
        <f>IF(OR(Q289="", L289=""), "", NETWORKDAYS(L289, Q289, FESTIVOS!A288:A342))</f>
        <v>-10</v>
      </c>
    </row>
    <row r="290" spans="1:18" x14ac:dyDescent="0.25">
      <c r="A290" s="8" t="s">
        <v>16</v>
      </c>
      <c r="B290" s="7" t="s">
        <v>401</v>
      </c>
      <c r="C290" s="4" t="s">
        <v>90</v>
      </c>
      <c r="D290" s="4" t="s">
        <v>473</v>
      </c>
      <c r="E290" s="4">
        <v>289</v>
      </c>
      <c r="F290" s="9">
        <v>46076</v>
      </c>
      <c r="G290" s="9" t="b">
        <v>0</v>
      </c>
      <c r="H290" s="4" t="b">
        <v>0</v>
      </c>
      <c r="I290" s="28" t="s">
        <v>20</v>
      </c>
      <c r="J290" s="4">
        <f t="shared" si="12"/>
        <v>15</v>
      </c>
      <c r="K290" s="4">
        <f ca="1">IF(AND(F290&lt;&gt;"", L290&lt;&gt;""), NETWORKDAYS(TODAY(), L290-1, FESTIVOS!A$1:A$55), "")</f>
        <v>-62</v>
      </c>
      <c r="L290" s="9">
        <f>IF(AND(F290&lt;&gt;"", J290&lt;&gt;""), WORKDAY(F290, J290, FESTIVOS!A$1:A$55), "")</f>
        <v>46097</v>
      </c>
      <c r="M290" s="4" t="s">
        <v>21</v>
      </c>
      <c r="N290" s="4">
        <f t="shared" ca="1" si="13"/>
        <v>0</v>
      </c>
      <c r="O290" s="4" t="str">
        <f t="shared" ca="1" si="14"/>
        <v>Vencido</v>
      </c>
      <c r="P290" s="4" t="s">
        <v>474</v>
      </c>
      <c r="Q290" s="9">
        <v>46097</v>
      </c>
      <c r="R290" s="10">
        <f>IF(OR(Q290="", L290=""), "", NETWORKDAYS(L290, Q290, FESTIVOS!A289:A343))</f>
        <v>1</v>
      </c>
    </row>
    <row r="291" spans="1:18" x14ac:dyDescent="0.25">
      <c r="A291" s="8" t="s">
        <v>16</v>
      </c>
      <c r="B291" s="7" t="s">
        <v>475</v>
      </c>
      <c r="C291" s="4" t="s">
        <v>46</v>
      </c>
      <c r="D291" s="4" t="s">
        <v>61</v>
      </c>
      <c r="E291" s="4">
        <v>290</v>
      </c>
      <c r="F291" s="9">
        <v>46076</v>
      </c>
      <c r="G291" s="9" t="b">
        <v>0</v>
      </c>
      <c r="H291" s="4" t="b">
        <v>0</v>
      </c>
      <c r="I291" s="28" t="s">
        <v>20</v>
      </c>
      <c r="J291" s="4">
        <f t="shared" si="12"/>
        <v>15</v>
      </c>
      <c r="K291" s="4">
        <f ca="1">IF(AND(F291&lt;&gt;"", L291&lt;&gt;""), NETWORKDAYS(TODAY(), L291-1, FESTIVOS!A$1:A$55), "")</f>
        <v>-62</v>
      </c>
      <c r="L291" s="9">
        <f>IF(AND(F291&lt;&gt;"", J291&lt;&gt;""), WORKDAY(F291, J291, FESTIVOS!A$1:A$55), "")</f>
        <v>46097</v>
      </c>
      <c r="M291" s="4" t="s">
        <v>21</v>
      </c>
      <c r="N291" s="4">
        <f t="shared" ca="1" si="13"/>
        <v>0</v>
      </c>
      <c r="O291" s="4" t="str">
        <f t="shared" ca="1" si="14"/>
        <v>Vencido</v>
      </c>
      <c r="P291" s="4" t="s">
        <v>476</v>
      </c>
      <c r="Q291" s="9">
        <v>46085</v>
      </c>
      <c r="R291" s="10">
        <f>IF(OR(Q291="", L291=""), "", NETWORKDAYS(L291, Q291, FESTIVOS!A290:A344))</f>
        <v>-9</v>
      </c>
    </row>
    <row r="292" spans="1:18" x14ac:dyDescent="0.25">
      <c r="A292" s="8" t="s">
        <v>16</v>
      </c>
      <c r="B292" s="7" t="s">
        <v>477</v>
      </c>
      <c r="C292" s="4" t="s">
        <v>46</v>
      </c>
      <c r="D292" s="4" t="s">
        <v>478</v>
      </c>
      <c r="E292" s="4">
        <v>291</v>
      </c>
      <c r="F292" s="9">
        <v>46077</v>
      </c>
      <c r="G292" s="9" t="b">
        <v>0</v>
      </c>
      <c r="H292" s="4" t="b">
        <v>0</v>
      </c>
      <c r="I292" s="28" t="s">
        <v>20</v>
      </c>
      <c r="J292" s="4">
        <f t="shared" si="12"/>
        <v>15</v>
      </c>
      <c r="K292" s="4">
        <f ca="1">IF(AND(F292&lt;&gt;"", L292&lt;&gt;""), NETWORKDAYS(TODAY(), L292-1, FESTIVOS!A$1:A$55), "")</f>
        <v>-62</v>
      </c>
      <c r="L292" s="9">
        <f>IF(AND(F292&lt;&gt;"", J292&lt;&gt;""), WORKDAY(F292, J292, FESTIVOS!A$1:A$55), "")</f>
        <v>46098</v>
      </c>
      <c r="M292" s="4" t="s">
        <v>21</v>
      </c>
      <c r="N292" s="4">
        <f t="shared" ca="1" si="13"/>
        <v>0</v>
      </c>
      <c r="O292" s="4" t="str">
        <f t="shared" ca="1" si="14"/>
        <v>Vencido</v>
      </c>
      <c r="P292" s="4" t="s">
        <v>479</v>
      </c>
      <c r="Q292" s="9">
        <v>46079</v>
      </c>
      <c r="R292" s="10">
        <f>IF(OR(Q292="", L292=""), "", NETWORKDAYS(L292, Q292, FESTIVOS!A291:A345))</f>
        <v>-14</v>
      </c>
    </row>
    <row r="293" spans="1:18" x14ac:dyDescent="0.25">
      <c r="A293" s="8" t="s">
        <v>16</v>
      </c>
      <c r="B293" s="7" t="s">
        <v>35</v>
      </c>
      <c r="C293" s="4" t="s">
        <v>90</v>
      </c>
      <c r="D293" s="4" t="s">
        <v>185</v>
      </c>
      <c r="E293" s="4">
        <v>292</v>
      </c>
      <c r="F293" s="9">
        <v>46077</v>
      </c>
      <c r="G293" s="9" t="b">
        <v>0</v>
      </c>
      <c r="H293" s="4" t="b">
        <v>0</v>
      </c>
      <c r="I293" s="28" t="s">
        <v>20</v>
      </c>
      <c r="J293" s="4">
        <f t="shared" si="12"/>
        <v>15</v>
      </c>
      <c r="K293" s="4">
        <f ca="1">IF(AND(F293&lt;&gt;"", L293&lt;&gt;""), NETWORKDAYS(TODAY(), L293-1, FESTIVOS!A$1:A$55), "")</f>
        <v>-62</v>
      </c>
      <c r="L293" s="9">
        <f>IF(AND(F293&lt;&gt;"", J293&lt;&gt;""), WORKDAY(F293, J293, FESTIVOS!A$1:A$55), "")</f>
        <v>46098</v>
      </c>
      <c r="M293" s="4" t="s">
        <v>21</v>
      </c>
      <c r="N293" s="4">
        <f t="shared" ca="1" si="13"/>
        <v>0</v>
      </c>
      <c r="O293" s="4" t="str">
        <f t="shared" ca="1" si="14"/>
        <v>Vencido</v>
      </c>
      <c r="P293" s="4" t="s">
        <v>417</v>
      </c>
      <c r="Q293" s="9">
        <v>46094</v>
      </c>
      <c r="R293" s="10">
        <f>IF(OR(Q293="", L293=""), "", NETWORKDAYS(L293, Q293, FESTIVOS!A292:A346))</f>
        <v>-3</v>
      </c>
    </row>
    <row r="294" spans="1:18" x14ac:dyDescent="0.25">
      <c r="A294" s="8" t="s">
        <v>16</v>
      </c>
      <c r="B294" s="7" t="s">
        <v>480</v>
      </c>
      <c r="C294" s="4" t="s">
        <v>46</v>
      </c>
      <c r="D294" s="4" t="s">
        <v>481</v>
      </c>
      <c r="E294" s="4">
        <v>293</v>
      </c>
      <c r="F294" s="9">
        <v>46077</v>
      </c>
      <c r="G294" s="9" t="b">
        <v>0</v>
      </c>
      <c r="H294" s="4" t="b">
        <v>0</v>
      </c>
      <c r="I294" s="28" t="s">
        <v>20</v>
      </c>
      <c r="J294" s="4">
        <f t="shared" si="12"/>
        <v>15</v>
      </c>
      <c r="K294" s="4">
        <f ca="1">IF(AND(F294&lt;&gt;"", L294&lt;&gt;""), NETWORKDAYS(TODAY(), L294-1, FESTIVOS!A$1:A$55), "")</f>
        <v>-62</v>
      </c>
      <c r="L294" s="9">
        <f>IF(AND(F294&lt;&gt;"", J294&lt;&gt;""), WORKDAY(F294, J294, FESTIVOS!A$1:A$55), "")</f>
        <v>46098</v>
      </c>
      <c r="M294" s="4" t="s">
        <v>21</v>
      </c>
      <c r="N294" s="4">
        <f t="shared" ca="1" si="13"/>
        <v>0</v>
      </c>
      <c r="O294" s="4" t="str">
        <f t="shared" ca="1" si="14"/>
        <v>Vencido</v>
      </c>
      <c r="P294" s="4" t="s">
        <v>482</v>
      </c>
      <c r="Q294" s="9">
        <v>46098</v>
      </c>
      <c r="R294" s="10">
        <f>IF(OR(Q294="", L294=""), "", NETWORKDAYS(L294, Q294, FESTIVOS!A293:A347))</f>
        <v>1</v>
      </c>
    </row>
    <row r="295" spans="1:18" x14ac:dyDescent="0.25">
      <c r="A295" s="8" t="s">
        <v>16</v>
      </c>
      <c r="B295" s="7" t="s">
        <v>483</v>
      </c>
      <c r="C295" s="4" t="s">
        <v>46</v>
      </c>
      <c r="D295" s="4" t="s">
        <v>484</v>
      </c>
      <c r="E295" s="4">
        <v>294</v>
      </c>
      <c r="F295" s="9">
        <v>46077</v>
      </c>
      <c r="G295" s="9" t="b">
        <v>0</v>
      </c>
      <c r="H295" s="4" t="b">
        <v>0</v>
      </c>
      <c r="I295" s="28" t="s">
        <v>20</v>
      </c>
      <c r="J295" s="4">
        <f t="shared" si="12"/>
        <v>15</v>
      </c>
      <c r="K295" s="4">
        <f ca="1">IF(AND(F295&lt;&gt;"", L295&lt;&gt;""), NETWORKDAYS(TODAY(), L295-1, FESTIVOS!A$1:A$55), "")</f>
        <v>-62</v>
      </c>
      <c r="L295" s="9">
        <f>IF(AND(F295&lt;&gt;"", J295&lt;&gt;""), WORKDAY(F295, J295, FESTIVOS!A$1:A$55), "")</f>
        <v>46098</v>
      </c>
      <c r="M295" s="4" t="s">
        <v>21</v>
      </c>
      <c r="N295" s="4">
        <f t="shared" ca="1" si="13"/>
        <v>0</v>
      </c>
      <c r="O295" s="4" t="str">
        <f t="shared" ca="1" si="14"/>
        <v>Vencido</v>
      </c>
      <c r="P295" s="4" t="s">
        <v>485</v>
      </c>
      <c r="Q295" s="9">
        <v>46097</v>
      </c>
      <c r="R295" s="10">
        <f>IF(OR(Q295="", L295=""), "", NETWORKDAYS(L295, Q295, FESTIVOS!A294:A348))</f>
        <v>-2</v>
      </c>
    </row>
    <row r="296" spans="1:18" x14ac:dyDescent="0.25">
      <c r="A296" s="8" t="s">
        <v>16</v>
      </c>
      <c r="B296" s="7" t="s">
        <v>340</v>
      </c>
      <c r="C296" s="4" t="s">
        <v>46</v>
      </c>
      <c r="D296" s="4" t="s">
        <v>39</v>
      </c>
      <c r="E296" s="4">
        <v>295</v>
      </c>
      <c r="F296" s="9">
        <v>46078</v>
      </c>
      <c r="G296" s="9" t="b">
        <v>0</v>
      </c>
      <c r="H296" s="4" t="b">
        <v>0</v>
      </c>
      <c r="I296" s="28" t="s">
        <v>20</v>
      </c>
      <c r="J296" s="4">
        <f t="shared" si="12"/>
        <v>15</v>
      </c>
      <c r="K296" s="4">
        <f ca="1">IF(AND(F296&lt;&gt;"", L296&lt;&gt;""), NETWORKDAYS(TODAY(), L296-1, FESTIVOS!A$1:A$55), "")</f>
        <v>-61</v>
      </c>
      <c r="L296" s="9">
        <f>IF(AND(F296&lt;&gt;"", J296&lt;&gt;""), WORKDAY(F296, J296, FESTIVOS!A$1:A$55), "")</f>
        <v>46099</v>
      </c>
      <c r="M296" s="4" t="s">
        <v>21</v>
      </c>
      <c r="N296" s="4">
        <f t="shared" ca="1" si="13"/>
        <v>0</v>
      </c>
      <c r="O296" s="4" t="str">
        <f t="shared" ca="1" si="14"/>
        <v>Vencido</v>
      </c>
      <c r="P296" s="4" t="s">
        <v>458</v>
      </c>
      <c r="Q296" s="9">
        <v>46086</v>
      </c>
      <c r="R296" s="10">
        <f>IF(OR(Q296="", L296=""), "", NETWORKDAYS(L296, Q296, FESTIVOS!A295:A349))</f>
        <v>-10</v>
      </c>
    </row>
    <row r="297" spans="1:18" x14ac:dyDescent="0.25">
      <c r="A297" s="8" t="s">
        <v>16</v>
      </c>
      <c r="B297" s="7" t="s">
        <v>486</v>
      </c>
      <c r="C297" s="4" t="s">
        <v>42</v>
      </c>
      <c r="D297" s="4" t="s">
        <v>487</v>
      </c>
      <c r="E297" s="4">
        <v>296</v>
      </c>
      <c r="F297" s="9">
        <v>46078</v>
      </c>
      <c r="G297" s="9" t="b">
        <v>0</v>
      </c>
      <c r="H297" s="4" t="b">
        <v>0</v>
      </c>
      <c r="I297" s="28" t="s">
        <v>44</v>
      </c>
      <c r="J297" s="4">
        <f t="shared" si="12"/>
        <v>15</v>
      </c>
      <c r="K297" s="4">
        <f ca="1">IF(AND(F297&lt;&gt;"", L297&lt;&gt;""), NETWORKDAYS(TODAY(), L297-1, FESTIVOS!A$1:A$55), "")</f>
        <v>-61</v>
      </c>
      <c r="L297" s="9">
        <f>IF(AND(F297&lt;&gt;"", J297&lt;&gt;""), WORKDAY(F297, J297, FESTIVOS!A$1:A$55), "")</f>
        <v>46099</v>
      </c>
      <c r="M297" s="4" t="s">
        <v>21</v>
      </c>
      <c r="N297" s="4">
        <f t="shared" ca="1" si="13"/>
        <v>0</v>
      </c>
      <c r="O297" s="4" t="str">
        <f t="shared" ca="1" si="14"/>
        <v>Vencido</v>
      </c>
      <c r="P297" s="4" t="s">
        <v>55</v>
      </c>
      <c r="Q297" s="9">
        <v>46036</v>
      </c>
      <c r="R297" s="10">
        <f>IF(OR(Q297="", L297=""), "", NETWORKDAYS(L297, Q297, FESTIVOS!A296:A350))</f>
        <v>-46</v>
      </c>
    </row>
    <row r="298" spans="1:18" x14ac:dyDescent="0.25">
      <c r="A298" s="8" t="s">
        <v>16</v>
      </c>
      <c r="B298" s="7" t="s">
        <v>356</v>
      </c>
      <c r="C298" s="4" t="s">
        <v>90</v>
      </c>
      <c r="D298" s="4" t="s">
        <v>488</v>
      </c>
      <c r="E298" s="4">
        <v>297</v>
      </c>
      <c r="F298" s="9">
        <v>46078</v>
      </c>
      <c r="G298" s="9" t="b">
        <v>0</v>
      </c>
      <c r="H298" s="4" t="b">
        <v>0</v>
      </c>
      <c r="I298" s="28" t="s">
        <v>66</v>
      </c>
      <c r="J298" s="4">
        <f t="shared" si="12"/>
        <v>15</v>
      </c>
      <c r="K298" s="4">
        <f ca="1">IF(AND(F298&lt;&gt;"", L298&lt;&gt;""), NETWORKDAYS(TODAY(), L298-1, FESTIVOS!A$1:A$55), "")</f>
        <v>-61</v>
      </c>
      <c r="L298" s="9">
        <f>IF(AND(F298&lt;&gt;"", J298&lt;&gt;""), WORKDAY(F298, J298, FESTIVOS!A$1:A$55), "")</f>
        <v>46099</v>
      </c>
      <c r="M298" s="4" t="s">
        <v>21</v>
      </c>
      <c r="N298" s="4">
        <f t="shared" ca="1" si="13"/>
        <v>0</v>
      </c>
      <c r="O298" s="4" t="str">
        <f t="shared" ca="1" si="14"/>
        <v>Vencido</v>
      </c>
      <c r="P298" s="4" t="s">
        <v>489</v>
      </c>
      <c r="Q298" s="9">
        <v>46084</v>
      </c>
      <c r="R298" s="10">
        <f>IF(OR(Q298="", L298=""), "", NETWORKDAYS(L298, Q298, FESTIVOS!A297:A351))</f>
        <v>-12</v>
      </c>
    </row>
    <row r="299" spans="1:18" ht="28.15" customHeight="1" x14ac:dyDescent="0.25">
      <c r="A299" s="8" t="s">
        <v>16</v>
      </c>
      <c r="B299" s="7" t="s">
        <v>338</v>
      </c>
      <c r="C299" s="4" t="s">
        <v>46</v>
      </c>
      <c r="D299" s="4" t="s">
        <v>490</v>
      </c>
      <c r="E299" s="4">
        <v>298</v>
      </c>
      <c r="F299" s="9">
        <v>46078</v>
      </c>
      <c r="G299" s="9" t="b">
        <v>0</v>
      </c>
      <c r="H299" s="4" t="b">
        <v>0</v>
      </c>
      <c r="I299" s="28" t="s">
        <v>20</v>
      </c>
      <c r="J299" s="4">
        <f t="shared" si="12"/>
        <v>15</v>
      </c>
      <c r="K299" s="4">
        <f ca="1">IF(AND(F299&lt;&gt;"", L299&lt;&gt;""), NETWORKDAYS(TODAY(), L299-1, FESTIVOS!A$1:A$55), "")</f>
        <v>-61</v>
      </c>
      <c r="L299" s="9">
        <f>IF(AND(F299&lt;&gt;"", J299&lt;&gt;""), WORKDAY(F299, J299, FESTIVOS!A$1:A$55), "")</f>
        <v>46099</v>
      </c>
      <c r="M299" s="4" t="s">
        <v>21</v>
      </c>
      <c r="N299" s="4">
        <f t="shared" ca="1" si="13"/>
        <v>0</v>
      </c>
      <c r="O299" s="4" t="str">
        <f t="shared" ca="1" si="14"/>
        <v>Vencido</v>
      </c>
      <c r="P299" s="4" t="s">
        <v>37</v>
      </c>
      <c r="Q299" s="9" t="b">
        <v>0</v>
      </c>
      <c r="R299" s="10" t="b">
        <v>0</v>
      </c>
    </row>
    <row r="300" spans="1:18" x14ac:dyDescent="0.25">
      <c r="A300" s="8" t="s">
        <v>16</v>
      </c>
      <c r="B300" s="7" t="s">
        <v>491</v>
      </c>
      <c r="C300" s="4" t="s">
        <v>46</v>
      </c>
      <c r="D300" s="4" t="s">
        <v>492</v>
      </c>
      <c r="E300" s="4">
        <v>299</v>
      </c>
      <c r="F300" s="9">
        <v>46078</v>
      </c>
      <c r="G300" s="9" t="b">
        <v>0</v>
      </c>
      <c r="H300" s="4" t="b">
        <v>0</v>
      </c>
      <c r="I300" s="28" t="s">
        <v>20</v>
      </c>
      <c r="J300" s="4">
        <f t="shared" ref="J300:J309" si="15">IF(A300="INFORMACIÓN O DOCUMENTOS", 10, IF(A300="CONSULTA", 30, IF(A300="FACTURACIÓN Y COBROS", 15, IF(A300="VINCULACIÓN Y DESVINCULACIÓN", 15, IF(A300="NO ES DE NUESTRA COMPETENCIA", 5, IF(A300="OTRO", 15, ""))))))</f>
        <v>15</v>
      </c>
      <c r="K300" s="4">
        <f ca="1">IF(AND(F300&lt;&gt;"", L300&lt;&gt;""), NETWORKDAYS(TODAY(), L300-1, FESTIVOS!A$1:A$55), "")</f>
        <v>-61</v>
      </c>
      <c r="L300" s="9">
        <f>IF(AND(F300&lt;&gt;"", J300&lt;&gt;""), WORKDAY(F300, J300, FESTIVOS!A$1:A$55), "")</f>
        <v>46099</v>
      </c>
      <c r="M300" s="4" t="s">
        <v>21</v>
      </c>
      <c r="N300" s="4">
        <f t="shared" ca="1" si="13"/>
        <v>0</v>
      </c>
      <c r="O300" s="4" t="str">
        <f t="shared" ca="1" si="14"/>
        <v>Vencido</v>
      </c>
      <c r="P300" s="4" t="s">
        <v>493</v>
      </c>
      <c r="Q300" s="9">
        <v>46105</v>
      </c>
      <c r="R300" s="10">
        <f>IF(OR(Q300="", L300=""), "", NETWORKDAYS(L300, Q300, FESTIVOS!A299:A353))</f>
        <v>5</v>
      </c>
    </row>
    <row r="301" spans="1:18" x14ac:dyDescent="0.25">
      <c r="A301" s="8" t="s">
        <v>16</v>
      </c>
      <c r="B301" s="7" t="s">
        <v>494</v>
      </c>
      <c r="C301" s="4" t="s">
        <v>46</v>
      </c>
      <c r="D301" s="4" t="s">
        <v>419</v>
      </c>
      <c r="E301" s="4">
        <v>300</v>
      </c>
      <c r="F301" s="9">
        <v>46078</v>
      </c>
      <c r="G301" s="9" t="b">
        <v>0</v>
      </c>
      <c r="H301" s="4" t="b">
        <v>0</v>
      </c>
      <c r="I301" s="28" t="s">
        <v>20</v>
      </c>
      <c r="J301" s="4">
        <f t="shared" si="15"/>
        <v>15</v>
      </c>
      <c r="K301" s="4">
        <f ca="1">IF(AND(F301&lt;&gt;"", L301&lt;&gt;""), NETWORKDAYS(TODAY(), L301-1, FESTIVOS!A$1:A$55), "")</f>
        <v>-61</v>
      </c>
      <c r="L301" s="9">
        <f>IF(AND(F301&lt;&gt;"", J301&lt;&gt;""), WORKDAY(F301, J301, FESTIVOS!A$1:A$55), "")</f>
        <v>46099</v>
      </c>
      <c r="M301" s="4" t="s">
        <v>21</v>
      </c>
      <c r="N301" s="4">
        <f t="shared" ca="1" si="13"/>
        <v>0</v>
      </c>
      <c r="O301" s="4" t="str">
        <f t="shared" ca="1" si="14"/>
        <v>Vencido</v>
      </c>
      <c r="P301" s="4" t="s">
        <v>495</v>
      </c>
      <c r="Q301" s="9">
        <v>46097</v>
      </c>
      <c r="R301" s="10">
        <f>IF(OR(Q301="", L301=""), "", NETWORKDAYS(L301, Q301, FESTIVOS!A300:A354))</f>
        <v>-3</v>
      </c>
    </row>
    <row r="302" spans="1:18" x14ac:dyDescent="0.25">
      <c r="A302" s="8" t="s">
        <v>16</v>
      </c>
      <c r="B302" s="7" t="s">
        <v>496</v>
      </c>
      <c r="C302" s="4" t="s">
        <v>46</v>
      </c>
      <c r="D302" s="4" t="s">
        <v>497</v>
      </c>
      <c r="E302" s="4">
        <v>301</v>
      </c>
      <c r="F302" s="9">
        <v>46078</v>
      </c>
      <c r="G302" s="9" t="b">
        <v>0</v>
      </c>
      <c r="H302" s="4" t="b">
        <v>0</v>
      </c>
      <c r="I302" s="28" t="s">
        <v>66</v>
      </c>
      <c r="J302" s="4">
        <f t="shared" si="15"/>
        <v>15</v>
      </c>
      <c r="K302" s="4">
        <f ca="1">IF(AND(F302&lt;&gt;"", L302&lt;&gt;""), NETWORKDAYS(TODAY(), L302-1, FESTIVOS!A$1:A$55), "")</f>
        <v>-61</v>
      </c>
      <c r="L302" s="9">
        <f>IF(AND(F302&lt;&gt;"", J302&lt;&gt;""), WORKDAY(F302, J302, FESTIVOS!A$1:A$55), "")</f>
        <v>46099</v>
      </c>
      <c r="M302" s="4" t="s">
        <v>21</v>
      </c>
      <c r="N302" s="4">
        <f t="shared" ca="1" si="13"/>
        <v>0</v>
      </c>
      <c r="O302" s="4" t="str">
        <f t="shared" ca="1" si="14"/>
        <v>Vencido</v>
      </c>
      <c r="P302" s="4" t="s">
        <v>498</v>
      </c>
      <c r="Q302" s="9">
        <v>46084</v>
      </c>
      <c r="R302" s="10">
        <f>IF(OR(Q302="", L302=""), "", NETWORKDAYS(L302, Q302, FESTIVOS!A301:A355))</f>
        <v>-12</v>
      </c>
    </row>
    <row r="303" spans="1:18" x14ac:dyDescent="0.25">
      <c r="A303" s="8" t="s">
        <v>16</v>
      </c>
      <c r="B303" s="7" t="s">
        <v>499</v>
      </c>
      <c r="C303" s="4" t="s">
        <v>46</v>
      </c>
      <c r="D303" s="4" t="s">
        <v>61</v>
      </c>
      <c r="E303" s="4">
        <v>302</v>
      </c>
      <c r="F303" s="9">
        <v>46079</v>
      </c>
      <c r="G303" s="9" t="b">
        <v>0</v>
      </c>
      <c r="H303" s="4" t="b">
        <v>0</v>
      </c>
      <c r="I303" s="28" t="s">
        <v>20</v>
      </c>
      <c r="J303" s="4">
        <f t="shared" si="15"/>
        <v>15</v>
      </c>
      <c r="K303" s="4">
        <f ca="1">IF(AND(F303&lt;&gt;"", L303&lt;&gt;""), NETWORKDAYS(TODAY(), L303-1, FESTIVOS!A$1:A$55), "")</f>
        <v>-60</v>
      </c>
      <c r="L303" s="9">
        <f>IF(AND(F303&lt;&gt;"", J303&lt;&gt;""), WORKDAY(F303, J303, FESTIVOS!A$1:A$55), "")</f>
        <v>46100</v>
      </c>
      <c r="M303" s="4" t="s">
        <v>21</v>
      </c>
      <c r="N303" s="4">
        <f t="shared" ca="1" si="13"/>
        <v>0</v>
      </c>
      <c r="O303" s="4" t="str">
        <f t="shared" ca="1" si="14"/>
        <v>Vencido</v>
      </c>
      <c r="P303" s="4" t="s">
        <v>500</v>
      </c>
      <c r="Q303" s="9">
        <v>46097</v>
      </c>
      <c r="R303" s="10">
        <f>IF(OR(Q303="", L303=""), "", NETWORKDAYS(L303, Q303, FESTIVOS!A302:A356))</f>
        <v>-4</v>
      </c>
    </row>
    <row r="304" spans="1:18" x14ac:dyDescent="0.25">
      <c r="A304" s="8" t="s">
        <v>16</v>
      </c>
      <c r="B304" s="7" t="s">
        <v>501</v>
      </c>
      <c r="C304" s="4" t="s">
        <v>46</v>
      </c>
      <c r="D304" s="4" t="s">
        <v>301</v>
      </c>
      <c r="E304" s="4">
        <v>303</v>
      </c>
      <c r="F304" s="9">
        <v>46079</v>
      </c>
      <c r="G304" s="9" t="b">
        <v>0</v>
      </c>
      <c r="H304" s="4" t="b">
        <v>0</v>
      </c>
      <c r="I304" s="28" t="s">
        <v>20</v>
      </c>
      <c r="J304" s="4">
        <f t="shared" si="15"/>
        <v>15</v>
      </c>
      <c r="K304" s="4">
        <f ca="1">IF(AND(F304&lt;&gt;"", L304&lt;&gt;""), NETWORKDAYS(TODAY(), L304-1, FESTIVOS!A$1:A$55), "")</f>
        <v>-60</v>
      </c>
      <c r="L304" s="9">
        <f>IF(AND(F304&lt;&gt;"", J304&lt;&gt;""), WORKDAY(F304, J304, FESTIVOS!A$1:A$55), "")</f>
        <v>46100</v>
      </c>
      <c r="M304" s="4" t="s">
        <v>21</v>
      </c>
      <c r="N304" s="4">
        <f t="shared" ca="1" si="13"/>
        <v>0</v>
      </c>
      <c r="O304" s="4" t="str">
        <f t="shared" ca="1" si="14"/>
        <v>Vencido</v>
      </c>
      <c r="P304" s="4" t="s">
        <v>502</v>
      </c>
      <c r="Q304" s="9">
        <v>46094</v>
      </c>
      <c r="R304" s="10">
        <f>IF(OR(Q304="", L304=""), "", NETWORKDAYS(L304, Q304, FESTIVOS!A303:A357))</f>
        <v>-5</v>
      </c>
    </row>
    <row r="305" spans="1:18" x14ac:dyDescent="0.25">
      <c r="A305" s="8" t="s">
        <v>16</v>
      </c>
      <c r="B305" s="7" t="s">
        <v>503</v>
      </c>
      <c r="C305" s="4" t="s">
        <v>46</v>
      </c>
      <c r="D305" s="4" t="s">
        <v>504</v>
      </c>
      <c r="E305" s="4">
        <v>304</v>
      </c>
      <c r="F305" s="9">
        <v>46079</v>
      </c>
      <c r="G305" s="9" t="b">
        <v>0</v>
      </c>
      <c r="H305" s="4" t="b">
        <v>0</v>
      </c>
      <c r="I305" s="28" t="s">
        <v>20</v>
      </c>
      <c r="J305" s="4">
        <f t="shared" si="15"/>
        <v>15</v>
      </c>
      <c r="K305" s="4">
        <f ca="1">IF(AND(F305&lt;&gt;"", L305&lt;&gt;""), NETWORKDAYS(TODAY(), L305-1, FESTIVOS!A$1:A$55), "")</f>
        <v>-60</v>
      </c>
      <c r="L305" s="9">
        <f>IF(AND(F305&lt;&gt;"", J305&lt;&gt;""), WORKDAY(F305, J305, FESTIVOS!A$1:A$55), "")</f>
        <v>46100</v>
      </c>
      <c r="M305" s="4" t="s">
        <v>21</v>
      </c>
      <c r="N305" s="4">
        <f t="shared" ca="1" si="13"/>
        <v>0</v>
      </c>
      <c r="O305" s="4" t="str">
        <f t="shared" ca="1" si="14"/>
        <v>Vencido</v>
      </c>
      <c r="P305" s="4" t="s">
        <v>505</v>
      </c>
      <c r="Q305" s="9">
        <v>46100</v>
      </c>
      <c r="R305" s="10">
        <f>IF(OR(Q305="", L305=""), "", NETWORKDAYS(L305, Q305, FESTIVOS!A304:A358))</f>
        <v>1</v>
      </c>
    </row>
    <row r="306" spans="1:18" x14ac:dyDescent="0.25">
      <c r="A306" s="8" t="s">
        <v>16</v>
      </c>
      <c r="B306" s="7" t="s">
        <v>506</v>
      </c>
      <c r="C306" s="4" t="s">
        <v>46</v>
      </c>
      <c r="D306" s="4" t="s">
        <v>507</v>
      </c>
      <c r="E306" s="4">
        <v>305</v>
      </c>
      <c r="F306" s="9">
        <v>46079</v>
      </c>
      <c r="G306" s="9" t="b">
        <v>0</v>
      </c>
      <c r="H306" s="4" t="b">
        <v>0</v>
      </c>
      <c r="I306" s="28" t="s">
        <v>80</v>
      </c>
      <c r="J306" s="4">
        <v>10</v>
      </c>
      <c r="K306" s="4">
        <f ca="1">IF(AND(F306&lt;&gt;"", L306&lt;&gt;""), NETWORKDAYS(TODAY(), L306-1, FESTIVOS!A$1:A$55), "")</f>
        <v>-65</v>
      </c>
      <c r="L306" s="9">
        <f>IF(AND(F306&lt;&gt;"", J306&lt;&gt;""), WORKDAY(F306, J306, FESTIVOS!A$1:A$55), "")</f>
        <v>46093</v>
      </c>
      <c r="M306" s="4" t="s">
        <v>21</v>
      </c>
      <c r="N306" s="4">
        <f t="shared" ca="1" si="13"/>
        <v>0</v>
      </c>
      <c r="O306" s="4" t="str">
        <f t="shared" ca="1" si="14"/>
        <v>Vencido</v>
      </c>
      <c r="P306" s="4" t="s">
        <v>508</v>
      </c>
      <c r="Q306" s="9">
        <v>46093</v>
      </c>
      <c r="R306" s="10">
        <f>IF(OR(Q306="", L306=""), "", NETWORKDAYS(L306, Q306, FESTIVOS!A305:A359))</f>
        <v>1</v>
      </c>
    </row>
    <row r="307" spans="1:18" x14ac:dyDescent="0.25">
      <c r="A307" s="8" t="s">
        <v>16</v>
      </c>
      <c r="B307" s="7" t="s">
        <v>455</v>
      </c>
      <c r="C307" s="4" t="s">
        <v>46</v>
      </c>
      <c r="D307" s="4" t="s">
        <v>165</v>
      </c>
      <c r="E307" s="4">
        <v>306</v>
      </c>
      <c r="F307" s="9">
        <v>46079</v>
      </c>
      <c r="G307" s="9" t="b">
        <v>0</v>
      </c>
      <c r="H307" s="4" t="b">
        <v>0</v>
      </c>
      <c r="I307" s="28" t="s">
        <v>20</v>
      </c>
      <c r="J307" s="4">
        <f t="shared" si="15"/>
        <v>15</v>
      </c>
      <c r="K307" s="4">
        <f ca="1">IF(AND(F307&lt;&gt;"", L307&lt;&gt;""), NETWORKDAYS(TODAY(), L307-1, FESTIVOS!A$1:A$55), "")</f>
        <v>-60</v>
      </c>
      <c r="L307" s="9">
        <f>IF(AND(F307&lt;&gt;"", J307&lt;&gt;""), WORKDAY(F307, J307, FESTIVOS!A$1:A$55), "")</f>
        <v>46100</v>
      </c>
      <c r="M307" s="4" t="s">
        <v>21</v>
      </c>
      <c r="N307" s="4">
        <f t="shared" ca="1" si="13"/>
        <v>0</v>
      </c>
      <c r="O307" s="4" t="str">
        <f t="shared" ca="1" si="14"/>
        <v>Vencido</v>
      </c>
      <c r="P307" s="4" t="s">
        <v>509</v>
      </c>
      <c r="Q307" s="9">
        <v>46099</v>
      </c>
      <c r="R307" s="10">
        <f>IF(OR(Q307="", L307=""), "", NETWORKDAYS(L307, Q307, FESTIVOS!A306:A360))</f>
        <v>-2</v>
      </c>
    </row>
    <row r="308" spans="1:18" x14ac:dyDescent="0.25">
      <c r="A308" s="8" t="s">
        <v>16</v>
      </c>
      <c r="B308" s="7" t="s">
        <v>510</v>
      </c>
      <c r="C308" s="4" t="s">
        <v>46</v>
      </c>
      <c r="D308" s="4" t="s">
        <v>262</v>
      </c>
      <c r="E308" s="4">
        <v>307</v>
      </c>
      <c r="F308" s="9">
        <v>46079</v>
      </c>
      <c r="G308" s="9" t="b">
        <v>0</v>
      </c>
      <c r="H308" s="4" t="b">
        <v>0</v>
      </c>
      <c r="I308" s="28" t="s">
        <v>66</v>
      </c>
      <c r="J308" s="4">
        <f t="shared" si="15"/>
        <v>15</v>
      </c>
      <c r="K308" s="4">
        <f ca="1">IF(AND(F308&lt;&gt;"", L308&lt;&gt;""), NETWORKDAYS(TODAY(), L308-1, FESTIVOS!A$1:A$55), "")</f>
        <v>-60</v>
      </c>
      <c r="L308" s="9">
        <f>IF(AND(F308&lt;&gt;"", J308&lt;&gt;""), WORKDAY(F308, J308, FESTIVOS!A$1:A$55), "")</f>
        <v>46100</v>
      </c>
      <c r="M308" s="4" t="s">
        <v>21</v>
      </c>
      <c r="N308" s="4">
        <f t="shared" ca="1" si="13"/>
        <v>0</v>
      </c>
      <c r="O308" s="4" t="str">
        <f t="shared" ca="1" si="14"/>
        <v>Vencido</v>
      </c>
      <c r="P308" s="4" t="s">
        <v>511</v>
      </c>
      <c r="Q308" s="9">
        <v>46084</v>
      </c>
      <c r="R308" s="10">
        <f>IF(OR(Q308="", L308=""), "", NETWORKDAYS(L308, Q308, FESTIVOS!A307:A361))</f>
        <v>-13</v>
      </c>
    </row>
    <row r="309" spans="1:18" x14ac:dyDescent="0.25">
      <c r="A309" s="8" t="s">
        <v>16</v>
      </c>
      <c r="B309" s="7" t="s">
        <v>17</v>
      </c>
      <c r="C309" s="4" t="s">
        <v>84</v>
      </c>
      <c r="D309" s="4" t="s">
        <v>512</v>
      </c>
      <c r="E309" s="4">
        <v>308</v>
      </c>
      <c r="F309" s="9">
        <v>46079</v>
      </c>
      <c r="G309" s="9" t="b">
        <v>0</v>
      </c>
      <c r="H309" s="4" t="b">
        <v>0</v>
      </c>
      <c r="I309" s="28" t="s">
        <v>20</v>
      </c>
      <c r="J309" s="4">
        <f t="shared" si="15"/>
        <v>15</v>
      </c>
      <c r="K309" s="4">
        <f ca="1">IF(AND(F309&lt;&gt;"", L309&lt;&gt;""), NETWORKDAYS(TODAY(), L309-1, FESTIVOS!A$1:A$55), "")</f>
        <v>-60</v>
      </c>
      <c r="L309" s="9">
        <f>IF(AND(F309&lt;&gt;"", J309&lt;&gt;""), WORKDAY(F309, J309, FESTIVOS!A$1:A$55), "")</f>
        <v>46100</v>
      </c>
      <c r="M309" s="4" t="s">
        <v>21</v>
      </c>
      <c r="N309" s="4">
        <f t="shared" ca="1" si="13"/>
        <v>0</v>
      </c>
      <c r="O309" s="4" t="str">
        <f t="shared" ca="1" si="14"/>
        <v>Vencido</v>
      </c>
      <c r="P309" s="4" t="s">
        <v>513</v>
      </c>
      <c r="Q309" s="9">
        <v>46094</v>
      </c>
      <c r="R309" s="10">
        <f>IF(OR(Q309="", L309=""), "", NETWORKDAYS(L309, Q309, FESTIVOS!A308:A362))</f>
        <v>-5</v>
      </c>
    </row>
    <row r="310" spans="1:18" x14ac:dyDescent="0.25">
      <c r="A310" s="8" t="s">
        <v>16</v>
      </c>
      <c r="B310" s="7" t="s">
        <v>514</v>
      </c>
      <c r="C310" s="4" t="s">
        <v>46</v>
      </c>
      <c r="D310" s="4" t="s">
        <v>515</v>
      </c>
      <c r="E310" s="4">
        <v>309</v>
      </c>
      <c r="F310" s="9">
        <v>46079</v>
      </c>
      <c r="G310" s="9" t="b">
        <v>0</v>
      </c>
      <c r="H310" s="4" t="b">
        <v>0</v>
      </c>
      <c r="I310" s="28" t="s">
        <v>20</v>
      </c>
      <c r="J310" s="4">
        <f t="shared" ref="J310" si="16">IF(A310="INFORMACIÓN O DOCUMENTOS", 10, IF(A310="CONSULTA", 30, IF(A310="FACTURACIÓN Y COBROS", 15, IF(A310="VINCULACIÓN Y DESVINCULACIÓN", 15, IF(A310="NO ES DE NUESTRA COMPETENCIA", 5, IF(A310="OTRO", 15, ""))))))</f>
        <v>15</v>
      </c>
      <c r="K310" s="4">
        <f ca="1">IF(AND(F310&lt;&gt;"", L310&lt;&gt;""), NETWORKDAYS(TODAY(), L310-1, FESTIVOS!A$1:A$55), "")</f>
        <v>-60</v>
      </c>
      <c r="L310" s="9">
        <f>IF(AND(F310&lt;&gt;"", J310&lt;&gt;""), WORKDAY(F310, J310, FESTIVOS!A$1:A$55), "")</f>
        <v>46100</v>
      </c>
      <c r="M310" s="4" t="s">
        <v>21</v>
      </c>
      <c r="N310" s="4">
        <f t="shared" ref="N310" ca="1" si="17">IF(K310="", "", MAX(0, K310 - (TODAY() - TODAY())))</f>
        <v>0</v>
      </c>
      <c r="O310" s="4" t="str">
        <f t="shared" ref="O310" ca="1" si="18">IF(OR(K310="", J310=""), "", IF(K310&lt;0, "Vencido", IF(K310&gt;(J310/2), "Supere la mitad", "Bajo la mitad")))</f>
        <v>Vencido</v>
      </c>
      <c r="P310" s="4" t="s">
        <v>516</v>
      </c>
      <c r="Q310" s="9">
        <v>46097</v>
      </c>
      <c r="R310" s="10">
        <f>IF(OR(Q310="", L310=""), "", NETWORKDAYS(L310, Q310, FESTIVOS!A309:A363))</f>
        <v>-4</v>
      </c>
    </row>
    <row r="311" spans="1:18" x14ac:dyDescent="0.25">
      <c r="A311" s="8" t="s">
        <v>16</v>
      </c>
      <c r="B311" s="7" t="s">
        <v>517</v>
      </c>
      <c r="C311" s="4" t="s">
        <v>46</v>
      </c>
      <c r="D311" s="4" t="s">
        <v>518</v>
      </c>
      <c r="E311" s="4">
        <v>310</v>
      </c>
      <c r="F311" s="9">
        <v>46079</v>
      </c>
      <c r="G311" s="9" t="b">
        <v>0</v>
      </c>
      <c r="H311" s="4" t="b">
        <v>0</v>
      </c>
      <c r="I311" s="28" t="s">
        <v>66</v>
      </c>
      <c r="J311" s="4">
        <f t="shared" ref="J311:J374" si="19">IF(A311="INFORMACIÓN O DOCUMENTOS", 10, IF(A311="CONSULTA", 30, IF(A311="FACTURACIÓN Y COBROS", 15, IF(A311="VINCULACIÓN Y DESVINCULACIÓN", 15, IF(A311="NO ES DE NUESTRA COMPETENCIA", 5, IF(A311="OTRO", 15, ""))))))</f>
        <v>15</v>
      </c>
      <c r="K311" s="4">
        <f ca="1">IF(AND(F311&lt;&gt;"", L311&lt;&gt;""), NETWORKDAYS(TODAY(), L311-1, FESTIVOS!A$1:A$55), "")</f>
        <v>-60</v>
      </c>
      <c r="L311" s="9">
        <f>IF(AND(F311&lt;&gt;"", J311&lt;&gt;""), WORKDAY(F311, J311, FESTIVOS!A$1:A$55), "")</f>
        <v>46100</v>
      </c>
      <c r="M311" s="4" t="s">
        <v>21</v>
      </c>
      <c r="N311" s="4">
        <f t="shared" ref="N311:N374" ca="1" si="20">IF(K311="", "", MAX(0, K311 - (TODAY() - TODAY())))</f>
        <v>0</v>
      </c>
      <c r="O311" s="4" t="str">
        <f t="shared" ref="O311:O374" ca="1" si="21">IF(OR(K311="", J311=""), "", IF(K311&lt;0, "Vencido", IF(K311&gt;(J311/2), "Supere la mitad", "Bajo la mitad")))</f>
        <v>Vencido</v>
      </c>
      <c r="P311" s="4" t="s">
        <v>519</v>
      </c>
      <c r="Q311" s="9">
        <v>46093</v>
      </c>
      <c r="R311" s="10" t="s">
        <v>520</v>
      </c>
    </row>
    <row r="312" spans="1:18" x14ac:dyDescent="0.25">
      <c r="A312" s="8" t="s">
        <v>16</v>
      </c>
      <c r="B312" s="7" t="s">
        <v>68</v>
      </c>
      <c r="C312" s="4" t="s">
        <v>186</v>
      </c>
      <c r="D312" s="4" t="s">
        <v>521</v>
      </c>
      <c r="E312" s="4">
        <v>311</v>
      </c>
      <c r="F312" s="9">
        <v>46079</v>
      </c>
      <c r="G312" s="9" t="b">
        <v>0</v>
      </c>
      <c r="H312" s="4" t="b">
        <v>0</v>
      </c>
      <c r="I312" s="28" t="s">
        <v>20</v>
      </c>
      <c r="J312" s="4">
        <f t="shared" si="19"/>
        <v>15</v>
      </c>
      <c r="K312" s="4">
        <f ca="1">IF(AND(F312&lt;&gt;"", L312&lt;&gt;""), NETWORKDAYS(TODAY(), L312-1, FESTIVOS!A$1:A$55), "")</f>
        <v>-60</v>
      </c>
      <c r="L312" s="9">
        <f>IF(AND(F312&lt;&gt;"", J312&lt;&gt;""), WORKDAY(F312, J312, FESTIVOS!A$1:A$55), "")</f>
        <v>46100</v>
      </c>
      <c r="M312" s="4" t="s">
        <v>21</v>
      </c>
      <c r="N312" s="4">
        <f t="shared" ca="1" si="20"/>
        <v>0</v>
      </c>
      <c r="O312" s="4" t="str">
        <f t="shared" ca="1" si="21"/>
        <v>Vencido</v>
      </c>
      <c r="P312" s="4" t="s">
        <v>37</v>
      </c>
      <c r="Q312" s="9" t="b">
        <v>0</v>
      </c>
      <c r="R312" s="10" t="e">
        <f>IF(OR(Q312="", L312=""), "", NETWORKDAYS(L312, Q312, FESTIVOS!A311:A365))</f>
        <v>#VALUE!</v>
      </c>
    </row>
    <row r="313" spans="1:18" x14ac:dyDescent="0.25">
      <c r="A313" s="8" t="s">
        <v>16</v>
      </c>
      <c r="B313" s="7" t="s">
        <v>522</v>
      </c>
      <c r="C313" s="4" t="s">
        <v>292</v>
      </c>
      <c r="D313" s="4" t="s">
        <v>523</v>
      </c>
      <c r="E313" s="4">
        <v>312</v>
      </c>
      <c r="F313" s="9">
        <v>46079</v>
      </c>
      <c r="G313" s="9" t="b">
        <v>0</v>
      </c>
      <c r="H313" s="4" t="b">
        <v>0</v>
      </c>
      <c r="I313" s="28" t="s">
        <v>20</v>
      </c>
      <c r="J313" s="4">
        <f t="shared" si="19"/>
        <v>15</v>
      </c>
      <c r="K313" s="4">
        <f ca="1">IF(AND(F313&lt;&gt;"", L313&lt;&gt;""), NETWORKDAYS(TODAY(), L313-1, FESTIVOS!A$1:A$55), "")</f>
        <v>-60</v>
      </c>
      <c r="L313" s="9">
        <f>IF(AND(F313&lt;&gt;"", J313&lt;&gt;""), WORKDAY(F313, J313, FESTIVOS!A$1:A$55), "")</f>
        <v>46100</v>
      </c>
      <c r="M313" s="4" t="s">
        <v>21</v>
      </c>
      <c r="N313" s="4">
        <f t="shared" ca="1" si="20"/>
        <v>0</v>
      </c>
      <c r="O313" s="4" t="str">
        <f t="shared" ca="1" si="21"/>
        <v>Vencido</v>
      </c>
      <c r="P313" s="4" t="s">
        <v>524</v>
      </c>
      <c r="Q313" s="9">
        <v>46099</v>
      </c>
      <c r="R313" s="10">
        <f>IF(OR(Q313="", L313=""), "", NETWORKDAYS(L313, Q313, FESTIVOS!A312:A366))</f>
        <v>-2</v>
      </c>
    </row>
    <row r="314" spans="1:18" x14ac:dyDescent="0.25">
      <c r="A314" s="8" t="s">
        <v>16</v>
      </c>
      <c r="B314" s="7" t="s">
        <v>525</v>
      </c>
      <c r="C314" s="4" t="s">
        <v>46</v>
      </c>
      <c r="D314" s="4" t="s">
        <v>518</v>
      </c>
      <c r="E314" s="4">
        <v>313</v>
      </c>
      <c r="F314" s="9">
        <v>46080</v>
      </c>
      <c r="G314" s="9" t="b">
        <v>0</v>
      </c>
      <c r="H314" s="4" t="b">
        <v>0</v>
      </c>
      <c r="I314" s="28" t="s">
        <v>66</v>
      </c>
      <c r="J314" s="4">
        <f t="shared" si="19"/>
        <v>15</v>
      </c>
      <c r="K314" s="4">
        <f ca="1">IF(AND(F314&lt;&gt;"", L314&lt;&gt;""), NETWORKDAYS(TODAY(), L314-1, FESTIVOS!A$1:A$55), "")</f>
        <v>-59</v>
      </c>
      <c r="L314" s="9">
        <f>IF(AND(F314&lt;&gt;"", J314&lt;&gt;""), WORKDAY(F314, J314, FESTIVOS!A$1:A$55), "")</f>
        <v>46101</v>
      </c>
      <c r="M314" s="4" t="s">
        <v>21</v>
      </c>
      <c r="N314" s="4">
        <f t="shared" ca="1" si="20"/>
        <v>0</v>
      </c>
      <c r="O314" s="4" t="str">
        <f t="shared" ca="1" si="21"/>
        <v>Vencido</v>
      </c>
      <c r="P314" s="4" t="s">
        <v>526</v>
      </c>
      <c r="Q314" s="9">
        <v>46084</v>
      </c>
      <c r="R314" s="10">
        <f>IF(OR(Q314="", L314=""), "", NETWORKDAYS(L314, Q314, FESTIVOS!A313:A367))</f>
        <v>-14</v>
      </c>
    </row>
    <row r="315" spans="1:18" x14ac:dyDescent="0.25">
      <c r="A315" s="8" t="s">
        <v>16</v>
      </c>
      <c r="B315" s="7" t="s">
        <v>455</v>
      </c>
      <c r="C315" s="4" t="s">
        <v>46</v>
      </c>
      <c r="D315" s="4" t="s">
        <v>527</v>
      </c>
      <c r="E315" s="4">
        <v>314</v>
      </c>
      <c r="F315" s="9">
        <v>46080</v>
      </c>
      <c r="G315" s="9" t="b">
        <v>0</v>
      </c>
      <c r="H315" s="4" t="b">
        <v>0</v>
      </c>
      <c r="I315" s="28" t="s">
        <v>66</v>
      </c>
      <c r="J315" s="4">
        <f t="shared" si="19"/>
        <v>15</v>
      </c>
      <c r="K315" s="4">
        <f ca="1">IF(AND(F315&lt;&gt;"", L315&lt;&gt;""), NETWORKDAYS(TODAY(), L315-1, FESTIVOS!A$1:A$55), "")</f>
        <v>-59</v>
      </c>
      <c r="L315" s="9">
        <f>IF(AND(F315&lt;&gt;"", J315&lt;&gt;""), WORKDAY(F315, J315, FESTIVOS!A$1:A$55), "")</f>
        <v>46101</v>
      </c>
      <c r="M315" s="4" t="s">
        <v>21</v>
      </c>
      <c r="N315" s="4">
        <f t="shared" ca="1" si="20"/>
        <v>0</v>
      </c>
      <c r="O315" s="4" t="str">
        <f t="shared" ca="1" si="21"/>
        <v>Vencido</v>
      </c>
      <c r="P315" s="4" t="s">
        <v>528</v>
      </c>
      <c r="Q315" s="9">
        <v>46084</v>
      </c>
      <c r="R315" s="10">
        <f>IF(OR(Q315="", L315=""), "", NETWORKDAYS(L315, Q315, FESTIVOS!A314:A368))</f>
        <v>-14</v>
      </c>
    </row>
    <row r="316" spans="1:18" x14ac:dyDescent="0.25">
      <c r="A316" s="8" t="s">
        <v>16</v>
      </c>
      <c r="B316" s="7" t="s">
        <v>131</v>
      </c>
      <c r="C316" s="4" t="s">
        <v>84</v>
      </c>
      <c r="D316" s="4" t="s">
        <v>85</v>
      </c>
      <c r="E316" s="4">
        <v>315</v>
      </c>
      <c r="F316" s="9">
        <v>46080</v>
      </c>
      <c r="G316" s="9" t="b">
        <v>0</v>
      </c>
      <c r="H316" s="4" t="b">
        <v>0</v>
      </c>
      <c r="I316" s="28" t="s">
        <v>20</v>
      </c>
      <c r="J316" s="4">
        <f t="shared" si="19"/>
        <v>15</v>
      </c>
      <c r="K316" s="4">
        <f ca="1">IF(AND(F316&lt;&gt;"", L316&lt;&gt;""), NETWORKDAYS(TODAY(), L316-1, FESTIVOS!A$1:A$55), "")</f>
        <v>-59</v>
      </c>
      <c r="L316" s="9">
        <f>IF(AND(F316&lt;&gt;"", J316&lt;&gt;""), WORKDAY(F316, J316, FESTIVOS!A$1:A$55), "")</f>
        <v>46101</v>
      </c>
      <c r="M316" s="4" t="s">
        <v>21</v>
      </c>
      <c r="N316" s="4">
        <f t="shared" ca="1" si="20"/>
        <v>0</v>
      </c>
      <c r="O316" s="4" t="str">
        <f t="shared" ca="1" si="21"/>
        <v>Vencido</v>
      </c>
      <c r="P316" s="4" t="s">
        <v>529</v>
      </c>
      <c r="Q316" s="9" t="b">
        <v>0</v>
      </c>
      <c r="R316" s="11" t="e">
        <f>IF(OR(Q316="", L316=""), "", NETWORKDAYS(L316, Q316, FESTIVOS!A315:A369))</f>
        <v>#VALUE!</v>
      </c>
    </row>
    <row r="317" spans="1:18" x14ac:dyDescent="0.25">
      <c r="A317" s="8" t="s">
        <v>16</v>
      </c>
      <c r="B317" s="7" t="s">
        <v>131</v>
      </c>
      <c r="C317" s="4" t="s">
        <v>84</v>
      </c>
      <c r="D317" s="4" t="s">
        <v>85</v>
      </c>
      <c r="E317" s="4">
        <v>316</v>
      </c>
      <c r="F317" s="9">
        <v>46080</v>
      </c>
      <c r="G317" s="9" t="b">
        <v>0</v>
      </c>
      <c r="H317" s="4" t="b">
        <v>0</v>
      </c>
      <c r="I317" s="28" t="s">
        <v>20</v>
      </c>
      <c r="J317" s="4">
        <f t="shared" si="19"/>
        <v>15</v>
      </c>
      <c r="K317" s="4">
        <f ca="1">IF(AND(F317&lt;&gt;"", L317&lt;&gt;""), NETWORKDAYS(TODAY(), L317-1, FESTIVOS!A$1:A$55), "")</f>
        <v>-59</v>
      </c>
      <c r="L317" s="9">
        <f>IF(AND(F317&lt;&gt;"", J317&lt;&gt;""), WORKDAY(F317, J317, FESTIVOS!A$1:A$55), "")</f>
        <v>46101</v>
      </c>
      <c r="M317" s="4" t="s">
        <v>21</v>
      </c>
      <c r="N317" s="4">
        <f t="shared" ca="1" si="20"/>
        <v>0</v>
      </c>
      <c r="O317" s="4" t="str">
        <f t="shared" ca="1" si="21"/>
        <v>Vencido</v>
      </c>
      <c r="P317" s="4" t="s">
        <v>530</v>
      </c>
      <c r="Q317" s="9">
        <v>46097</v>
      </c>
      <c r="R317" s="11" t="s">
        <v>520</v>
      </c>
    </row>
    <row r="318" spans="1:18" x14ac:dyDescent="0.25">
      <c r="A318" s="8" t="s">
        <v>16</v>
      </c>
      <c r="B318" s="7" t="s">
        <v>131</v>
      </c>
      <c r="C318" s="4" t="s">
        <v>84</v>
      </c>
      <c r="D318" s="4" t="s">
        <v>85</v>
      </c>
      <c r="E318" s="4">
        <v>317</v>
      </c>
      <c r="F318" s="9">
        <v>46080</v>
      </c>
      <c r="G318" s="9" t="b">
        <v>0</v>
      </c>
      <c r="H318" s="4" t="b">
        <v>0</v>
      </c>
      <c r="I318" s="28" t="s">
        <v>20</v>
      </c>
      <c r="J318" s="4">
        <f t="shared" si="19"/>
        <v>15</v>
      </c>
      <c r="K318" s="4">
        <f ca="1">IF(AND(F318&lt;&gt;"", L318&lt;&gt;""), NETWORKDAYS(TODAY(), L318-1, FESTIVOS!A$1:A$55), "")</f>
        <v>-59</v>
      </c>
      <c r="L318" s="9">
        <f>IF(AND(F318&lt;&gt;"", J318&lt;&gt;""), WORKDAY(F318, J318, FESTIVOS!A$1:A$55), "")</f>
        <v>46101</v>
      </c>
      <c r="M318" s="4" t="s">
        <v>21</v>
      </c>
      <c r="N318" s="4">
        <f t="shared" ca="1" si="20"/>
        <v>0</v>
      </c>
      <c r="O318" s="4" t="str">
        <f t="shared" ca="1" si="21"/>
        <v>Vencido</v>
      </c>
      <c r="P318" s="4" t="s">
        <v>531</v>
      </c>
      <c r="Q318" s="9" t="b">
        <v>0</v>
      </c>
      <c r="R318" s="11" t="e">
        <f>IF(OR(Q318="", L318=""), "", NETWORKDAYS(L318, Q318, FESTIVOS!A317:A371))</f>
        <v>#VALUE!</v>
      </c>
    </row>
    <row r="319" spans="1:18" x14ac:dyDescent="0.25">
      <c r="A319" s="8" t="s">
        <v>16</v>
      </c>
      <c r="B319" s="7" t="s">
        <v>131</v>
      </c>
      <c r="C319" s="4" t="s">
        <v>84</v>
      </c>
      <c r="D319" s="4" t="s">
        <v>85</v>
      </c>
      <c r="E319" s="4">
        <v>318</v>
      </c>
      <c r="F319" s="9">
        <v>46080</v>
      </c>
      <c r="G319" s="9" t="b">
        <v>0</v>
      </c>
      <c r="H319" s="4" t="b">
        <v>0</v>
      </c>
      <c r="I319" s="28" t="s">
        <v>20</v>
      </c>
      <c r="J319" s="4">
        <f t="shared" si="19"/>
        <v>15</v>
      </c>
      <c r="K319" s="4">
        <f ca="1">IF(AND(F319&lt;&gt;"", L319&lt;&gt;""), NETWORKDAYS(TODAY(), L319-1, FESTIVOS!A$1:A$55), "")</f>
        <v>-59</v>
      </c>
      <c r="L319" s="9">
        <f>IF(AND(F319&lt;&gt;"", J319&lt;&gt;""), WORKDAY(F319, J319, FESTIVOS!A$1:A$55), "")</f>
        <v>46101</v>
      </c>
      <c r="M319" s="4" t="s">
        <v>21</v>
      </c>
      <c r="N319" s="4">
        <f t="shared" ca="1" si="20"/>
        <v>0</v>
      </c>
      <c r="O319" s="4" t="str">
        <f t="shared" ca="1" si="21"/>
        <v>Vencido</v>
      </c>
      <c r="P319" s="4" t="s">
        <v>531</v>
      </c>
      <c r="Q319" s="9" t="b">
        <v>0</v>
      </c>
      <c r="R319" s="11" t="e">
        <f>IF(OR(Q319="", L319=""), "", NETWORKDAYS(L319, Q319, FESTIVOS!A318:A372))</f>
        <v>#VALUE!</v>
      </c>
    </row>
    <row r="320" spans="1:18" x14ac:dyDescent="0.25">
      <c r="A320" s="8" t="s">
        <v>16</v>
      </c>
      <c r="B320" s="7" t="s">
        <v>131</v>
      </c>
      <c r="C320" s="4" t="s">
        <v>84</v>
      </c>
      <c r="D320" s="4" t="s">
        <v>85</v>
      </c>
      <c r="E320" s="4">
        <v>319</v>
      </c>
      <c r="F320" s="9">
        <v>46080</v>
      </c>
      <c r="G320" s="9" t="b">
        <v>0</v>
      </c>
      <c r="H320" s="4" t="b">
        <v>0</v>
      </c>
      <c r="I320" s="28" t="s">
        <v>20</v>
      </c>
      <c r="J320" s="4">
        <f t="shared" si="19"/>
        <v>15</v>
      </c>
      <c r="K320" s="4">
        <f ca="1">IF(AND(F320&lt;&gt;"", L320&lt;&gt;""), NETWORKDAYS(TODAY(), L320-1, FESTIVOS!A$1:A$55), "")</f>
        <v>-59</v>
      </c>
      <c r="L320" s="9">
        <f>IF(AND(F320&lt;&gt;"", J320&lt;&gt;""), WORKDAY(F320, J320, FESTIVOS!A$1:A$55), "")</f>
        <v>46101</v>
      </c>
      <c r="M320" s="4" t="s">
        <v>21</v>
      </c>
      <c r="N320" s="4">
        <f t="shared" ca="1" si="20"/>
        <v>0</v>
      </c>
      <c r="O320" s="4" t="str">
        <f t="shared" ca="1" si="21"/>
        <v>Vencido</v>
      </c>
      <c r="P320" s="4" t="s">
        <v>532</v>
      </c>
      <c r="Q320" s="9">
        <v>46094</v>
      </c>
      <c r="R320" s="11" t="s">
        <v>520</v>
      </c>
    </row>
    <row r="321" spans="1:18" x14ac:dyDescent="0.25">
      <c r="A321" s="8" t="s">
        <v>16</v>
      </c>
      <c r="B321" s="7" t="s">
        <v>131</v>
      </c>
      <c r="C321" s="4" t="s">
        <v>84</v>
      </c>
      <c r="D321" s="4" t="s">
        <v>85</v>
      </c>
      <c r="E321" s="4">
        <v>320</v>
      </c>
      <c r="F321" s="9">
        <v>46080</v>
      </c>
      <c r="G321" s="9" t="b">
        <v>0</v>
      </c>
      <c r="H321" s="4" t="b">
        <v>0</v>
      </c>
      <c r="I321" s="28" t="s">
        <v>20</v>
      </c>
      <c r="J321" s="4">
        <f t="shared" si="19"/>
        <v>15</v>
      </c>
      <c r="K321" s="4">
        <f ca="1">IF(AND(F321&lt;&gt;"", L321&lt;&gt;""), NETWORKDAYS(TODAY(), L321-1, FESTIVOS!A$1:A$55), "")</f>
        <v>-59</v>
      </c>
      <c r="L321" s="9">
        <f>IF(AND(F321&lt;&gt;"", J321&lt;&gt;""), WORKDAY(F321, J321, FESTIVOS!A$1:A$55), "")</f>
        <v>46101</v>
      </c>
      <c r="M321" s="4" t="s">
        <v>21</v>
      </c>
      <c r="N321" s="4">
        <f t="shared" ca="1" si="20"/>
        <v>0</v>
      </c>
      <c r="O321" s="4" t="str">
        <f t="shared" ca="1" si="21"/>
        <v>Vencido</v>
      </c>
      <c r="P321" s="4" t="s">
        <v>533</v>
      </c>
      <c r="Q321" s="9">
        <v>46094</v>
      </c>
      <c r="R321" s="11" t="s">
        <v>520</v>
      </c>
    </row>
    <row r="322" spans="1:18" x14ac:dyDescent="0.25">
      <c r="A322" s="8" t="s">
        <v>16</v>
      </c>
      <c r="B322" s="7" t="s">
        <v>131</v>
      </c>
      <c r="C322" s="4" t="s">
        <v>84</v>
      </c>
      <c r="D322" s="4" t="s">
        <v>85</v>
      </c>
      <c r="E322" s="4">
        <v>321</v>
      </c>
      <c r="F322" s="9">
        <v>46080</v>
      </c>
      <c r="G322" s="9" t="b">
        <v>0</v>
      </c>
      <c r="H322" s="4" t="b">
        <v>0</v>
      </c>
      <c r="I322" s="28" t="s">
        <v>20</v>
      </c>
      <c r="J322" s="4">
        <f t="shared" si="19"/>
        <v>15</v>
      </c>
      <c r="K322" s="4">
        <f ca="1">IF(AND(F322&lt;&gt;"", L322&lt;&gt;""), NETWORKDAYS(TODAY(), L322-1, FESTIVOS!A$1:A$55), "")</f>
        <v>-59</v>
      </c>
      <c r="L322" s="9">
        <f>IF(AND(F322&lt;&gt;"", J322&lt;&gt;""), WORKDAY(F322, J322, FESTIVOS!A$1:A$55), "")</f>
        <v>46101</v>
      </c>
      <c r="M322" s="4" t="s">
        <v>21</v>
      </c>
      <c r="N322" s="4">
        <f t="shared" ca="1" si="20"/>
        <v>0</v>
      </c>
      <c r="O322" s="4" t="str">
        <f t="shared" ca="1" si="21"/>
        <v>Vencido</v>
      </c>
      <c r="P322" s="4" t="s">
        <v>534</v>
      </c>
      <c r="Q322" s="9">
        <v>46094</v>
      </c>
      <c r="R322" s="11">
        <f>IF(OR(Q322="", L322=""), "", NETWORKDAYS(L322, Q322, FESTIVOS!A321:A375))</f>
        <v>-6</v>
      </c>
    </row>
    <row r="323" spans="1:18" x14ac:dyDescent="0.25">
      <c r="A323" s="8" t="s">
        <v>16</v>
      </c>
      <c r="B323" s="7" t="s">
        <v>131</v>
      </c>
      <c r="C323" s="4" t="s">
        <v>84</v>
      </c>
      <c r="D323" s="4" t="s">
        <v>85</v>
      </c>
      <c r="E323" s="4">
        <v>322</v>
      </c>
      <c r="F323" s="9">
        <v>46080</v>
      </c>
      <c r="G323" s="9" t="b">
        <v>0</v>
      </c>
      <c r="H323" s="4" t="b">
        <v>0</v>
      </c>
      <c r="I323" s="28" t="s">
        <v>20</v>
      </c>
      <c r="J323" s="4">
        <f t="shared" si="19"/>
        <v>15</v>
      </c>
      <c r="K323" s="4">
        <f ca="1">IF(AND(F323&lt;&gt;"", L323&lt;&gt;""), NETWORKDAYS(TODAY(), L323-1, FESTIVOS!A$1:A$55), "")</f>
        <v>-59</v>
      </c>
      <c r="L323" s="9">
        <f>IF(AND(F323&lt;&gt;"", J323&lt;&gt;""), WORKDAY(F323, J323, FESTIVOS!A$1:A$55), "")</f>
        <v>46101</v>
      </c>
      <c r="M323" s="4" t="s">
        <v>21</v>
      </c>
      <c r="N323" s="4">
        <f t="shared" ca="1" si="20"/>
        <v>0</v>
      </c>
      <c r="O323" s="4" t="str">
        <f t="shared" ca="1" si="21"/>
        <v>Vencido</v>
      </c>
      <c r="P323" s="4" t="s">
        <v>534</v>
      </c>
      <c r="Q323" s="9" t="b">
        <v>0</v>
      </c>
      <c r="R323" s="11" t="e">
        <f>IF(OR(Q323="", L323=""), "", NETWORKDAYS(L323, Q323, FESTIVOS!A322:A376))</f>
        <v>#VALUE!</v>
      </c>
    </row>
    <row r="324" spans="1:18" x14ac:dyDescent="0.25">
      <c r="A324" s="8" t="s">
        <v>16</v>
      </c>
      <c r="B324" s="7" t="s">
        <v>131</v>
      </c>
      <c r="C324" s="4" t="s">
        <v>84</v>
      </c>
      <c r="D324" s="4" t="s">
        <v>85</v>
      </c>
      <c r="E324" s="4">
        <v>323</v>
      </c>
      <c r="F324" s="9">
        <v>46080</v>
      </c>
      <c r="G324" s="9" t="b">
        <v>0</v>
      </c>
      <c r="H324" s="4" t="b">
        <v>0</v>
      </c>
      <c r="I324" s="28" t="s">
        <v>20</v>
      </c>
      <c r="J324" s="4">
        <f t="shared" si="19"/>
        <v>15</v>
      </c>
      <c r="K324" s="4">
        <f ca="1">IF(AND(F324&lt;&gt;"", L324&lt;&gt;""), NETWORKDAYS(TODAY(), L324-1, FESTIVOS!A$1:A$55), "")</f>
        <v>-59</v>
      </c>
      <c r="L324" s="9">
        <f>IF(AND(F324&lt;&gt;"", J324&lt;&gt;""), WORKDAY(F324, J324, FESTIVOS!A$1:A$55), "")</f>
        <v>46101</v>
      </c>
      <c r="M324" s="4" t="s">
        <v>21</v>
      </c>
      <c r="N324" s="4">
        <f t="shared" ca="1" si="20"/>
        <v>0</v>
      </c>
      <c r="O324" s="4" t="str">
        <f t="shared" ca="1" si="21"/>
        <v>Vencido</v>
      </c>
      <c r="P324" s="4" t="s">
        <v>534</v>
      </c>
      <c r="Q324" s="9" t="b">
        <v>0</v>
      </c>
      <c r="R324" s="11" t="e">
        <f>IF(OR(Q324="", L324=""), "", NETWORKDAYS(L324, Q324, FESTIVOS!A323:A377))</f>
        <v>#VALUE!</v>
      </c>
    </row>
    <row r="325" spans="1:18" x14ac:dyDescent="0.25">
      <c r="A325" s="8" t="s">
        <v>16</v>
      </c>
      <c r="B325" s="7" t="s">
        <v>131</v>
      </c>
      <c r="C325" s="4" t="s">
        <v>84</v>
      </c>
      <c r="D325" s="4" t="s">
        <v>85</v>
      </c>
      <c r="E325" s="4">
        <v>324</v>
      </c>
      <c r="F325" s="9">
        <v>46080</v>
      </c>
      <c r="G325" s="9" t="b">
        <v>0</v>
      </c>
      <c r="H325" s="4" t="b">
        <v>0</v>
      </c>
      <c r="I325" s="28" t="s">
        <v>20</v>
      </c>
      <c r="J325" s="4">
        <f t="shared" si="19"/>
        <v>15</v>
      </c>
      <c r="K325" s="4">
        <f ca="1">IF(AND(F325&lt;&gt;"", L325&lt;&gt;""), NETWORKDAYS(TODAY(), L325-1, FESTIVOS!A$1:A$55), "")</f>
        <v>-59</v>
      </c>
      <c r="L325" s="9">
        <f>IF(AND(F325&lt;&gt;"", J325&lt;&gt;""), WORKDAY(F325, J325, FESTIVOS!A$1:A$55), "")</f>
        <v>46101</v>
      </c>
      <c r="M325" s="4" t="s">
        <v>21</v>
      </c>
      <c r="N325" s="4">
        <f t="shared" ca="1" si="20"/>
        <v>0</v>
      </c>
      <c r="O325" s="4" t="str">
        <f t="shared" ca="1" si="21"/>
        <v>Vencido</v>
      </c>
      <c r="P325" s="4" t="s">
        <v>534</v>
      </c>
      <c r="Q325" s="9" t="b">
        <v>0</v>
      </c>
      <c r="R325" s="11" t="e">
        <f>IF(OR(Q325="", L325=""), "", NETWORKDAYS(L325, Q325, FESTIVOS!A324:A378))</f>
        <v>#VALUE!</v>
      </c>
    </row>
    <row r="326" spans="1:18" x14ac:dyDescent="0.25">
      <c r="A326" s="8" t="s">
        <v>16</v>
      </c>
      <c r="B326" s="7" t="s">
        <v>131</v>
      </c>
      <c r="C326" s="4" t="s">
        <v>84</v>
      </c>
      <c r="D326" s="4" t="s">
        <v>85</v>
      </c>
      <c r="E326" s="4">
        <v>325</v>
      </c>
      <c r="F326" s="9">
        <v>46080</v>
      </c>
      <c r="G326" s="9" t="b">
        <v>0</v>
      </c>
      <c r="H326" s="4" t="b">
        <v>0</v>
      </c>
      <c r="I326" s="28" t="s">
        <v>20</v>
      </c>
      <c r="J326" s="4">
        <f t="shared" si="19"/>
        <v>15</v>
      </c>
      <c r="K326" s="4">
        <f ca="1">IF(AND(F326&lt;&gt;"", L326&lt;&gt;""), NETWORKDAYS(TODAY(), L326-1, FESTIVOS!A$1:A$55), "")</f>
        <v>-59</v>
      </c>
      <c r="L326" s="9">
        <f>IF(AND(F326&lt;&gt;"", J326&lt;&gt;""), WORKDAY(F326, J326, FESTIVOS!A$1:A$55), "")</f>
        <v>46101</v>
      </c>
      <c r="M326" s="4" t="s">
        <v>21</v>
      </c>
      <c r="N326" s="4">
        <f t="shared" ca="1" si="20"/>
        <v>0</v>
      </c>
      <c r="O326" s="4" t="str">
        <f t="shared" ca="1" si="21"/>
        <v>Vencido</v>
      </c>
      <c r="P326" s="4" t="s">
        <v>534</v>
      </c>
      <c r="Q326" s="9" t="b">
        <v>0</v>
      </c>
      <c r="R326" s="11" t="e">
        <f>IF(OR(Q326="", L326=""), "", NETWORKDAYS(L326, Q326, FESTIVOS!A325:A379))</f>
        <v>#VALUE!</v>
      </c>
    </row>
    <row r="327" spans="1:18" x14ac:dyDescent="0.25">
      <c r="A327" s="8" t="s">
        <v>16</v>
      </c>
      <c r="B327" s="7" t="s">
        <v>131</v>
      </c>
      <c r="C327" s="4" t="s">
        <v>84</v>
      </c>
      <c r="D327" s="4" t="s">
        <v>85</v>
      </c>
      <c r="E327" s="4">
        <v>326</v>
      </c>
      <c r="F327" s="9">
        <v>46080</v>
      </c>
      <c r="G327" s="9" t="b">
        <v>0</v>
      </c>
      <c r="H327" s="4" t="b">
        <v>0</v>
      </c>
      <c r="I327" s="28" t="s">
        <v>20</v>
      </c>
      <c r="J327" s="4">
        <f t="shared" si="19"/>
        <v>15</v>
      </c>
      <c r="K327" s="4">
        <f ca="1">IF(AND(F327&lt;&gt;"", L327&lt;&gt;""), NETWORKDAYS(TODAY(), L327-1, FESTIVOS!A$1:A$55), "")</f>
        <v>-59</v>
      </c>
      <c r="L327" s="9">
        <f>IF(AND(F327&lt;&gt;"", J327&lt;&gt;""), WORKDAY(F327, J327, FESTIVOS!A$1:A$55), "")</f>
        <v>46101</v>
      </c>
      <c r="M327" s="4" t="s">
        <v>21</v>
      </c>
      <c r="N327" s="4">
        <f t="shared" ca="1" si="20"/>
        <v>0</v>
      </c>
      <c r="O327" s="4" t="str">
        <f t="shared" ca="1" si="21"/>
        <v>Vencido</v>
      </c>
      <c r="P327" s="4" t="s">
        <v>529</v>
      </c>
      <c r="Q327" s="9" t="b">
        <v>0</v>
      </c>
      <c r="R327" s="11" t="e">
        <f>IF(OR(Q327="", L327=""), "", NETWORKDAYS(L327, Q327, FESTIVOS!A326:A380))</f>
        <v>#VALUE!</v>
      </c>
    </row>
    <row r="328" spans="1:18" x14ac:dyDescent="0.25">
      <c r="A328" s="8" t="s">
        <v>16</v>
      </c>
      <c r="B328" s="7" t="s">
        <v>68</v>
      </c>
      <c r="C328" s="4" t="s">
        <v>186</v>
      </c>
      <c r="D328" s="4" t="s">
        <v>535</v>
      </c>
      <c r="E328" s="4">
        <v>327</v>
      </c>
      <c r="F328" s="9">
        <v>46080</v>
      </c>
      <c r="G328" s="9" t="b">
        <v>0</v>
      </c>
      <c r="H328" s="4" t="b">
        <v>0</v>
      </c>
      <c r="I328" s="28" t="s">
        <v>20</v>
      </c>
      <c r="J328" s="4">
        <f t="shared" si="19"/>
        <v>15</v>
      </c>
      <c r="K328" s="4">
        <f ca="1">IF(AND(F328&lt;&gt;"", L328&lt;&gt;""), NETWORKDAYS(TODAY(), L328-1, FESTIVOS!A$1:A$55), "")</f>
        <v>-59</v>
      </c>
      <c r="L328" s="9">
        <f>IF(AND(F328&lt;&gt;"", J328&lt;&gt;""), WORKDAY(F328, J328, FESTIVOS!A$1:A$55), "")</f>
        <v>46101</v>
      </c>
      <c r="M328" s="4" t="s">
        <v>21</v>
      </c>
      <c r="N328" s="4">
        <f t="shared" ca="1" si="20"/>
        <v>0</v>
      </c>
      <c r="O328" s="4" t="str">
        <f t="shared" ca="1" si="21"/>
        <v>Vencido</v>
      </c>
      <c r="P328" s="4" t="s">
        <v>37</v>
      </c>
      <c r="Q328" s="9" t="b">
        <v>0</v>
      </c>
      <c r="R328" s="10" t="e">
        <f>IF(OR(Q328="", L328=""), "", NETWORKDAYS(L328, Q328, FESTIVOS!A327:A381))</f>
        <v>#VALUE!</v>
      </c>
    </row>
    <row r="329" spans="1:18" x14ac:dyDescent="0.25">
      <c r="A329" s="8" t="s">
        <v>16</v>
      </c>
      <c r="B329" s="7" t="s">
        <v>370</v>
      </c>
      <c r="C329" s="4" t="s">
        <v>42</v>
      </c>
      <c r="D329" s="4" t="s">
        <v>536</v>
      </c>
      <c r="E329" s="4">
        <v>328</v>
      </c>
      <c r="F329" s="9">
        <v>46080</v>
      </c>
      <c r="G329" s="9" t="b">
        <v>0</v>
      </c>
      <c r="H329" s="4" t="b">
        <v>0</v>
      </c>
      <c r="I329" s="28" t="s">
        <v>66</v>
      </c>
      <c r="J329" s="4">
        <f t="shared" si="19"/>
        <v>15</v>
      </c>
      <c r="K329" s="4">
        <f ca="1">IF(AND(F329&lt;&gt;"", L329&lt;&gt;""), NETWORKDAYS(TODAY(), L329-1, FESTIVOS!A$1:A$55), "")</f>
        <v>-59</v>
      </c>
      <c r="L329" s="9">
        <f>IF(AND(F329&lt;&gt;"", J329&lt;&gt;""), WORKDAY(F329, J329, FESTIVOS!A$1:A$55), "")</f>
        <v>46101</v>
      </c>
      <c r="M329" s="4" t="s">
        <v>21</v>
      </c>
      <c r="N329" s="4">
        <f t="shared" ca="1" si="20"/>
        <v>0</v>
      </c>
      <c r="O329" s="4" t="str">
        <f t="shared" ca="1" si="21"/>
        <v>Vencido</v>
      </c>
      <c r="P329" s="4" t="b">
        <v>0</v>
      </c>
      <c r="Q329" s="9" t="b">
        <v>0</v>
      </c>
      <c r="R329" s="10" t="e">
        <f>IF(OR(Q329="", L329=""), "", NETWORKDAYS(L329, Q329, FESTIVOS!A328:A382))</f>
        <v>#VALUE!</v>
      </c>
    </row>
    <row r="330" spans="1:18" x14ac:dyDescent="0.25">
      <c r="A330" s="8" t="s">
        <v>16</v>
      </c>
      <c r="B330" s="7" t="s">
        <v>401</v>
      </c>
      <c r="C330" s="4" t="s">
        <v>90</v>
      </c>
      <c r="D330" s="4" t="s">
        <v>537</v>
      </c>
      <c r="E330" s="4">
        <v>329</v>
      </c>
      <c r="F330" s="9">
        <v>46083</v>
      </c>
      <c r="G330" s="9" t="b">
        <v>0</v>
      </c>
      <c r="H330" s="4" t="b">
        <v>0</v>
      </c>
      <c r="I330" s="28" t="s">
        <v>20</v>
      </c>
      <c r="J330" s="4">
        <f t="shared" si="19"/>
        <v>15</v>
      </c>
      <c r="K330" s="4">
        <f ca="1">IF(AND(F330&lt;&gt;"", L330&lt;&gt;""), NETWORKDAYS(TODAY(), L330-1, FESTIVOS!A$1:A$55), "")</f>
        <v>-57</v>
      </c>
      <c r="L330" s="9">
        <f>IF(AND(F330&lt;&gt;"", J330&lt;&gt;""), WORKDAY(F330, J330, FESTIVOS!A$1:A$55), "")</f>
        <v>46105</v>
      </c>
      <c r="M330" s="4" t="s">
        <v>21</v>
      </c>
      <c r="N330" s="4">
        <f t="shared" ca="1" si="20"/>
        <v>0</v>
      </c>
      <c r="O330" s="4" t="str">
        <f t="shared" ca="1" si="21"/>
        <v>Vencido</v>
      </c>
      <c r="P330" s="4" t="s">
        <v>538</v>
      </c>
      <c r="Q330" s="9">
        <v>46097</v>
      </c>
      <c r="R330" s="10">
        <f>IF(OR(Q330="", L330=""), "", NETWORKDAYS(L330, Q330, FESTIVOS!A329:A383))</f>
        <v>-7</v>
      </c>
    </row>
    <row r="331" spans="1:18" x14ac:dyDescent="0.25">
      <c r="A331" s="8" t="s">
        <v>16</v>
      </c>
      <c r="B331" s="7" t="s">
        <v>539</v>
      </c>
      <c r="C331" s="4" t="s">
        <v>46</v>
      </c>
      <c r="D331" s="4" t="s">
        <v>135</v>
      </c>
      <c r="E331" s="4">
        <v>330</v>
      </c>
      <c r="F331" s="9">
        <v>46083</v>
      </c>
      <c r="G331" s="9" t="b">
        <v>0</v>
      </c>
      <c r="H331" s="4" t="b">
        <v>0</v>
      </c>
      <c r="I331" s="28" t="s">
        <v>66</v>
      </c>
      <c r="J331" s="4">
        <f t="shared" si="19"/>
        <v>15</v>
      </c>
      <c r="K331" s="4">
        <f ca="1">IF(AND(F331&lt;&gt;"", L331&lt;&gt;""), NETWORKDAYS(TODAY(), L331-1, FESTIVOS!A$1:A$55), "")</f>
        <v>-57</v>
      </c>
      <c r="L331" s="9">
        <f>IF(AND(F331&lt;&gt;"", J331&lt;&gt;""), WORKDAY(F331, J331, FESTIVOS!A$1:A$55), "")</f>
        <v>46105</v>
      </c>
      <c r="M331" s="4" t="s">
        <v>21</v>
      </c>
      <c r="N331" s="4">
        <f t="shared" ca="1" si="20"/>
        <v>0</v>
      </c>
      <c r="O331" s="4" t="str">
        <f t="shared" ca="1" si="21"/>
        <v>Vencido</v>
      </c>
      <c r="P331" s="4" t="s">
        <v>540</v>
      </c>
      <c r="Q331" s="9">
        <v>46092</v>
      </c>
      <c r="R331" s="10">
        <f>IF(OR(Q331="", L331=""), "", NETWORKDAYS(L331, Q331, FESTIVOS!A330:A384))</f>
        <v>-10</v>
      </c>
    </row>
    <row r="332" spans="1:18" x14ac:dyDescent="0.25">
      <c r="A332" s="8" t="s">
        <v>16</v>
      </c>
      <c r="B332" s="7" t="s">
        <v>541</v>
      </c>
      <c r="C332" s="4" t="s">
        <v>46</v>
      </c>
      <c r="D332" s="4" t="s">
        <v>26</v>
      </c>
      <c r="E332" s="4">
        <v>331</v>
      </c>
      <c r="F332" s="9">
        <v>46083</v>
      </c>
      <c r="G332" s="9" t="b">
        <v>0</v>
      </c>
      <c r="H332" s="4" t="b">
        <v>0</v>
      </c>
      <c r="I332" s="28" t="s">
        <v>20</v>
      </c>
      <c r="J332" s="4">
        <f t="shared" si="19"/>
        <v>15</v>
      </c>
      <c r="K332" s="4">
        <f ca="1">IF(AND(F332&lt;&gt;"", L332&lt;&gt;""), NETWORKDAYS(TODAY(), L332-1, FESTIVOS!A$1:A$55), "")</f>
        <v>-57</v>
      </c>
      <c r="L332" s="9">
        <f>IF(AND(F332&lt;&gt;"", J332&lt;&gt;""), WORKDAY(F332, J332, FESTIVOS!A$1:A$55), "")</f>
        <v>46105</v>
      </c>
      <c r="M332" s="4" t="s">
        <v>21</v>
      </c>
      <c r="N332" s="4">
        <f t="shared" ca="1" si="20"/>
        <v>0</v>
      </c>
      <c r="O332" s="4" t="str">
        <f t="shared" ca="1" si="21"/>
        <v>Vencido</v>
      </c>
      <c r="P332" s="4" t="s">
        <v>542</v>
      </c>
      <c r="Q332" s="9">
        <v>11</v>
      </c>
      <c r="R332" s="10">
        <f>IF(OR(Q332="", L332=""), "", NETWORKDAYS(L332, Q332, FESTIVOS!A331:A385))</f>
        <v>-32925</v>
      </c>
    </row>
    <row r="333" spans="1:18" x14ac:dyDescent="0.25">
      <c r="A333" s="8" t="s">
        <v>16</v>
      </c>
      <c r="B333" s="7" t="s">
        <v>543</v>
      </c>
      <c r="C333" s="4" t="s">
        <v>90</v>
      </c>
      <c r="D333" s="4" t="s">
        <v>544</v>
      </c>
      <c r="E333" s="4">
        <v>332</v>
      </c>
      <c r="F333" s="9">
        <v>46083</v>
      </c>
      <c r="G333" s="9" t="b">
        <v>0</v>
      </c>
      <c r="H333" s="4" t="b">
        <v>0</v>
      </c>
      <c r="I333" s="28" t="s">
        <v>20</v>
      </c>
      <c r="J333" s="4">
        <f t="shared" si="19"/>
        <v>15</v>
      </c>
      <c r="K333" s="4">
        <f ca="1">IF(AND(F333&lt;&gt;"", L333&lt;&gt;""), NETWORKDAYS(TODAY(), L333-1, FESTIVOS!A$1:A$55), "")</f>
        <v>-57</v>
      </c>
      <c r="L333" s="9">
        <f>IF(AND(F333&lt;&gt;"", J333&lt;&gt;""), WORKDAY(F333, J333, FESTIVOS!A$1:A$55), "")</f>
        <v>46105</v>
      </c>
      <c r="M333" s="4" t="s">
        <v>21</v>
      </c>
      <c r="N333" s="4">
        <f t="shared" ca="1" si="20"/>
        <v>0</v>
      </c>
      <c r="O333" s="4" t="str">
        <f t="shared" ca="1" si="21"/>
        <v>Vencido</v>
      </c>
      <c r="P333" s="4" t="s">
        <v>37</v>
      </c>
      <c r="Q333" s="9" t="b">
        <v>0</v>
      </c>
      <c r="R333" s="10" t="b">
        <v>0</v>
      </c>
    </row>
    <row r="334" spans="1:18" x14ac:dyDescent="0.25">
      <c r="A334" s="8" t="s">
        <v>16</v>
      </c>
      <c r="B334" s="7" t="s">
        <v>545</v>
      </c>
      <c r="C334" s="4" t="s">
        <v>46</v>
      </c>
      <c r="D334" s="4" t="s">
        <v>546</v>
      </c>
      <c r="E334" s="4">
        <v>333</v>
      </c>
      <c r="F334" s="9">
        <v>46083</v>
      </c>
      <c r="G334" s="9" t="b">
        <v>0</v>
      </c>
      <c r="H334" s="4" t="b">
        <v>0</v>
      </c>
      <c r="I334" s="28" t="s">
        <v>20</v>
      </c>
      <c r="J334" s="4">
        <f t="shared" si="19"/>
        <v>15</v>
      </c>
      <c r="K334" s="4">
        <f ca="1">IF(AND(F334&lt;&gt;"", L334&lt;&gt;""), NETWORKDAYS(TODAY(), L334-1, FESTIVOS!A$1:A$55), "")</f>
        <v>-57</v>
      </c>
      <c r="L334" s="9">
        <f>IF(AND(F334&lt;&gt;"", J334&lt;&gt;""), WORKDAY(F334, J334, FESTIVOS!A$1:A$55), "")</f>
        <v>46105</v>
      </c>
      <c r="M334" s="4" t="s">
        <v>21</v>
      </c>
      <c r="N334" s="4">
        <f t="shared" ca="1" si="20"/>
        <v>0</v>
      </c>
      <c r="O334" s="4" t="str">
        <f t="shared" ca="1" si="21"/>
        <v>Vencido</v>
      </c>
      <c r="P334" s="4" t="s">
        <v>547</v>
      </c>
      <c r="Q334" s="9">
        <v>46097</v>
      </c>
      <c r="R334" s="10">
        <f>IF(OR(Q334="", L334=""), "", NETWORKDAYS(L334, Q334, FESTIVOS!A333:A387))</f>
        <v>-7</v>
      </c>
    </row>
    <row r="335" spans="1:18" x14ac:dyDescent="0.25">
      <c r="A335" s="8" t="s">
        <v>16</v>
      </c>
      <c r="B335" s="7" t="s">
        <v>548</v>
      </c>
      <c r="C335" s="4" t="s">
        <v>292</v>
      </c>
      <c r="D335" s="4" t="s">
        <v>549</v>
      </c>
      <c r="E335" s="4">
        <v>334</v>
      </c>
      <c r="F335" s="9">
        <v>46083</v>
      </c>
      <c r="G335" s="9" t="b">
        <v>0</v>
      </c>
      <c r="H335" s="4" t="b">
        <v>0</v>
      </c>
      <c r="I335" s="28" t="s">
        <v>20</v>
      </c>
      <c r="J335" s="4">
        <f t="shared" si="19"/>
        <v>15</v>
      </c>
      <c r="K335" s="4">
        <f ca="1">IF(AND(F335&lt;&gt;"", L335&lt;&gt;""), NETWORKDAYS(TODAY(), L335-1, FESTIVOS!A$1:A$55), "")</f>
        <v>-57</v>
      </c>
      <c r="L335" s="9">
        <f>IF(AND(F335&lt;&gt;"", J335&lt;&gt;""), WORKDAY(F335, J335, FESTIVOS!A$1:A$55), "")</f>
        <v>46105</v>
      </c>
      <c r="M335" s="4" t="s">
        <v>21</v>
      </c>
      <c r="N335" s="4">
        <f t="shared" ca="1" si="20"/>
        <v>0</v>
      </c>
      <c r="O335" s="4" t="str">
        <f t="shared" ca="1" si="21"/>
        <v>Vencido</v>
      </c>
      <c r="P335" s="4" t="s">
        <v>550</v>
      </c>
      <c r="Q335" s="9">
        <v>46086</v>
      </c>
      <c r="R335" s="10">
        <f>IF(OR(Q335="", L335=""), "", NETWORKDAYS(L335, Q335, FESTIVOS!A334:A388))</f>
        <v>-14</v>
      </c>
    </row>
    <row r="336" spans="1:18" ht="27.6" customHeight="1" x14ac:dyDescent="0.25">
      <c r="A336" s="8" t="s">
        <v>16</v>
      </c>
      <c r="B336" s="7" t="s">
        <v>551</v>
      </c>
      <c r="C336" s="4" t="s">
        <v>46</v>
      </c>
      <c r="D336" s="4" t="s">
        <v>552</v>
      </c>
      <c r="E336" s="4">
        <v>335</v>
      </c>
      <c r="F336" s="9">
        <v>46084</v>
      </c>
      <c r="G336" s="9" t="b">
        <v>0</v>
      </c>
      <c r="H336" s="4" t="b">
        <v>0</v>
      </c>
      <c r="I336" s="28" t="s">
        <v>20</v>
      </c>
      <c r="J336" s="4">
        <f t="shared" si="19"/>
        <v>15</v>
      </c>
      <c r="K336" s="4">
        <f ca="1">IF(AND(F336&lt;&gt;"", L336&lt;&gt;""), NETWORKDAYS(TODAY(), L336-1, FESTIVOS!A$1:A$55), "")</f>
        <v>-57</v>
      </c>
      <c r="L336" s="9">
        <f>IF(AND(F336&lt;&gt;"", J336&lt;&gt;""), WORKDAY(F336, J336, FESTIVOS!A$1:A$55), "")</f>
        <v>46106</v>
      </c>
      <c r="M336" s="4" t="s">
        <v>21</v>
      </c>
      <c r="N336" s="4">
        <f t="shared" ca="1" si="20"/>
        <v>0</v>
      </c>
      <c r="O336" s="4" t="str">
        <f t="shared" ca="1" si="21"/>
        <v>Vencido</v>
      </c>
      <c r="P336" s="4" t="s">
        <v>37</v>
      </c>
      <c r="Q336" s="9" t="b">
        <v>0</v>
      </c>
      <c r="R336" s="10" t="e">
        <f>IF(OR(Q336="", L336=""), "", NETWORKDAYS(L336, Q336, FESTIVOS!A335:A389))</f>
        <v>#VALUE!</v>
      </c>
    </row>
    <row r="337" spans="1:18" x14ac:dyDescent="0.25">
      <c r="A337" s="8" t="s">
        <v>16</v>
      </c>
      <c r="B337" s="7" t="s">
        <v>553</v>
      </c>
      <c r="C337" s="4" t="s">
        <v>46</v>
      </c>
      <c r="D337" s="4" t="s">
        <v>554</v>
      </c>
      <c r="E337" s="4">
        <v>336</v>
      </c>
      <c r="F337" s="9">
        <v>46084</v>
      </c>
      <c r="G337" s="9" t="b">
        <v>0</v>
      </c>
      <c r="H337" s="4" t="b">
        <v>0</v>
      </c>
      <c r="I337" s="28"/>
      <c r="J337" s="4">
        <f t="shared" si="19"/>
        <v>15</v>
      </c>
      <c r="K337" s="4">
        <f ca="1">IF(AND(F337&lt;&gt;"", L337&lt;&gt;""), NETWORKDAYS(TODAY(), L337-1, FESTIVOS!A$1:A$55), "")</f>
        <v>-57</v>
      </c>
      <c r="L337" s="9">
        <f>IF(AND(F337&lt;&gt;"", J337&lt;&gt;""), WORKDAY(F337, J337, FESTIVOS!A$1:A$55), "")</f>
        <v>46106</v>
      </c>
      <c r="M337" s="4" t="s">
        <v>21</v>
      </c>
      <c r="N337" s="4">
        <f t="shared" ca="1" si="20"/>
        <v>0</v>
      </c>
      <c r="O337" s="4" t="str">
        <f t="shared" ca="1" si="21"/>
        <v>Vencido</v>
      </c>
      <c r="P337" s="4" t="s">
        <v>555</v>
      </c>
      <c r="Q337" s="9">
        <v>46097</v>
      </c>
      <c r="R337" s="10">
        <f>IF(OR(Q337="", L337=""), "", NETWORKDAYS(L337, Q337, FESTIVOS!A336:A390))</f>
        <v>-8</v>
      </c>
    </row>
    <row r="338" spans="1:18" x14ac:dyDescent="0.25">
      <c r="A338" s="8" t="s">
        <v>16</v>
      </c>
      <c r="B338" s="7" t="s">
        <v>556</v>
      </c>
      <c r="C338" s="4" t="s">
        <v>46</v>
      </c>
      <c r="D338" s="4" t="s">
        <v>557</v>
      </c>
      <c r="E338" s="4">
        <v>337</v>
      </c>
      <c r="F338" s="9">
        <v>46084</v>
      </c>
      <c r="G338" s="9" t="b">
        <v>0</v>
      </c>
      <c r="H338" s="4" t="b">
        <v>0</v>
      </c>
      <c r="I338" s="28" t="s">
        <v>20</v>
      </c>
      <c r="J338" s="4">
        <f t="shared" si="19"/>
        <v>15</v>
      </c>
      <c r="K338" s="4">
        <f ca="1">IF(AND(F338&lt;&gt;"", L338&lt;&gt;""), NETWORKDAYS(TODAY(), L338-1, FESTIVOS!A$1:A$55), "")</f>
        <v>-57</v>
      </c>
      <c r="L338" s="9">
        <f>IF(AND(F338&lt;&gt;"", J338&lt;&gt;""), WORKDAY(F338, J338, FESTIVOS!A$1:A$55), "")</f>
        <v>46106</v>
      </c>
      <c r="M338" s="4" t="s">
        <v>21</v>
      </c>
      <c r="N338" s="4">
        <f t="shared" ca="1" si="20"/>
        <v>0</v>
      </c>
      <c r="O338" s="4" t="str">
        <f t="shared" ca="1" si="21"/>
        <v>Vencido</v>
      </c>
      <c r="P338" s="4" t="s">
        <v>558</v>
      </c>
      <c r="Q338" s="9">
        <v>46097</v>
      </c>
      <c r="R338" s="10">
        <f>IF(OR(Q338="", L338=""), "", NETWORKDAYS(L338, Q338, FESTIVOS!A337:A391))</f>
        <v>-8</v>
      </c>
    </row>
    <row r="339" spans="1:18" x14ac:dyDescent="0.25">
      <c r="A339" s="8" t="s">
        <v>16</v>
      </c>
      <c r="B339" s="7" t="s">
        <v>559</v>
      </c>
      <c r="C339" s="4" t="s">
        <v>42</v>
      </c>
      <c r="D339" s="4" t="s">
        <v>560</v>
      </c>
      <c r="E339" s="4">
        <v>338</v>
      </c>
      <c r="F339" s="9">
        <v>46084</v>
      </c>
      <c r="G339" s="9" t="b">
        <v>0</v>
      </c>
      <c r="H339" s="4" t="b">
        <v>0</v>
      </c>
      <c r="I339" s="28" t="s">
        <v>44</v>
      </c>
      <c r="J339" s="4">
        <f t="shared" si="19"/>
        <v>15</v>
      </c>
      <c r="K339" s="4">
        <f ca="1">IF(AND(F339&lt;&gt;"", L339&lt;&gt;""), NETWORKDAYS(TODAY(), L339-1, FESTIVOS!A$1:A$55), "")</f>
        <v>-57</v>
      </c>
      <c r="L339" s="9">
        <f>IF(AND(F339&lt;&gt;"", J339&lt;&gt;""), WORKDAY(F339, J339, FESTIVOS!A$1:A$55), "")</f>
        <v>46106</v>
      </c>
      <c r="M339" s="4" t="s">
        <v>21</v>
      </c>
      <c r="N339" s="4">
        <f t="shared" ca="1" si="20"/>
        <v>0</v>
      </c>
      <c r="O339" s="4" t="str">
        <f t="shared" ca="1" si="21"/>
        <v>Vencido</v>
      </c>
      <c r="P339" s="4" t="s">
        <v>37</v>
      </c>
      <c r="Q339" s="9" t="b">
        <v>0</v>
      </c>
      <c r="R339" s="10" t="e">
        <f>IF(OR(Q339="", L339=""), "", NETWORKDAYS(L339, Q339, FESTIVOS!A338:A392))</f>
        <v>#VALUE!</v>
      </c>
    </row>
    <row r="340" spans="1:18" x14ac:dyDescent="0.25">
      <c r="A340" s="8" t="s">
        <v>16</v>
      </c>
      <c r="B340" s="7" t="s">
        <v>561</v>
      </c>
      <c r="C340" s="4" t="s">
        <v>46</v>
      </c>
      <c r="D340" s="4" t="s">
        <v>120</v>
      </c>
      <c r="E340" s="4">
        <v>339</v>
      </c>
      <c r="F340" s="9">
        <v>46084</v>
      </c>
      <c r="G340" s="9" t="b">
        <v>0</v>
      </c>
      <c r="H340" s="4" t="b">
        <v>0</v>
      </c>
      <c r="I340" s="28" t="s">
        <v>20</v>
      </c>
      <c r="J340" s="4">
        <f t="shared" si="19"/>
        <v>15</v>
      </c>
      <c r="K340" s="4">
        <f ca="1">IF(AND(F340&lt;&gt;"", L340&lt;&gt;""), NETWORKDAYS(TODAY(), L340-1, FESTIVOS!A$1:A$55), "")</f>
        <v>-57</v>
      </c>
      <c r="L340" s="9">
        <f>IF(AND(F340&lt;&gt;"", J340&lt;&gt;""), WORKDAY(F340, J340, FESTIVOS!A$1:A$55), "")</f>
        <v>46106</v>
      </c>
      <c r="M340" s="4" t="s">
        <v>21</v>
      </c>
      <c r="N340" s="4">
        <f t="shared" ca="1" si="20"/>
        <v>0</v>
      </c>
      <c r="O340" s="4" t="str">
        <f t="shared" ca="1" si="21"/>
        <v>Vencido</v>
      </c>
      <c r="P340" s="4" t="s">
        <v>562</v>
      </c>
      <c r="Q340" s="9">
        <v>46097</v>
      </c>
      <c r="R340" s="10">
        <f>IF(OR(Q340="", L340=""), "", NETWORKDAYS(L340, Q340, FESTIVOS!A339:A393))</f>
        <v>-8</v>
      </c>
    </row>
    <row r="341" spans="1:18" x14ac:dyDescent="0.25">
      <c r="A341" s="8" t="s">
        <v>16</v>
      </c>
      <c r="B341" s="7" t="s">
        <v>563</v>
      </c>
      <c r="C341" s="4" t="s">
        <v>46</v>
      </c>
      <c r="D341" s="4" t="s">
        <v>564</v>
      </c>
      <c r="E341" s="4">
        <v>340</v>
      </c>
      <c r="F341" s="9">
        <v>46084</v>
      </c>
      <c r="G341" s="9" t="b">
        <v>0</v>
      </c>
      <c r="H341" s="4" t="b">
        <v>0</v>
      </c>
      <c r="I341" s="28" t="s">
        <v>20</v>
      </c>
      <c r="J341" s="4">
        <f t="shared" si="19"/>
        <v>15</v>
      </c>
      <c r="K341" s="4">
        <f ca="1">IF(AND(F341&lt;&gt;"", L341&lt;&gt;""), NETWORKDAYS(TODAY(), L341-1, FESTIVOS!A$1:A$55), "")</f>
        <v>-57</v>
      </c>
      <c r="L341" s="9">
        <f>IF(AND(F341&lt;&gt;"", J341&lt;&gt;""), WORKDAY(F341, J341, FESTIVOS!A$1:A$55), "")</f>
        <v>46106</v>
      </c>
      <c r="M341" s="4" t="s">
        <v>21</v>
      </c>
      <c r="N341" s="4">
        <f t="shared" ca="1" si="20"/>
        <v>0</v>
      </c>
      <c r="O341" s="4" t="str">
        <f t="shared" ca="1" si="21"/>
        <v>Vencido</v>
      </c>
      <c r="P341" s="4" t="s">
        <v>565</v>
      </c>
      <c r="Q341" s="9">
        <v>46106</v>
      </c>
      <c r="R341" s="10">
        <f>IF(OR(Q341="", L341=""), "", NETWORKDAYS(L341, Q341, FESTIVOS!A340:A394))</f>
        <v>1</v>
      </c>
    </row>
    <row r="342" spans="1:18" x14ac:dyDescent="0.25">
      <c r="A342" s="8" t="s">
        <v>16</v>
      </c>
      <c r="B342" s="7" t="s">
        <v>566</v>
      </c>
      <c r="C342" s="4" t="s">
        <v>46</v>
      </c>
      <c r="D342" s="4" t="s">
        <v>567</v>
      </c>
      <c r="E342" s="4">
        <v>341</v>
      </c>
      <c r="F342" s="9">
        <v>46084</v>
      </c>
      <c r="G342" s="9" t="b">
        <v>0</v>
      </c>
      <c r="H342" s="4" t="b">
        <v>0</v>
      </c>
      <c r="I342" s="28" t="s">
        <v>20</v>
      </c>
      <c r="J342" s="4">
        <f t="shared" si="19"/>
        <v>15</v>
      </c>
      <c r="K342" s="4">
        <f ca="1">IF(AND(F342&lt;&gt;"", L342&lt;&gt;""), NETWORKDAYS(TODAY(), L342-1, FESTIVOS!A$1:A$55), "")</f>
        <v>-57</v>
      </c>
      <c r="L342" s="9">
        <f>IF(AND(F342&lt;&gt;"", J342&lt;&gt;""), WORKDAY(F342, J342, FESTIVOS!A$1:A$55), "")</f>
        <v>46106</v>
      </c>
      <c r="M342" s="4" t="s">
        <v>21</v>
      </c>
      <c r="N342" s="4">
        <f t="shared" ca="1" si="20"/>
        <v>0</v>
      </c>
      <c r="O342" s="4" t="str">
        <f t="shared" ca="1" si="21"/>
        <v>Vencido</v>
      </c>
      <c r="P342" s="4" t="s">
        <v>568</v>
      </c>
      <c r="Q342" s="9">
        <v>46097</v>
      </c>
      <c r="R342" s="10">
        <f>IF(OR(Q342="", L342=""), "", NETWORKDAYS(L342, Q342, FESTIVOS!A341:A395))</f>
        <v>-8</v>
      </c>
    </row>
    <row r="343" spans="1:18" x14ac:dyDescent="0.25">
      <c r="A343" s="8" t="s">
        <v>16</v>
      </c>
      <c r="B343" s="7" t="s">
        <v>569</v>
      </c>
      <c r="C343" s="4" t="s">
        <v>46</v>
      </c>
      <c r="D343" s="4" t="s">
        <v>570</v>
      </c>
      <c r="E343" s="4">
        <v>342</v>
      </c>
      <c r="F343" s="9">
        <v>46084</v>
      </c>
      <c r="G343" s="9" t="b">
        <v>0</v>
      </c>
      <c r="H343" s="4" t="b">
        <v>0</v>
      </c>
      <c r="I343" s="28" t="s">
        <v>20</v>
      </c>
      <c r="J343" s="4">
        <f t="shared" si="19"/>
        <v>15</v>
      </c>
      <c r="K343" s="4">
        <f ca="1">IF(AND(F343&lt;&gt;"", L343&lt;&gt;""), NETWORKDAYS(TODAY(), L343-1, FESTIVOS!A$1:A$55), "")</f>
        <v>-57</v>
      </c>
      <c r="L343" s="9">
        <f>IF(AND(F343&lt;&gt;"", J343&lt;&gt;""), WORKDAY(F343, J343, FESTIVOS!A$1:A$55), "")</f>
        <v>46106</v>
      </c>
      <c r="M343" s="4" t="s">
        <v>21</v>
      </c>
      <c r="N343" s="4">
        <f t="shared" ca="1" si="20"/>
        <v>0</v>
      </c>
      <c r="O343" s="4" t="str">
        <f t="shared" ca="1" si="21"/>
        <v>Vencido</v>
      </c>
      <c r="P343" s="4" t="s">
        <v>571</v>
      </c>
      <c r="Q343" s="9">
        <v>46097</v>
      </c>
      <c r="R343" s="10">
        <f>IF(OR(Q343="", L343=""), "", NETWORKDAYS(L343, Q343, FESTIVOS!A342:A396))</f>
        <v>-8</v>
      </c>
    </row>
    <row r="344" spans="1:18" x14ac:dyDescent="0.25">
      <c r="A344" s="8" t="s">
        <v>16</v>
      </c>
      <c r="B344" s="7" t="s">
        <v>362</v>
      </c>
      <c r="C344" s="4" t="s">
        <v>90</v>
      </c>
      <c r="D344" s="4" t="s">
        <v>572</v>
      </c>
      <c r="E344" s="4">
        <v>343</v>
      </c>
      <c r="F344" s="9">
        <v>46084</v>
      </c>
      <c r="G344" s="9" t="b">
        <v>0</v>
      </c>
      <c r="H344" s="4" t="b">
        <v>0</v>
      </c>
      <c r="I344" s="28" t="s">
        <v>20</v>
      </c>
      <c r="J344" s="4">
        <f t="shared" si="19"/>
        <v>15</v>
      </c>
      <c r="K344" s="4">
        <f ca="1">IF(AND(F344&lt;&gt;"", L344&lt;&gt;""), NETWORKDAYS(TODAY(), L344-1, FESTIVOS!A$1:A$55), "")</f>
        <v>-57</v>
      </c>
      <c r="L344" s="9">
        <f>IF(AND(F344&lt;&gt;"", J344&lt;&gt;""), WORKDAY(F344, J344, FESTIVOS!A$1:A$55), "")</f>
        <v>46106</v>
      </c>
      <c r="M344" s="4" t="s">
        <v>21</v>
      </c>
      <c r="N344" s="4">
        <f t="shared" ca="1" si="20"/>
        <v>0</v>
      </c>
      <c r="O344" s="4" t="str">
        <f t="shared" ca="1" si="21"/>
        <v>Vencido</v>
      </c>
      <c r="P344" s="4" t="s">
        <v>573</v>
      </c>
      <c r="Q344" s="9">
        <v>46100</v>
      </c>
      <c r="R344" s="10">
        <f>IF(OR(Q344="", L344=""), "", NETWORKDAYS(L344, Q344, FESTIVOS!A343:A397))</f>
        <v>-5</v>
      </c>
    </row>
    <row r="345" spans="1:18" x14ac:dyDescent="0.25">
      <c r="A345" s="8" t="s">
        <v>16</v>
      </c>
      <c r="B345" s="7" t="s">
        <v>574</v>
      </c>
      <c r="C345" s="4" t="s">
        <v>90</v>
      </c>
      <c r="D345" s="4" t="s">
        <v>575</v>
      </c>
      <c r="E345" s="4">
        <v>344</v>
      </c>
      <c r="F345" s="9">
        <v>46084</v>
      </c>
      <c r="G345" s="9" t="b">
        <v>0</v>
      </c>
      <c r="H345" s="4" t="b">
        <v>0</v>
      </c>
      <c r="I345" s="28" t="s">
        <v>20</v>
      </c>
      <c r="J345" s="4">
        <f t="shared" si="19"/>
        <v>15</v>
      </c>
      <c r="K345" s="4">
        <f ca="1">IF(AND(F345&lt;&gt;"", L345&lt;&gt;""), NETWORKDAYS(TODAY(), L345-1, FESTIVOS!A$1:A$55), "")</f>
        <v>-57</v>
      </c>
      <c r="L345" s="9">
        <f>IF(AND(F345&lt;&gt;"", J345&lt;&gt;""), WORKDAY(F345, J345, FESTIVOS!A$1:A$55), "")</f>
        <v>46106</v>
      </c>
      <c r="M345" s="4" t="s">
        <v>21</v>
      </c>
      <c r="N345" s="4">
        <f t="shared" ca="1" si="20"/>
        <v>0</v>
      </c>
      <c r="O345" s="4" t="str">
        <f t="shared" ca="1" si="21"/>
        <v>Vencido</v>
      </c>
      <c r="P345" s="4" t="s">
        <v>576</v>
      </c>
      <c r="Q345" s="9">
        <v>46091</v>
      </c>
      <c r="R345" s="10">
        <f>IF(OR(Q345="", L345=""), "", NETWORKDAYS(L345, Q345, FESTIVOS!A344:A398))</f>
        <v>-12</v>
      </c>
    </row>
    <row r="346" spans="1:18" x14ac:dyDescent="0.25">
      <c r="A346" s="8" t="s">
        <v>16</v>
      </c>
      <c r="B346" s="7" t="s">
        <v>577</v>
      </c>
      <c r="C346" s="4" t="s">
        <v>90</v>
      </c>
      <c r="D346" s="4" t="s">
        <v>578</v>
      </c>
      <c r="E346" s="4">
        <v>345</v>
      </c>
      <c r="F346" s="9">
        <v>46084</v>
      </c>
      <c r="G346" s="9" t="b">
        <v>0</v>
      </c>
      <c r="H346" s="4" t="b">
        <v>0</v>
      </c>
      <c r="I346" s="28" t="s">
        <v>20</v>
      </c>
      <c r="J346" s="4">
        <f t="shared" si="19"/>
        <v>15</v>
      </c>
      <c r="K346" s="4">
        <f ca="1">IF(AND(F346&lt;&gt;"", L346&lt;&gt;""), NETWORKDAYS(TODAY(), L346-1, FESTIVOS!A$1:A$55), "")</f>
        <v>-57</v>
      </c>
      <c r="L346" s="9">
        <f>IF(AND(F346&lt;&gt;"", J346&lt;&gt;""), WORKDAY(F346, J346, FESTIVOS!A$1:A$55), "")</f>
        <v>46106</v>
      </c>
      <c r="M346" s="4" t="s">
        <v>21</v>
      </c>
      <c r="N346" s="4">
        <f t="shared" ca="1" si="20"/>
        <v>0</v>
      </c>
      <c r="O346" s="4" t="str">
        <f t="shared" ca="1" si="21"/>
        <v>Vencido</v>
      </c>
      <c r="P346" s="4" t="s">
        <v>579</v>
      </c>
      <c r="Q346" s="9">
        <v>46097</v>
      </c>
      <c r="R346" s="10">
        <f>IF(OR(Q346="", L346=""), "", NETWORKDAYS(L346, Q346, FESTIVOS!A345:A399))</f>
        <v>-8</v>
      </c>
    </row>
    <row r="347" spans="1:18" x14ac:dyDescent="0.25">
      <c r="A347" s="8" t="s">
        <v>16</v>
      </c>
      <c r="B347" s="7" t="s">
        <v>580</v>
      </c>
      <c r="C347" s="4" t="s">
        <v>46</v>
      </c>
      <c r="D347" s="4" t="s">
        <v>39</v>
      </c>
      <c r="E347" s="4">
        <v>346</v>
      </c>
      <c r="F347" s="9">
        <v>46085</v>
      </c>
      <c r="G347" s="9" t="b">
        <v>0</v>
      </c>
      <c r="H347" s="4" t="b">
        <v>0</v>
      </c>
      <c r="I347" s="28" t="s">
        <v>20</v>
      </c>
      <c r="J347" s="4">
        <f t="shared" si="19"/>
        <v>15</v>
      </c>
      <c r="K347" s="4">
        <f ca="1">IF(AND(F347&lt;&gt;"", L347&lt;&gt;""), NETWORKDAYS(TODAY(), L347-1, FESTIVOS!A$1:A$55), "")</f>
        <v>-56</v>
      </c>
      <c r="L347" s="9">
        <f>IF(AND(F347&lt;&gt;"", J347&lt;&gt;""), WORKDAY(F347, J347, FESTIVOS!A$1:A$55), "")</f>
        <v>46107</v>
      </c>
      <c r="M347" s="4" t="s">
        <v>21</v>
      </c>
      <c r="N347" s="4">
        <f t="shared" ca="1" si="20"/>
        <v>0</v>
      </c>
      <c r="O347" s="4" t="str">
        <f ca="1">IF(OR(K347="", J347=""), "", IF(K347&lt;0, "Vencido", IF(K347&gt;(J347/2), "Supere la mitad", "Bajo la mitad")))</f>
        <v>Vencido</v>
      </c>
      <c r="P347" s="4" t="s">
        <v>581</v>
      </c>
      <c r="Q347" s="9">
        <v>46092</v>
      </c>
      <c r="R347" s="10">
        <f>IF(OR(Q347="", L347=""), "", NETWORKDAYS(L347, Q347, FESTIVOS!A346:A400))</f>
        <v>-12</v>
      </c>
    </row>
    <row r="348" spans="1:18" x14ac:dyDescent="0.25">
      <c r="A348" s="8" t="s">
        <v>16</v>
      </c>
      <c r="B348" s="7" t="s">
        <v>68</v>
      </c>
      <c r="C348" s="4" t="s">
        <v>186</v>
      </c>
      <c r="D348" s="4" t="s">
        <v>582</v>
      </c>
      <c r="E348" s="4">
        <v>347</v>
      </c>
      <c r="F348" s="9">
        <v>46085</v>
      </c>
      <c r="G348" s="9" t="b">
        <v>0</v>
      </c>
      <c r="H348" s="4" t="b">
        <v>0</v>
      </c>
      <c r="I348" s="28" t="s">
        <v>20</v>
      </c>
      <c r="J348" s="4">
        <f t="shared" si="19"/>
        <v>15</v>
      </c>
      <c r="K348" s="4">
        <f ca="1">IF(AND(F348&lt;&gt;"", L348&lt;&gt;""), NETWORKDAYS(TODAY(), L348-1, FESTIVOS!A$1:A$55), "")</f>
        <v>-56</v>
      </c>
      <c r="L348" s="9">
        <f>IF(AND(F348&lt;&gt;"", J348&lt;&gt;""), WORKDAY(F348, J348, FESTIVOS!A$1:A$55), "")</f>
        <v>46107</v>
      </c>
      <c r="M348" s="4" t="s">
        <v>21</v>
      </c>
      <c r="N348" s="4">
        <f t="shared" ca="1" si="20"/>
        <v>0</v>
      </c>
      <c r="O348" s="4" t="str">
        <f t="shared" ca="1" si="21"/>
        <v>Vencido</v>
      </c>
      <c r="P348" s="4" t="s">
        <v>37</v>
      </c>
      <c r="Q348" s="9" t="b">
        <v>0</v>
      </c>
      <c r="R348" s="10" t="b">
        <v>0</v>
      </c>
    </row>
    <row r="349" spans="1:18" x14ac:dyDescent="0.25">
      <c r="A349" s="8" t="s">
        <v>16</v>
      </c>
      <c r="B349" s="7" t="s">
        <v>583</v>
      </c>
      <c r="C349" s="4" t="s">
        <v>46</v>
      </c>
      <c r="D349" s="4" t="s">
        <v>584</v>
      </c>
      <c r="E349" s="4">
        <v>348</v>
      </c>
      <c r="F349" s="9">
        <v>46085</v>
      </c>
      <c r="G349" s="9" t="b">
        <v>0</v>
      </c>
      <c r="H349" s="4" t="b">
        <v>0</v>
      </c>
      <c r="I349" s="28" t="s">
        <v>20</v>
      </c>
      <c r="J349" s="4">
        <f t="shared" si="19"/>
        <v>15</v>
      </c>
      <c r="K349" s="4">
        <f ca="1">IF(AND(F349&lt;&gt;"", L349&lt;&gt;""), NETWORKDAYS(TODAY(), L349-1, FESTIVOS!A$1:A$55), "")</f>
        <v>-56</v>
      </c>
      <c r="L349" s="9">
        <f>IF(AND(F349&lt;&gt;"", J349&lt;&gt;""), WORKDAY(F349, J349, FESTIVOS!A$1:A$55), "")</f>
        <v>46107</v>
      </c>
      <c r="M349" s="4" t="s">
        <v>21</v>
      </c>
      <c r="N349" s="4">
        <f t="shared" ca="1" si="20"/>
        <v>0</v>
      </c>
      <c r="O349" s="4" t="str">
        <f t="shared" ca="1" si="21"/>
        <v>Vencido</v>
      </c>
      <c r="P349" s="4" t="s">
        <v>585</v>
      </c>
      <c r="Q349" s="9">
        <v>46097</v>
      </c>
      <c r="R349" s="10">
        <f>IF(OR(Q349="", L349=""), "", NETWORKDAYS(L349, Q349, FESTIVOS!A348:A402))</f>
        <v>-9</v>
      </c>
    </row>
    <row r="350" spans="1:18" x14ac:dyDescent="0.25">
      <c r="A350" s="8" t="s">
        <v>16</v>
      </c>
      <c r="B350" s="7" t="s">
        <v>586</v>
      </c>
      <c r="C350" s="4" t="s">
        <v>46</v>
      </c>
      <c r="D350" s="4" t="s">
        <v>135</v>
      </c>
      <c r="E350" s="4">
        <v>349</v>
      </c>
      <c r="F350" s="9">
        <v>46085</v>
      </c>
      <c r="G350" s="9" t="b">
        <v>0</v>
      </c>
      <c r="H350" s="4" t="b">
        <v>0</v>
      </c>
      <c r="I350" s="28" t="s">
        <v>66</v>
      </c>
      <c r="J350" s="4">
        <f t="shared" si="19"/>
        <v>15</v>
      </c>
      <c r="K350" s="4">
        <f ca="1">IF(AND(F350&lt;&gt;"", L350&lt;&gt;""), NETWORKDAYS(TODAY(), L350-1, FESTIVOS!A$1:A$55), "")</f>
        <v>-56</v>
      </c>
      <c r="L350" s="9">
        <f>IF(AND(F350&lt;&gt;"", J350&lt;&gt;""), WORKDAY(F350, J350, FESTIVOS!A$1:A$55), "")</f>
        <v>46107</v>
      </c>
      <c r="M350" s="4" t="s">
        <v>21</v>
      </c>
      <c r="N350" s="4">
        <f t="shared" ca="1" si="20"/>
        <v>0</v>
      </c>
      <c r="O350" s="4" t="str">
        <f t="shared" ca="1" si="21"/>
        <v>Vencido</v>
      </c>
      <c r="P350" s="4" t="s">
        <v>587</v>
      </c>
      <c r="Q350" s="9">
        <v>46092</v>
      </c>
      <c r="R350" s="10">
        <f>IF(OR(Q350="", L350=""), "", NETWORKDAYS(L350, Q350, FESTIVOS!A349:A403))</f>
        <v>-12</v>
      </c>
    </row>
    <row r="351" spans="1:18" x14ac:dyDescent="0.25">
      <c r="A351" s="8" t="s">
        <v>16</v>
      </c>
      <c r="B351" s="7" t="s">
        <v>588</v>
      </c>
      <c r="C351" s="4" t="s">
        <v>46</v>
      </c>
      <c r="D351" s="4" t="s">
        <v>324</v>
      </c>
      <c r="E351" s="4">
        <v>350</v>
      </c>
      <c r="F351" s="9">
        <v>46085</v>
      </c>
      <c r="G351" s="9" t="b">
        <v>0</v>
      </c>
      <c r="H351" s="4" t="b">
        <v>0</v>
      </c>
      <c r="I351" s="28" t="s">
        <v>20</v>
      </c>
      <c r="J351" s="4">
        <f t="shared" si="19"/>
        <v>15</v>
      </c>
      <c r="K351" s="4">
        <f ca="1">IF(AND(F351&lt;&gt;"", L351&lt;&gt;""), NETWORKDAYS(TODAY(), L351-1, FESTIVOS!A$1:A$55), "")</f>
        <v>-56</v>
      </c>
      <c r="L351" s="9">
        <f>IF(AND(F351&lt;&gt;"", J351&lt;&gt;""), WORKDAY(F351, J351, FESTIVOS!A$1:A$55), "")</f>
        <v>46107</v>
      </c>
      <c r="M351" s="4" t="s">
        <v>21</v>
      </c>
      <c r="N351" s="4">
        <f t="shared" ca="1" si="20"/>
        <v>0</v>
      </c>
      <c r="O351" s="4" t="str">
        <f t="shared" ca="1" si="21"/>
        <v>Vencido</v>
      </c>
      <c r="P351" s="4" t="s">
        <v>589</v>
      </c>
      <c r="Q351" s="9">
        <v>46098</v>
      </c>
      <c r="R351" s="10">
        <f>IF(OR(Q351="", L351=""), "", NETWORKDAYS(L351, Q351, FESTIVOS!A350:A404))</f>
        <v>-8</v>
      </c>
    </row>
    <row r="352" spans="1:18" x14ac:dyDescent="0.25">
      <c r="A352" s="8" t="s">
        <v>16</v>
      </c>
      <c r="B352" s="7" t="s">
        <v>68</v>
      </c>
      <c r="C352" s="4" t="s">
        <v>186</v>
      </c>
      <c r="D352" s="4" t="s">
        <v>590</v>
      </c>
      <c r="E352" s="4">
        <v>351</v>
      </c>
      <c r="F352" s="9">
        <v>46085</v>
      </c>
      <c r="G352" s="9" t="b">
        <v>0</v>
      </c>
      <c r="H352" s="4" t="b">
        <v>0</v>
      </c>
      <c r="I352" s="28" t="s">
        <v>20</v>
      </c>
      <c r="J352" s="4">
        <f t="shared" si="19"/>
        <v>15</v>
      </c>
      <c r="K352" s="4">
        <f ca="1">IF(AND(F352&lt;&gt;"", L352&lt;&gt;""), NETWORKDAYS(TODAY(), L352-1, FESTIVOS!A$1:A$55), "")</f>
        <v>-56</v>
      </c>
      <c r="L352" s="9">
        <f>IF(AND(F352&lt;&gt;"", J352&lt;&gt;""), WORKDAY(F352, J352, FESTIVOS!A$1:A$55), "")</f>
        <v>46107</v>
      </c>
      <c r="M352" s="4" t="s">
        <v>21</v>
      </c>
      <c r="N352" s="4">
        <f t="shared" ca="1" si="20"/>
        <v>0</v>
      </c>
      <c r="O352" s="4" t="str">
        <f t="shared" ca="1" si="21"/>
        <v>Vencido</v>
      </c>
      <c r="P352" s="4" t="s">
        <v>37</v>
      </c>
      <c r="Q352" s="9" t="b">
        <v>0</v>
      </c>
      <c r="R352" s="10" t="e">
        <f>IF(OR(Q352="", L352=""), "", NETWORKDAYS(L352, Q352, FESTIVOS!A351:A405))</f>
        <v>#VALUE!</v>
      </c>
    </row>
    <row r="353" spans="1:18" x14ac:dyDescent="0.25">
      <c r="A353" s="8" t="s">
        <v>16</v>
      </c>
      <c r="B353" s="7" t="s">
        <v>591</v>
      </c>
      <c r="C353" s="4" t="s">
        <v>46</v>
      </c>
      <c r="D353" s="4" t="s">
        <v>592</v>
      </c>
      <c r="E353" s="4">
        <v>352</v>
      </c>
      <c r="F353" s="9">
        <v>46085</v>
      </c>
      <c r="G353" s="9" t="b">
        <v>0</v>
      </c>
      <c r="H353" s="4" t="b">
        <v>0</v>
      </c>
      <c r="I353" s="28" t="s">
        <v>20</v>
      </c>
      <c r="J353" s="4">
        <f t="shared" si="19"/>
        <v>15</v>
      </c>
      <c r="K353" s="4">
        <f ca="1">IF(AND(F353&lt;&gt;"", L353&lt;&gt;""), NETWORKDAYS(TODAY(), L353-1, FESTIVOS!A$1:A$55), "")</f>
        <v>-56</v>
      </c>
      <c r="L353" s="9">
        <f>IF(AND(F353&lt;&gt;"", J353&lt;&gt;""), WORKDAY(F353, J353, FESTIVOS!A$1:A$55), "")</f>
        <v>46107</v>
      </c>
      <c r="M353" s="4" t="s">
        <v>21</v>
      </c>
      <c r="N353" s="4">
        <f t="shared" ca="1" si="20"/>
        <v>0</v>
      </c>
      <c r="O353" s="4" t="str">
        <f t="shared" ca="1" si="21"/>
        <v>Vencido</v>
      </c>
      <c r="P353" s="4" t="s">
        <v>593</v>
      </c>
      <c r="Q353" s="9">
        <v>46092</v>
      </c>
      <c r="R353" s="10">
        <f>IF(OR(Q353="", L353=""), "", NETWORKDAYS(L353, Q353, FESTIVOS!A352:A406))</f>
        <v>-12</v>
      </c>
    </row>
    <row r="354" spans="1:18" x14ac:dyDescent="0.25">
      <c r="A354" s="8" t="s">
        <v>16</v>
      </c>
      <c r="B354" s="7" t="s">
        <v>429</v>
      </c>
      <c r="C354" s="4" t="s">
        <v>186</v>
      </c>
      <c r="D354" s="4" t="s">
        <v>594</v>
      </c>
      <c r="E354" s="4">
        <v>353</v>
      </c>
      <c r="F354" s="9">
        <v>46085</v>
      </c>
      <c r="G354" s="9" t="b">
        <v>0</v>
      </c>
      <c r="H354" s="4" t="b">
        <v>0</v>
      </c>
      <c r="I354" s="28" t="s">
        <v>20</v>
      </c>
      <c r="J354" s="4">
        <f t="shared" si="19"/>
        <v>15</v>
      </c>
      <c r="K354" s="4">
        <f ca="1">IF(AND(F354&lt;&gt;"", L354&lt;&gt;""), NETWORKDAYS(TODAY(), L354-1, FESTIVOS!A$1:A$55), "")</f>
        <v>-56</v>
      </c>
      <c r="L354" s="9">
        <f>IF(AND(F354&lt;&gt;"", J354&lt;&gt;""), WORKDAY(F354, J354, FESTIVOS!A$1:A$55), "")</f>
        <v>46107</v>
      </c>
      <c r="M354" s="4" t="s">
        <v>21</v>
      </c>
      <c r="N354" s="4">
        <f t="shared" ca="1" si="20"/>
        <v>0</v>
      </c>
      <c r="O354" s="4" t="str">
        <f t="shared" ca="1" si="21"/>
        <v>Vencido</v>
      </c>
      <c r="P354" s="4" t="s">
        <v>595</v>
      </c>
      <c r="Q354" s="9">
        <v>46106</v>
      </c>
      <c r="R354" s="10">
        <f>IF(OR(Q354="", L354=""), "", NETWORKDAYS(L354, Q354, FESTIVOS!A353:A407))</f>
        <v>-2</v>
      </c>
    </row>
    <row r="355" spans="1:18" x14ac:dyDescent="0.25">
      <c r="A355" s="8" t="s">
        <v>16</v>
      </c>
      <c r="B355" s="7" t="s">
        <v>17</v>
      </c>
      <c r="C355" s="4" t="s">
        <v>84</v>
      </c>
      <c r="D355" s="4" t="s">
        <v>512</v>
      </c>
      <c r="E355" s="4">
        <v>354</v>
      </c>
      <c r="F355" s="9">
        <v>46085</v>
      </c>
      <c r="G355" s="9" t="b">
        <v>0</v>
      </c>
      <c r="H355" s="4" t="b">
        <v>0</v>
      </c>
      <c r="I355" s="28" t="s">
        <v>20</v>
      </c>
      <c r="J355" s="4">
        <f t="shared" si="19"/>
        <v>15</v>
      </c>
      <c r="K355" s="4">
        <f ca="1">IF(AND(F355&lt;&gt;"", L355&lt;&gt;""), NETWORKDAYS(TODAY(), L355-1, FESTIVOS!A$1:A$55), "")</f>
        <v>-56</v>
      </c>
      <c r="L355" s="9">
        <f>IF(AND(F355&lt;&gt;"", J355&lt;&gt;""), WORKDAY(F355, J355, FESTIVOS!A$1:A$55), "")</f>
        <v>46107</v>
      </c>
      <c r="M355" s="4" t="s">
        <v>21</v>
      </c>
      <c r="N355" s="4">
        <f t="shared" ca="1" si="20"/>
        <v>0</v>
      </c>
      <c r="O355" s="4" t="str">
        <f t="shared" ca="1" si="21"/>
        <v>Vencido</v>
      </c>
      <c r="P355" s="4" t="s">
        <v>596</v>
      </c>
      <c r="Q355" s="9" t="b">
        <v>0</v>
      </c>
      <c r="R355" s="10" t="e">
        <f>IF(OR(Q355="", L355=""), "", NETWORKDAYS(L355, Q355, FESTIVOS!A354:A408))</f>
        <v>#VALUE!</v>
      </c>
    </row>
    <row r="356" spans="1:18" x14ac:dyDescent="0.25">
      <c r="A356" s="8" t="s">
        <v>16</v>
      </c>
      <c r="B356" s="7" t="s">
        <v>597</v>
      </c>
      <c r="C356" s="4" t="s">
        <v>46</v>
      </c>
      <c r="D356" s="4" t="s">
        <v>598</v>
      </c>
      <c r="E356" s="4">
        <v>355</v>
      </c>
      <c r="F356" s="9">
        <v>46085</v>
      </c>
      <c r="G356" s="9" t="b">
        <v>0</v>
      </c>
      <c r="H356" s="4" t="b">
        <v>0</v>
      </c>
      <c r="I356" s="28" t="s">
        <v>20</v>
      </c>
      <c r="J356" s="4">
        <f t="shared" si="19"/>
        <v>15</v>
      </c>
      <c r="K356" s="4">
        <f ca="1">IF(AND(F356&lt;&gt;"", L356&lt;&gt;""), NETWORKDAYS(TODAY(), L356-1, FESTIVOS!A$1:A$55), "")</f>
        <v>-56</v>
      </c>
      <c r="L356" s="9">
        <f>IF(AND(F356&lt;&gt;"", J356&lt;&gt;""), WORKDAY(F356, J356, FESTIVOS!A$1:A$55), "")</f>
        <v>46107</v>
      </c>
      <c r="M356" s="4" t="s">
        <v>21</v>
      </c>
      <c r="N356" s="4">
        <f t="shared" ca="1" si="20"/>
        <v>0</v>
      </c>
      <c r="O356" s="4" t="str">
        <f t="shared" ca="1" si="21"/>
        <v>Vencido</v>
      </c>
      <c r="P356" s="4" t="s">
        <v>599</v>
      </c>
      <c r="Q356" s="9">
        <v>46092</v>
      </c>
      <c r="R356" s="10">
        <f>IF(OR(Q356="", L356=""), "", NETWORKDAYS(L356, Q356, FESTIVOS!A355:A409))</f>
        <v>-12</v>
      </c>
    </row>
    <row r="357" spans="1:18" x14ac:dyDescent="0.25">
      <c r="A357" s="8" t="s">
        <v>16</v>
      </c>
      <c r="B357" s="7" t="s">
        <v>600</v>
      </c>
      <c r="C357" s="4" t="s">
        <v>46</v>
      </c>
      <c r="D357" s="4" t="s">
        <v>26</v>
      </c>
      <c r="E357" s="4">
        <v>356</v>
      </c>
      <c r="F357" s="9">
        <v>46085</v>
      </c>
      <c r="G357" s="9" t="b">
        <v>0</v>
      </c>
      <c r="H357" s="4" t="b">
        <v>0</v>
      </c>
      <c r="I357" s="28" t="s">
        <v>66</v>
      </c>
      <c r="J357" s="4">
        <f t="shared" si="19"/>
        <v>15</v>
      </c>
      <c r="K357" s="4">
        <f ca="1">IF(AND(F357&lt;&gt;"", L357&lt;&gt;""), NETWORKDAYS(TODAY(), L357-1, FESTIVOS!A$1:A$55), "")</f>
        <v>-56</v>
      </c>
      <c r="L357" s="9">
        <f>IF(AND(F357&lt;&gt;"", J357&lt;&gt;""), WORKDAY(F357, J357, FESTIVOS!A$1:A$55), "")</f>
        <v>46107</v>
      </c>
      <c r="M357" s="4" t="s">
        <v>21</v>
      </c>
      <c r="N357" s="4">
        <f t="shared" ca="1" si="20"/>
        <v>0</v>
      </c>
      <c r="O357" s="4" t="str">
        <f t="shared" ca="1" si="21"/>
        <v>Vencido</v>
      </c>
      <c r="P357" s="4" t="s">
        <v>601</v>
      </c>
      <c r="Q357" s="9">
        <v>46091</v>
      </c>
      <c r="R357" s="10">
        <f>IF(OR(Q357="", L357=""), "", NETWORKDAYS(L357, Q357, FESTIVOS!A356:A410))</f>
        <v>-13</v>
      </c>
    </row>
    <row r="358" spans="1:18" x14ac:dyDescent="0.25">
      <c r="A358" s="8" t="s">
        <v>16</v>
      </c>
      <c r="B358" s="7" t="s">
        <v>602</v>
      </c>
      <c r="C358" s="4" t="s">
        <v>46</v>
      </c>
      <c r="D358" s="4" t="s">
        <v>603</v>
      </c>
      <c r="E358" s="4">
        <v>357</v>
      </c>
      <c r="F358" s="9">
        <v>46086</v>
      </c>
      <c r="G358" s="9" t="b">
        <v>0</v>
      </c>
      <c r="H358" s="4" t="b">
        <v>0</v>
      </c>
      <c r="I358" s="28" t="s">
        <v>20</v>
      </c>
      <c r="J358" s="4">
        <f t="shared" si="19"/>
        <v>15</v>
      </c>
      <c r="K358" s="4">
        <f ca="1">IF(AND(F358&lt;&gt;"", L358&lt;&gt;""), NETWORKDAYS(TODAY(), L358-1, FESTIVOS!A$1:A$55), "")</f>
        <v>-55</v>
      </c>
      <c r="L358" s="9">
        <f>IF(AND(F358&lt;&gt;"", J358&lt;&gt;""), WORKDAY(F358, J358, FESTIVOS!A$1:A$55), "")</f>
        <v>46108</v>
      </c>
      <c r="M358" s="4" t="s">
        <v>21</v>
      </c>
      <c r="N358" s="4">
        <f t="shared" ca="1" si="20"/>
        <v>0</v>
      </c>
      <c r="O358" s="4" t="str">
        <f t="shared" ca="1" si="21"/>
        <v>Vencido</v>
      </c>
      <c r="P358" s="4" t="s">
        <v>604</v>
      </c>
      <c r="Q358" s="9">
        <v>46092</v>
      </c>
      <c r="R358" s="10">
        <f>IF(OR(Q358="", L358=""), "", NETWORKDAYS(L358, Q358, FESTIVOS!A357:A411))</f>
        <v>-13</v>
      </c>
    </row>
    <row r="359" spans="1:18" x14ac:dyDescent="0.25">
      <c r="A359" s="8" t="s">
        <v>16</v>
      </c>
      <c r="B359" s="7" t="s">
        <v>605</v>
      </c>
      <c r="C359" s="4" t="s">
        <v>46</v>
      </c>
      <c r="D359" s="4" t="s">
        <v>61</v>
      </c>
      <c r="E359" s="4">
        <v>358</v>
      </c>
      <c r="F359" s="9">
        <v>46086</v>
      </c>
      <c r="G359" s="9" t="b">
        <v>0</v>
      </c>
      <c r="H359" s="4" t="b">
        <v>0</v>
      </c>
      <c r="I359" s="28" t="s">
        <v>254</v>
      </c>
      <c r="J359" s="4">
        <f t="shared" si="19"/>
        <v>15</v>
      </c>
      <c r="K359" s="4">
        <f ca="1">IF(AND(F359&lt;&gt;"", L359&lt;&gt;""), NETWORKDAYS(TODAY(), L359-1, FESTIVOS!A$1:A$55), "")</f>
        <v>-55</v>
      </c>
      <c r="L359" s="9">
        <f>IF(AND(F359&lt;&gt;"", J359&lt;&gt;""), WORKDAY(F359, J359, FESTIVOS!A$1:A$55), "")</f>
        <v>46108</v>
      </c>
      <c r="M359" s="4" t="s">
        <v>21</v>
      </c>
      <c r="N359" s="4">
        <f t="shared" ca="1" si="20"/>
        <v>0</v>
      </c>
      <c r="O359" s="4" t="str">
        <f t="shared" ca="1" si="21"/>
        <v>Vencido</v>
      </c>
      <c r="P359" s="4" t="s">
        <v>606</v>
      </c>
      <c r="Q359" s="9" t="b">
        <v>0</v>
      </c>
      <c r="R359" s="10" t="e">
        <f>IF(OR(Q359="", L359=""), "", NETWORKDAYS(L359, Q359, FESTIVOS!A358:A412))</f>
        <v>#VALUE!</v>
      </c>
    </row>
    <row r="360" spans="1:18" x14ac:dyDescent="0.25">
      <c r="A360" s="8" t="s">
        <v>16</v>
      </c>
      <c r="B360" s="7" t="s">
        <v>607</v>
      </c>
      <c r="C360" s="4" t="s">
        <v>46</v>
      </c>
      <c r="D360" s="4" t="s">
        <v>608</v>
      </c>
      <c r="E360" s="4">
        <v>359</v>
      </c>
      <c r="F360" s="9">
        <v>46086</v>
      </c>
      <c r="G360" s="9" t="b">
        <v>0</v>
      </c>
      <c r="H360" s="4" t="b">
        <v>0</v>
      </c>
      <c r="I360" s="28" t="s">
        <v>20</v>
      </c>
      <c r="J360" s="4">
        <f t="shared" si="19"/>
        <v>15</v>
      </c>
      <c r="K360" s="4">
        <f ca="1">IF(AND(F360&lt;&gt;"", L360&lt;&gt;""), NETWORKDAYS(TODAY(), L360-1, FESTIVOS!A$1:A$55), "")</f>
        <v>-55</v>
      </c>
      <c r="L360" s="9">
        <f>IF(AND(F360&lt;&gt;"", J360&lt;&gt;""), WORKDAY(F360, J360, FESTIVOS!A$1:A$55), "")</f>
        <v>46108</v>
      </c>
      <c r="M360" s="4" t="s">
        <v>21</v>
      </c>
      <c r="N360" s="4">
        <f t="shared" ca="1" si="20"/>
        <v>0</v>
      </c>
      <c r="O360" s="4" t="str">
        <f t="shared" ca="1" si="21"/>
        <v>Vencido</v>
      </c>
      <c r="P360" s="4" t="s">
        <v>609</v>
      </c>
      <c r="Q360" s="9">
        <v>46087</v>
      </c>
      <c r="R360" s="10">
        <f>IF(OR(Q360="", L360=""), "", NETWORKDAYS(L360, Q360, FESTIVOS!A359:A413))</f>
        <v>-16</v>
      </c>
    </row>
    <row r="361" spans="1:18" x14ac:dyDescent="0.25">
      <c r="A361" s="8" t="s">
        <v>16</v>
      </c>
      <c r="B361" s="7" t="s">
        <v>326</v>
      </c>
      <c r="C361" s="4" t="s">
        <v>90</v>
      </c>
      <c r="D361" s="4" t="s">
        <v>610</v>
      </c>
      <c r="E361" s="4">
        <v>360</v>
      </c>
      <c r="F361" s="9">
        <v>46087</v>
      </c>
      <c r="G361" s="9" t="b">
        <v>0</v>
      </c>
      <c r="H361" s="4" t="b">
        <v>0</v>
      </c>
      <c r="I361" s="28" t="s">
        <v>20</v>
      </c>
      <c r="J361" s="4">
        <f t="shared" si="19"/>
        <v>15</v>
      </c>
      <c r="K361" s="4">
        <f ca="1">IF(AND(F361&lt;&gt;"", L361&lt;&gt;""), NETWORKDAYS(TODAY(), L361-1, FESTIVOS!A$1:A$55), "")</f>
        <v>-53</v>
      </c>
      <c r="L361" s="9">
        <f>IF(AND(F361&lt;&gt;"", J361&lt;&gt;""), WORKDAY(F361, J361, FESTIVOS!A$1:A$55), "")</f>
        <v>46111</v>
      </c>
      <c r="M361" s="4" t="s">
        <v>21</v>
      </c>
      <c r="N361" s="4">
        <f t="shared" ca="1" si="20"/>
        <v>0</v>
      </c>
      <c r="O361" s="4" t="str">
        <f t="shared" ca="1" si="21"/>
        <v>Vencido</v>
      </c>
      <c r="P361" s="4" t="s">
        <v>611</v>
      </c>
      <c r="Q361" s="9">
        <v>46105</v>
      </c>
      <c r="R361" s="10">
        <f>IF(OR(Q361="", L361=""), "", NETWORKDAYS(L361, Q361, FESTIVOS!A360:A414))</f>
        <v>-5</v>
      </c>
    </row>
    <row r="362" spans="1:18" x14ac:dyDescent="0.25">
      <c r="A362" s="8" t="s">
        <v>16</v>
      </c>
      <c r="B362" s="7" t="s">
        <v>612</v>
      </c>
      <c r="C362" s="4" t="s">
        <v>186</v>
      </c>
      <c r="D362" s="4" t="s">
        <v>324</v>
      </c>
      <c r="E362" s="4">
        <v>361</v>
      </c>
      <c r="F362" s="9">
        <v>46087</v>
      </c>
      <c r="G362" s="9" t="b">
        <v>0</v>
      </c>
      <c r="H362" s="4" t="b">
        <v>0</v>
      </c>
      <c r="I362" s="28" t="s">
        <v>20</v>
      </c>
      <c r="J362" s="4">
        <f t="shared" si="19"/>
        <v>15</v>
      </c>
      <c r="K362" s="4">
        <f ca="1">IF(AND(F362&lt;&gt;"", L362&lt;&gt;""), NETWORKDAYS(TODAY(), L362-1, FESTIVOS!A$1:A$55), "")</f>
        <v>-53</v>
      </c>
      <c r="L362" s="9">
        <f>IF(AND(F362&lt;&gt;"", J362&lt;&gt;""), WORKDAY(F362, J362, FESTIVOS!A$1:A$55), "")</f>
        <v>46111</v>
      </c>
      <c r="M362" s="4" t="s">
        <v>21</v>
      </c>
      <c r="N362" s="4">
        <f t="shared" ca="1" si="20"/>
        <v>0</v>
      </c>
      <c r="O362" s="4" t="str">
        <f t="shared" ca="1" si="21"/>
        <v>Vencido</v>
      </c>
      <c r="P362" s="4" t="s">
        <v>613</v>
      </c>
      <c r="Q362" s="9">
        <v>46105</v>
      </c>
      <c r="R362" s="10">
        <f>IF(OR(Q362="", L362=""), "", NETWORKDAYS(L362, Q362, FESTIVOS!A361:A415))</f>
        <v>-5</v>
      </c>
    </row>
    <row r="363" spans="1:18" x14ac:dyDescent="0.25">
      <c r="A363" s="8" t="s">
        <v>16</v>
      </c>
      <c r="B363" s="7" t="s">
        <v>35</v>
      </c>
      <c r="C363" s="4" t="s">
        <v>90</v>
      </c>
      <c r="D363" s="4" t="s">
        <v>614</v>
      </c>
      <c r="E363" s="4">
        <v>362</v>
      </c>
      <c r="F363" s="9">
        <v>46087</v>
      </c>
      <c r="G363" s="9" t="b">
        <v>0</v>
      </c>
      <c r="H363" s="4" t="b">
        <v>0</v>
      </c>
      <c r="I363" s="28" t="s">
        <v>20</v>
      </c>
      <c r="J363" s="4">
        <f t="shared" si="19"/>
        <v>15</v>
      </c>
      <c r="K363" s="4">
        <f ca="1">IF(AND(F363&lt;&gt;"", L363&lt;&gt;""), NETWORKDAYS(TODAY(), L363-1, FESTIVOS!A$1:A$55), "")</f>
        <v>-53</v>
      </c>
      <c r="L363" s="9">
        <f>IF(AND(F363&lt;&gt;"", J363&lt;&gt;""), WORKDAY(F363, J363, FESTIVOS!A$1:A$55), "")</f>
        <v>46111</v>
      </c>
      <c r="M363" s="4" t="s">
        <v>21</v>
      </c>
      <c r="N363" s="4">
        <f t="shared" ca="1" si="20"/>
        <v>0</v>
      </c>
      <c r="O363" s="4" t="str">
        <f t="shared" ca="1" si="21"/>
        <v>Vencido</v>
      </c>
      <c r="P363" s="4" t="s">
        <v>615</v>
      </c>
      <c r="Q363" s="9">
        <v>46108</v>
      </c>
      <c r="R363" s="10">
        <f>IF(OR(Q363="", L363=""), "", NETWORKDAYS(L363, Q363, FESTIVOS!A362:A416))</f>
        <v>-2</v>
      </c>
    </row>
    <row r="364" spans="1:18" x14ac:dyDescent="0.25">
      <c r="A364" s="8" t="s">
        <v>16</v>
      </c>
      <c r="B364" s="7" t="s">
        <v>616</v>
      </c>
      <c r="C364" s="4" t="s">
        <v>179</v>
      </c>
      <c r="D364" s="4" t="s">
        <v>617</v>
      </c>
      <c r="E364" s="4">
        <v>363</v>
      </c>
      <c r="F364" s="9">
        <v>46087</v>
      </c>
      <c r="G364" s="9" t="b">
        <v>0</v>
      </c>
      <c r="H364" s="4" t="b">
        <v>0</v>
      </c>
      <c r="I364" s="28" t="s">
        <v>20</v>
      </c>
      <c r="J364" s="4">
        <f t="shared" si="19"/>
        <v>15</v>
      </c>
      <c r="K364" s="4">
        <f ca="1">IF(AND(F364&lt;&gt;"", L364&lt;&gt;""), NETWORKDAYS(TODAY(), L364-1, FESTIVOS!A$1:A$55), "")</f>
        <v>-53</v>
      </c>
      <c r="L364" s="9">
        <f>IF(AND(F364&lt;&gt;"", J364&lt;&gt;""), WORKDAY(F364, J364, FESTIVOS!A$1:A$55), "")</f>
        <v>46111</v>
      </c>
      <c r="M364" s="4" t="s">
        <v>21</v>
      </c>
      <c r="N364" s="4">
        <f t="shared" ca="1" si="20"/>
        <v>0</v>
      </c>
      <c r="O364" s="4" t="str">
        <f t="shared" ca="1" si="21"/>
        <v>Vencido</v>
      </c>
      <c r="P364" s="4" t="s">
        <v>618</v>
      </c>
      <c r="Q364" s="9">
        <v>46097</v>
      </c>
      <c r="R364" s="10">
        <f>IF(OR(Q364="", L364=""), "", NETWORKDAYS(L364, Q364, FESTIVOS!A363:A417))</f>
        <v>-11</v>
      </c>
    </row>
    <row r="365" spans="1:18" x14ac:dyDescent="0.25">
      <c r="A365" s="8" t="s">
        <v>16</v>
      </c>
      <c r="B365" s="7" t="s">
        <v>281</v>
      </c>
      <c r="C365" s="4" t="s">
        <v>90</v>
      </c>
      <c r="D365" s="4" t="s">
        <v>619</v>
      </c>
      <c r="E365" s="4">
        <v>364</v>
      </c>
      <c r="F365" s="9">
        <v>46087</v>
      </c>
      <c r="G365" s="9" t="b">
        <v>0</v>
      </c>
      <c r="H365" s="4" t="b">
        <v>0</v>
      </c>
      <c r="I365" s="28" t="s">
        <v>66</v>
      </c>
      <c r="J365" s="4">
        <v>10</v>
      </c>
      <c r="K365" s="4">
        <f ca="1">IF(AND(F365&lt;&gt;"", L365&lt;&gt;""), NETWORKDAYS(TODAY(), L365-1, FESTIVOS!A$1:A$55), "")</f>
        <v>-59</v>
      </c>
      <c r="L365" s="9">
        <f>IF(AND(F365&lt;&gt;"", J365&lt;&gt;""), WORKDAY(F365, J365, FESTIVOS!A$1:A$55), "")</f>
        <v>46101</v>
      </c>
      <c r="M365" s="4" t="s">
        <v>21</v>
      </c>
      <c r="N365" s="4">
        <f t="shared" ca="1" si="20"/>
        <v>0</v>
      </c>
      <c r="O365" s="4" t="str">
        <f t="shared" ca="1" si="21"/>
        <v>Vencido</v>
      </c>
      <c r="P365" s="4" t="s">
        <v>620</v>
      </c>
      <c r="Q365" s="9">
        <v>46093</v>
      </c>
      <c r="R365" s="10">
        <f>IF(OR(Q365="", L365=""), "", NETWORKDAYS(L365, Q365, FESTIVOS!A364:A418))</f>
        <v>-7</v>
      </c>
    </row>
    <row r="366" spans="1:18" x14ac:dyDescent="0.25">
      <c r="A366" s="8" t="s">
        <v>16</v>
      </c>
      <c r="B366" s="7" t="s">
        <v>281</v>
      </c>
      <c r="C366" s="4" t="s">
        <v>90</v>
      </c>
      <c r="D366" s="4" t="s">
        <v>619</v>
      </c>
      <c r="E366" s="4">
        <v>365</v>
      </c>
      <c r="F366" s="9">
        <v>46087</v>
      </c>
      <c r="G366" s="9" t="b">
        <v>0</v>
      </c>
      <c r="H366" s="4" t="b">
        <v>0</v>
      </c>
      <c r="I366" s="28" t="s">
        <v>66</v>
      </c>
      <c r="J366" s="4">
        <f>IF(A366="INFORMACIÓN O DOCUMENTOS", 10, IF(A366="CONSULTA", 30, IF(A366="FACTURACIÓN Y COBROS", 15, IF(A366="VINCULACIÓN Y DESVINCULACIÓN", 15, IF(A366="NO ES DE NUESTRA COMPETENCIA", 5, IF(A366="OTRO", 15, ""))))))</f>
        <v>15</v>
      </c>
      <c r="K366" s="4">
        <f ca="1">IF(AND(F366&lt;&gt;"", L366&lt;&gt;""), NETWORKDAYS(TODAY(), L366-1, FESTIVOS!A$1:A$55), "")</f>
        <v>-53</v>
      </c>
      <c r="L366" s="9">
        <f>IF(AND(F366&lt;&gt;"", J366&lt;&gt;""), WORKDAY(F366, J366, FESTIVOS!A$1:A$55), "")</f>
        <v>46111</v>
      </c>
      <c r="M366" s="4" t="s">
        <v>21</v>
      </c>
      <c r="N366" s="4">
        <f t="shared" ca="1" si="20"/>
        <v>0</v>
      </c>
      <c r="O366" s="4" t="str">
        <f t="shared" ca="1" si="21"/>
        <v>Vencido</v>
      </c>
      <c r="P366" s="4" t="s">
        <v>621</v>
      </c>
      <c r="Q366" s="9">
        <v>46097</v>
      </c>
      <c r="R366" s="10">
        <f>IF(OR(Q366="", L366=""), "", NETWORKDAYS(L366, Q366, FESTIVOS!A365:A419))</f>
        <v>-11</v>
      </c>
    </row>
    <row r="367" spans="1:18" x14ac:dyDescent="0.25">
      <c r="A367" s="8" t="s">
        <v>16</v>
      </c>
      <c r="B367" s="7" t="s">
        <v>429</v>
      </c>
      <c r="C367" s="4" t="s">
        <v>46</v>
      </c>
      <c r="D367" s="4" t="s">
        <v>622</v>
      </c>
      <c r="E367" s="4">
        <v>366</v>
      </c>
      <c r="F367" s="9">
        <v>46087</v>
      </c>
      <c r="G367" s="9" t="b">
        <v>0</v>
      </c>
      <c r="H367" s="4" t="b">
        <v>0</v>
      </c>
      <c r="I367" s="28" t="s">
        <v>20</v>
      </c>
      <c r="J367" s="4">
        <f t="shared" si="19"/>
        <v>15</v>
      </c>
      <c r="K367" s="4">
        <f ca="1">IF(AND(F367&lt;&gt;"", L367&lt;&gt;""), NETWORKDAYS(TODAY(), L367-1, FESTIVOS!A$1:A$55), "")</f>
        <v>-53</v>
      </c>
      <c r="L367" s="9">
        <f>IF(AND(F367&lt;&gt;"", J367&lt;&gt;""), WORKDAY(F367, J367, FESTIVOS!A$1:A$55), "")</f>
        <v>46111</v>
      </c>
      <c r="M367" s="4" t="s">
        <v>21</v>
      </c>
      <c r="N367" s="4">
        <f t="shared" ca="1" si="20"/>
        <v>0</v>
      </c>
      <c r="O367" s="4" t="str">
        <f t="shared" ca="1" si="21"/>
        <v>Vencido</v>
      </c>
      <c r="P367" s="4" t="s">
        <v>623</v>
      </c>
      <c r="Q367" s="9">
        <v>46105</v>
      </c>
      <c r="R367" s="10">
        <f>IF(OR(Q367="", L367=""), "", NETWORKDAYS(L367, Q367, FESTIVOS!A366:A420))</f>
        <v>-5</v>
      </c>
    </row>
    <row r="368" spans="1:18" x14ac:dyDescent="0.25">
      <c r="A368" s="8" t="s">
        <v>16</v>
      </c>
      <c r="B368" s="7" t="s">
        <v>624</v>
      </c>
      <c r="C368" s="4" t="s">
        <v>46</v>
      </c>
      <c r="D368" s="4" t="s">
        <v>625</v>
      </c>
      <c r="E368" s="4">
        <v>367</v>
      </c>
      <c r="F368" s="9">
        <v>46087</v>
      </c>
      <c r="G368" s="9" t="b">
        <v>0</v>
      </c>
      <c r="H368" s="4" t="b">
        <v>0</v>
      </c>
      <c r="I368" s="28" t="s">
        <v>254</v>
      </c>
      <c r="J368" s="4">
        <f t="shared" si="19"/>
        <v>15</v>
      </c>
      <c r="K368" s="4">
        <f ca="1">IF(AND(F368&lt;&gt;"", L368&lt;&gt;""), NETWORKDAYS(TODAY(), L368-1, FESTIVOS!A$1:A$55), "")</f>
        <v>-53</v>
      </c>
      <c r="L368" s="9">
        <f>IF(AND(F368&lt;&gt;"", J368&lt;&gt;""), WORKDAY(F368, J368, FESTIVOS!A$1:A$55), "")</f>
        <v>46111</v>
      </c>
      <c r="M368" s="4" t="s">
        <v>21</v>
      </c>
      <c r="N368" s="4">
        <f t="shared" ca="1" si="20"/>
        <v>0</v>
      </c>
      <c r="O368" s="4" t="str">
        <f t="shared" ca="1" si="21"/>
        <v>Vencido</v>
      </c>
      <c r="P368" s="4" t="s">
        <v>37</v>
      </c>
      <c r="Q368" s="9" t="b">
        <v>0</v>
      </c>
      <c r="R368" s="10" t="e">
        <f>IF(OR(Q368="", L368=""), "", NETWORKDAYS(L368, Q368, FESTIVOS!A367:A421))</f>
        <v>#VALUE!</v>
      </c>
    </row>
    <row r="369" spans="1:18" x14ac:dyDescent="0.25">
      <c r="A369" s="8" t="s">
        <v>16</v>
      </c>
      <c r="B369" s="7" t="s">
        <v>626</v>
      </c>
      <c r="C369" s="4" t="s">
        <v>46</v>
      </c>
      <c r="D369" s="4" t="s">
        <v>627</v>
      </c>
      <c r="E369" s="4">
        <v>368</v>
      </c>
      <c r="F369" s="9">
        <v>46087</v>
      </c>
      <c r="G369" s="9" t="b">
        <v>0</v>
      </c>
      <c r="H369" s="4" t="b">
        <v>0</v>
      </c>
      <c r="I369" s="28" t="s">
        <v>20</v>
      </c>
      <c r="J369" s="4">
        <f t="shared" si="19"/>
        <v>15</v>
      </c>
      <c r="K369" s="4">
        <f ca="1">IF(AND(F369&lt;&gt;"", L369&lt;&gt;""), NETWORKDAYS(TODAY(), L369-1, FESTIVOS!A$1:A$55), "")</f>
        <v>-53</v>
      </c>
      <c r="L369" s="9">
        <f>IF(AND(F369&lt;&gt;"", J369&lt;&gt;""), WORKDAY(F369, J369, FESTIVOS!A$1:A$55), "")</f>
        <v>46111</v>
      </c>
      <c r="M369" s="4" t="s">
        <v>21</v>
      </c>
      <c r="N369" s="4">
        <f t="shared" ca="1" si="20"/>
        <v>0</v>
      </c>
      <c r="O369" s="4" t="str">
        <f t="shared" ca="1" si="21"/>
        <v>Vencido</v>
      </c>
      <c r="P369" s="4" t="s">
        <v>628</v>
      </c>
      <c r="Q369" s="9">
        <v>46099</v>
      </c>
      <c r="R369" s="10">
        <f>IF(OR(Q369="", L369=""), "", NETWORKDAYS(L369, Q369, FESTIVOS!A368:A422))</f>
        <v>-9</v>
      </c>
    </row>
    <row r="370" spans="1:18" ht="23.45" customHeight="1" x14ac:dyDescent="0.25">
      <c r="A370" s="8" t="s">
        <v>16</v>
      </c>
      <c r="B370" s="7" t="s">
        <v>83</v>
      </c>
      <c r="C370" s="4" t="s">
        <v>84</v>
      </c>
      <c r="D370" s="4" t="s">
        <v>85</v>
      </c>
      <c r="E370" s="4">
        <v>369</v>
      </c>
      <c r="F370" s="9">
        <v>46090</v>
      </c>
      <c r="G370" s="9" t="b">
        <v>0</v>
      </c>
      <c r="H370" s="4" t="b">
        <v>0</v>
      </c>
      <c r="I370" s="28" t="s">
        <v>20</v>
      </c>
      <c r="J370" s="4">
        <f t="shared" si="19"/>
        <v>15</v>
      </c>
      <c r="K370" s="4">
        <f ca="1">IF(AND(F370&lt;&gt;"", L370&lt;&gt;""), NETWORKDAYS(TODAY(), L370-1, FESTIVOS!A$1:A$55), "")</f>
        <v>-53</v>
      </c>
      <c r="L370" s="9">
        <f>IF(AND(F370&lt;&gt;"", J370&lt;&gt;""), WORKDAY(F370, J370, FESTIVOS!A$1:A$55), "")</f>
        <v>46112</v>
      </c>
      <c r="M370" s="4" t="s">
        <v>21</v>
      </c>
      <c r="N370" s="4">
        <f t="shared" ca="1" si="20"/>
        <v>0</v>
      </c>
      <c r="O370" s="4" t="str">
        <f t="shared" ca="1" si="21"/>
        <v>Vencido</v>
      </c>
      <c r="P370" s="4" t="s">
        <v>37</v>
      </c>
      <c r="Q370" s="9" t="b">
        <v>0</v>
      </c>
      <c r="R370" s="10" t="e">
        <f>IF(OR(Q370="", L370=""), "", NETWORKDAYS(L370, Q370, FESTIVOS!A369:A423))</f>
        <v>#VALUE!</v>
      </c>
    </row>
    <row r="371" spans="1:18" x14ac:dyDescent="0.25">
      <c r="A371" s="8" t="s">
        <v>16</v>
      </c>
      <c r="B371" s="7" t="s">
        <v>83</v>
      </c>
      <c r="C371" s="4" t="s">
        <v>84</v>
      </c>
      <c r="D371" s="4" t="s">
        <v>85</v>
      </c>
      <c r="E371" s="4">
        <v>370</v>
      </c>
      <c r="F371" s="9">
        <v>46090</v>
      </c>
      <c r="G371" s="9" t="b">
        <v>0</v>
      </c>
      <c r="H371" s="4" t="b">
        <v>0</v>
      </c>
      <c r="I371" s="28" t="s">
        <v>20</v>
      </c>
      <c r="J371" s="4">
        <f t="shared" si="19"/>
        <v>15</v>
      </c>
      <c r="K371" s="4">
        <f ca="1">IF(AND(F371&lt;&gt;"", L371&lt;&gt;""), NETWORKDAYS(TODAY(), L371-1, FESTIVOS!A$1:A$55), "")</f>
        <v>-53</v>
      </c>
      <c r="L371" s="9">
        <f>IF(AND(F371&lt;&gt;"", J371&lt;&gt;""), WORKDAY(F371, J371, FESTIVOS!A$1:A$55), "")</f>
        <v>46112</v>
      </c>
      <c r="M371" s="4" t="s">
        <v>21</v>
      </c>
      <c r="N371" s="4">
        <f t="shared" ca="1" si="20"/>
        <v>0</v>
      </c>
      <c r="O371" s="4" t="str">
        <f t="shared" ca="1" si="21"/>
        <v>Vencido</v>
      </c>
      <c r="P371" s="4" t="s">
        <v>534</v>
      </c>
      <c r="Q371" s="9" t="b">
        <v>0</v>
      </c>
      <c r="R371" s="10" t="e">
        <f>IF(OR(Q371="", L371=""), "", NETWORKDAYS(L371, Q371, FESTIVOS!A370:A424))</f>
        <v>#VALUE!</v>
      </c>
    </row>
    <row r="372" spans="1:18" x14ac:dyDescent="0.25">
      <c r="A372" s="8" t="s">
        <v>16</v>
      </c>
      <c r="B372" s="7" t="s">
        <v>83</v>
      </c>
      <c r="C372" s="4" t="s">
        <v>84</v>
      </c>
      <c r="D372" s="4" t="s">
        <v>85</v>
      </c>
      <c r="E372" s="4">
        <v>371</v>
      </c>
      <c r="F372" s="9">
        <v>46090</v>
      </c>
      <c r="G372" s="9" t="b">
        <v>0</v>
      </c>
      <c r="H372" s="4" t="b">
        <v>0</v>
      </c>
      <c r="I372" s="28" t="s">
        <v>20</v>
      </c>
      <c r="J372" s="4">
        <f t="shared" si="19"/>
        <v>15</v>
      </c>
      <c r="K372" s="4">
        <f ca="1">IF(AND(F372&lt;&gt;"", L372&lt;&gt;""), NETWORKDAYS(TODAY(), L372-1, FESTIVOS!A$1:A$55), "")</f>
        <v>-53</v>
      </c>
      <c r="L372" s="9">
        <f>IF(AND(F372&lt;&gt;"", J372&lt;&gt;""), WORKDAY(F372, J372, FESTIVOS!A$1:A$55), "")</f>
        <v>46112</v>
      </c>
      <c r="M372" s="4" t="s">
        <v>21</v>
      </c>
      <c r="N372" s="4">
        <f t="shared" ca="1" si="20"/>
        <v>0</v>
      </c>
      <c r="O372" s="4" t="str">
        <f t="shared" ca="1" si="21"/>
        <v>Vencido</v>
      </c>
      <c r="P372" s="4" t="s">
        <v>629</v>
      </c>
      <c r="Q372" s="9">
        <v>46101</v>
      </c>
      <c r="R372" s="10">
        <f>IF(OR(Q372="", L372=""), "", NETWORKDAYS(L372, Q372, FESTIVOS!A371:A425))</f>
        <v>-8</v>
      </c>
    </row>
    <row r="373" spans="1:18" x14ac:dyDescent="0.25">
      <c r="A373" s="8" t="s">
        <v>16</v>
      </c>
      <c r="B373" s="7" t="s">
        <v>83</v>
      </c>
      <c r="C373" s="4" t="s">
        <v>84</v>
      </c>
      <c r="D373" s="4" t="s">
        <v>85</v>
      </c>
      <c r="E373" s="4">
        <v>372</v>
      </c>
      <c r="F373" s="9">
        <v>46090</v>
      </c>
      <c r="G373" s="9" t="b">
        <v>0</v>
      </c>
      <c r="H373" s="4" t="b">
        <v>0</v>
      </c>
      <c r="I373" s="28" t="s">
        <v>20</v>
      </c>
      <c r="J373" s="4">
        <f t="shared" si="19"/>
        <v>15</v>
      </c>
      <c r="K373" s="4">
        <f ca="1">IF(AND(F373&lt;&gt;"", L373&lt;&gt;""), NETWORKDAYS(TODAY(), L373-1, FESTIVOS!A$1:A$55), "")</f>
        <v>-53</v>
      </c>
      <c r="L373" s="9">
        <f>IF(AND(F373&lt;&gt;"", J373&lt;&gt;""), WORKDAY(F373, J373, FESTIVOS!A$1:A$55), "")</f>
        <v>46112</v>
      </c>
      <c r="M373" s="4" t="s">
        <v>21</v>
      </c>
      <c r="N373" s="4">
        <f t="shared" ca="1" si="20"/>
        <v>0</v>
      </c>
      <c r="O373" s="4" t="str">
        <f t="shared" ca="1" si="21"/>
        <v>Vencido</v>
      </c>
      <c r="P373" s="4" t="s">
        <v>630</v>
      </c>
      <c r="Q373" s="9">
        <v>46101</v>
      </c>
      <c r="R373" s="10">
        <f>IF(OR(Q373="", L373=""), "", NETWORKDAYS(L373, Q373, FESTIVOS!A372:A426))</f>
        <v>-8</v>
      </c>
    </row>
    <row r="374" spans="1:18" x14ac:dyDescent="0.25">
      <c r="A374" s="8" t="s">
        <v>16</v>
      </c>
      <c r="B374" s="7" t="s">
        <v>83</v>
      </c>
      <c r="C374" s="4" t="s">
        <v>84</v>
      </c>
      <c r="D374" s="4" t="s">
        <v>85</v>
      </c>
      <c r="E374" s="4">
        <v>373</v>
      </c>
      <c r="F374" s="9">
        <v>46090</v>
      </c>
      <c r="G374" s="9" t="b">
        <v>0</v>
      </c>
      <c r="H374" s="4" t="b">
        <v>0</v>
      </c>
      <c r="I374" s="28" t="s">
        <v>20</v>
      </c>
      <c r="J374" s="4">
        <f t="shared" si="19"/>
        <v>15</v>
      </c>
      <c r="K374" s="4">
        <f ca="1">IF(AND(F374&lt;&gt;"", L374&lt;&gt;""), NETWORKDAYS(TODAY(), L374-1, FESTIVOS!A$1:A$55), "")</f>
        <v>-53</v>
      </c>
      <c r="L374" s="9">
        <f>IF(AND(F374&lt;&gt;"", J374&lt;&gt;""), WORKDAY(F374, J374, FESTIVOS!A$1:A$55), "")</f>
        <v>46112</v>
      </c>
      <c r="M374" s="4" t="s">
        <v>21</v>
      </c>
      <c r="N374" s="4">
        <f t="shared" ca="1" si="20"/>
        <v>0</v>
      </c>
      <c r="O374" s="4" t="str">
        <f t="shared" ca="1" si="21"/>
        <v>Vencido</v>
      </c>
      <c r="P374" s="4" t="s">
        <v>534</v>
      </c>
      <c r="Q374" s="9" t="b">
        <v>0</v>
      </c>
      <c r="R374" s="10" t="e">
        <f>IF(OR(Q374="", L374=""), "", NETWORKDAYS(L374, Q374, FESTIVOS!A373:A427))</f>
        <v>#VALUE!</v>
      </c>
    </row>
    <row r="375" spans="1:18" x14ac:dyDescent="0.25">
      <c r="A375" s="8" t="s">
        <v>16</v>
      </c>
      <c r="B375" s="7" t="s">
        <v>83</v>
      </c>
      <c r="C375" s="4" t="s">
        <v>84</v>
      </c>
      <c r="D375" s="4" t="s">
        <v>85</v>
      </c>
      <c r="E375" s="4">
        <v>374</v>
      </c>
      <c r="F375" s="9">
        <v>46090</v>
      </c>
      <c r="G375" s="9" t="b">
        <v>0</v>
      </c>
      <c r="H375" s="4" t="b">
        <v>0</v>
      </c>
      <c r="I375" s="28" t="s">
        <v>20</v>
      </c>
      <c r="J375" s="4">
        <f t="shared" ref="J375:J438" si="22">IF(A375="INFORMACIÓN O DOCUMENTOS", 10, IF(A375="CONSULTA", 30, IF(A375="FACTURACIÓN Y COBROS", 15, IF(A375="VINCULACIÓN Y DESVINCULACIÓN", 15, IF(A375="NO ES DE NUESTRA COMPETENCIA", 5, IF(A375="OTRO", 15, ""))))))</f>
        <v>15</v>
      </c>
      <c r="K375" s="4">
        <f ca="1">IF(AND(F375&lt;&gt;"", L375&lt;&gt;""), NETWORKDAYS(TODAY(), L375-1, FESTIVOS!A$1:A$55), "")</f>
        <v>-53</v>
      </c>
      <c r="L375" s="9">
        <f>IF(AND(F375&lt;&gt;"", J375&lt;&gt;""), WORKDAY(F375, J375, FESTIVOS!A$1:A$55), "")</f>
        <v>46112</v>
      </c>
      <c r="M375" s="4" t="s">
        <v>21</v>
      </c>
      <c r="N375" s="4">
        <f t="shared" ref="N375:N438" ca="1" si="23">IF(K375="", "", MAX(0, K375 - (TODAY() - TODAY())))</f>
        <v>0</v>
      </c>
      <c r="O375" s="4" t="str">
        <f t="shared" ref="O375:O438" ca="1" si="24">IF(OR(K375="", J375=""), "", IF(K375&lt;0, "Vencido", IF(K375&gt;(J375/2), "Supere la mitad", "Bajo la mitad")))</f>
        <v>Vencido</v>
      </c>
      <c r="P375" s="4" t="s">
        <v>631</v>
      </c>
      <c r="Q375" s="9" t="b">
        <v>0</v>
      </c>
      <c r="R375" s="10" t="e">
        <f>IF(OR(Q375="", L375=""), "", NETWORKDAYS(L375, Q375, FESTIVOS!A374:A428))</f>
        <v>#VALUE!</v>
      </c>
    </row>
    <row r="376" spans="1:18" x14ac:dyDescent="0.25">
      <c r="A376" s="8" t="s">
        <v>16</v>
      </c>
      <c r="B376" s="7" t="s">
        <v>83</v>
      </c>
      <c r="C376" s="4" t="s">
        <v>84</v>
      </c>
      <c r="D376" s="4" t="s">
        <v>85</v>
      </c>
      <c r="E376" s="4">
        <v>375</v>
      </c>
      <c r="F376" s="9">
        <v>46090</v>
      </c>
      <c r="G376" s="9" t="b">
        <v>0</v>
      </c>
      <c r="H376" s="4" t="b">
        <v>0</v>
      </c>
      <c r="I376" s="28" t="s">
        <v>20</v>
      </c>
      <c r="J376" s="4">
        <f t="shared" si="22"/>
        <v>15</v>
      </c>
      <c r="K376" s="4">
        <f ca="1">IF(AND(F376&lt;&gt;"", L376&lt;&gt;""), NETWORKDAYS(TODAY(), L376-1, FESTIVOS!A$1:A$55), "")</f>
        <v>-53</v>
      </c>
      <c r="L376" s="9">
        <f>IF(AND(F376&lt;&gt;"", J376&lt;&gt;""), WORKDAY(F376, J376, FESTIVOS!A$1:A$55), "")</f>
        <v>46112</v>
      </c>
      <c r="M376" s="4" t="s">
        <v>21</v>
      </c>
      <c r="N376" s="4">
        <f t="shared" ca="1" si="23"/>
        <v>0</v>
      </c>
      <c r="O376" s="4" t="str">
        <f t="shared" ca="1" si="24"/>
        <v>Vencido</v>
      </c>
      <c r="P376" s="4" t="s">
        <v>631</v>
      </c>
      <c r="Q376" s="9" t="b">
        <v>0</v>
      </c>
      <c r="R376" s="10" t="e">
        <f>IF(OR(Q376="", L376=""), "", NETWORKDAYS(L376, Q376, FESTIVOS!A375:A429))</f>
        <v>#VALUE!</v>
      </c>
    </row>
    <row r="377" spans="1:18" x14ac:dyDescent="0.25">
      <c r="A377" s="8" t="s">
        <v>16</v>
      </c>
      <c r="B377" s="7" t="s">
        <v>68</v>
      </c>
      <c r="C377" s="4" t="s">
        <v>186</v>
      </c>
      <c r="D377" s="4" t="s">
        <v>632</v>
      </c>
      <c r="E377" s="4">
        <v>376</v>
      </c>
      <c r="F377" s="9">
        <v>46090</v>
      </c>
      <c r="G377" s="9" t="b">
        <v>0</v>
      </c>
      <c r="H377" s="4" t="b">
        <v>0</v>
      </c>
      <c r="I377" s="28" t="s">
        <v>20</v>
      </c>
      <c r="J377" s="4">
        <f t="shared" si="22"/>
        <v>15</v>
      </c>
      <c r="K377" s="4">
        <f ca="1">IF(AND(F377&lt;&gt;"", L377&lt;&gt;""), NETWORKDAYS(TODAY(), L377-1, FESTIVOS!A$1:A$55), "")</f>
        <v>-53</v>
      </c>
      <c r="L377" s="9">
        <f>IF(AND(F377&lt;&gt;"", J377&lt;&gt;""), WORKDAY(F377, J377, FESTIVOS!A$1:A$55), "")</f>
        <v>46112</v>
      </c>
      <c r="M377" s="4" t="s">
        <v>21</v>
      </c>
      <c r="N377" s="4">
        <f t="shared" ca="1" si="23"/>
        <v>0</v>
      </c>
      <c r="O377" s="4" t="str">
        <f t="shared" ca="1" si="24"/>
        <v>Vencido</v>
      </c>
      <c r="P377" s="4" t="s">
        <v>37</v>
      </c>
      <c r="Q377" s="9" t="b">
        <v>0</v>
      </c>
      <c r="R377" s="10" t="e">
        <f>IF(OR(Q377="", L377=""), "", NETWORKDAYS(L377, Q377, FESTIVOS!A376:A430))</f>
        <v>#VALUE!</v>
      </c>
    </row>
    <row r="378" spans="1:18" x14ac:dyDescent="0.25">
      <c r="A378" s="8" t="s">
        <v>16</v>
      </c>
      <c r="B378" s="7" t="s">
        <v>633</v>
      </c>
      <c r="C378" s="4" t="s">
        <v>90</v>
      </c>
      <c r="D378" s="4" t="s">
        <v>634</v>
      </c>
      <c r="E378" s="4">
        <v>377</v>
      </c>
      <c r="F378" s="9">
        <v>46090</v>
      </c>
      <c r="G378" s="9" t="b">
        <v>0</v>
      </c>
      <c r="H378" s="4" t="b">
        <v>0</v>
      </c>
      <c r="I378" s="28" t="s">
        <v>20</v>
      </c>
      <c r="J378" s="4">
        <f t="shared" si="22"/>
        <v>15</v>
      </c>
      <c r="K378" s="4">
        <f ca="1">IF(AND(F378&lt;&gt;"", L378&lt;&gt;""), NETWORKDAYS(TODAY(), L378-1, FESTIVOS!A$1:A$55), "")</f>
        <v>-53</v>
      </c>
      <c r="L378" s="9">
        <f>IF(AND(F378&lt;&gt;"", J378&lt;&gt;""), WORKDAY(F378, J378, FESTIVOS!A$1:A$55), "")</f>
        <v>46112</v>
      </c>
      <c r="M378" s="4" t="s">
        <v>21</v>
      </c>
      <c r="N378" s="4">
        <f t="shared" ca="1" si="23"/>
        <v>0</v>
      </c>
      <c r="O378" s="4" t="str">
        <f t="shared" ca="1" si="24"/>
        <v>Vencido</v>
      </c>
      <c r="P378" s="4" t="s">
        <v>615</v>
      </c>
      <c r="Q378" s="9">
        <v>46108</v>
      </c>
      <c r="R378" s="10">
        <f>IF(OR(Q378="", L378=""), "", NETWORKDAYS(L378, Q378, FESTIVOS!A377:A431))</f>
        <v>-3</v>
      </c>
    </row>
    <row r="379" spans="1:18" x14ac:dyDescent="0.25">
      <c r="A379" s="8" t="s">
        <v>16</v>
      </c>
      <c r="B379" s="7" t="s">
        <v>480</v>
      </c>
      <c r="C379" s="4" t="s">
        <v>46</v>
      </c>
      <c r="D379" s="4" t="s">
        <v>635</v>
      </c>
      <c r="E379" s="4">
        <v>378</v>
      </c>
      <c r="F379" s="9">
        <v>46091</v>
      </c>
      <c r="G379" s="9" t="b">
        <v>0</v>
      </c>
      <c r="H379" s="4" t="b">
        <v>0</v>
      </c>
      <c r="I379" s="28" t="s">
        <v>20</v>
      </c>
      <c r="J379" s="4">
        <f t="shared" si="22"/>
        <v>15</v>
      </c>
      <c r="K379" s="4">
        <f ca="1">IF(AND(F379&lt;&gt;"", L379&lt;&gt;""), NETWORKDAYS(TODAY(), L379-1, FESTIVOS!A$1:A$55), "")</f>
        <v>-52</v>
      </c>
      <c r="L379" s="9">
        <f>IF(AND(F379&lt;&gt;"", J379&lt;&gt;""), WORKDAY(F379, J379, FESTIVOS!A$1:A$55), "")</f>
        <v>46113</v>
      </c>
      <c r="M379" s="4" t="s">
        <v>21</v>
      </c>
      <c r="N379" s="4">
        <f t="shared" ca="1" si="23"/>
        <v>0</v>
      </c>
      <c r="O379" s="4" t="str">
        <f t="shared" ca="1" si="24"/>
        <v>Vencido</v>
      </c>
      <c r="P379" s="4" t="s">
        <v>482</v>
      </c>
      <c r="Q379" s="9">
        <v>46098</v>
      </c>
      <c r="R379" s="10">
        <f>IF(OR(Q379="", L379=""), "", NETWORKDAYS(L379, Q379, FESTIVOS!A378:A432))</f>
        <v>-12</v>
      </c>
    </row>
    <row r="380" spans="1:18" x14ac:dyDescent="0.25">
      <c r="A380" s="8" t="s">
        <v>636</v>
      </c>
      <c r="B380" s="7" t="s">
        <v>637</v>
      </c>
      <c r="C380" s="4" t="s">
        <v>638</v>
      </c>
      <c r="D380" s="4" t="s">
        <v>639</v>
      </c>
      <c r="E380" s="4">
        <v>379</v>
      </c>
      <c r="F380" s="9">
        <v>46106</v>
      </c>
      <c r="G380" s="9" t="b">
        <v>0</v>
      </c>
      <c r="H380" s="4" t="b">
        <v>0</v>
      </c>
      <c r="I380" s="28" t="s">
        <v>44</v>
      </c>
      <c r="J380" s="4">
        <f t="shared" si="22"/>
        <v>10</v>
      </c>
      <c r="K380" s="4">
        <f ca="1">IF(AND(F380&lt;&gt;"", L380&lt;&gt;""), NETWORKDAYS(TODAY(), L380-1, FESTIVOS!A$1:A$55), "")</f>
        <v>-47</v>
      </c>
      <c r="L380" s="9">
        <f>IF(AND(F380&lt;&gt;"", J380&lt;&gt;""), WORKDAY(F380, J380, FESTIVOS!A$1:A$55), "")</f>
        <v>46122</v>
      </c>
      <c r="M380" s="4" t="s">
        <v>21</v>
      </c>
      <c r="N380" s="4">
        <f t="shared" ca="1" si="23"/>
        <v>0</v>
      </c>
      <c r="O380" s="4" t="str">
        <f t="shared" ca="1" si="24"/>
        <v>Vencido</v>
      </c>
      <c r="P380" s="4" t="s">
        <v>640</v>
      </c>
      <c r="Q380" s="9">
        <v>46106</v>
      </c>
      <c r="R380" s="10">
        <f>IF(OR(Q380="", L380=""), "", NETWORKDAYS(L380, Q380, FESTIVOS!A379:A433))</f>
        <v>-13</v>
      </c>
    </row>
    <row r="381" spans="1:18" x14ac:dyDescent="0.25">
      <c r="A381" s="8" t="s">
        <v>16</v>
      </c>
      <c r="B381" s="7" t="s">
        <v>641</v>
      </c>
      <c r="C381" s="4" t="s">
        <v>46</v>
      </c>
      <c r="D381" s="4" t="s">
        <v>642</v>
      </c>
      <c r="E381" s="4">
        <v>380</v>
      </c>
      <c r="F381" s="9">
        <v>46091</v>
      </c>
      <c r="G381" s="9" t="b">
        <v>0</v>
      </c>
      <c r="H381" s="4" t="b">
        <v>0</v>
      </c>
      <c r="I381" s="28" t="s">
        <v>20</v>
      </c>
      <c r="J381" s="4">
        <f t="shared" si="22"/>
        <v>15</v>
      </c>
      <c r="K381" s="4">
        <f ca="1">IF(AND(F381&lt;&gt;"", L381&lt;&gt;""), NETWORKDAYS(TODAY(), L381-1, FESTIVOS!A$1:A$55), "")</f>
        <v>-52</v>
      </c>
      <c r="L381" s="9">
        <f>IF(AND(F381&lt;&gt;"", J381&lt;&gt;""), WORKDAY(F381, J381, FESTIVOS!A$1:A$55), "")</f>
        <v>46113</v>
      </c>
      <c r="M381" s="4" t="s">
        <v>21</v>
      </c>
      <c r="N381" s="4">
        <f t="shared" ca="1" si="23"/>
        <v>0</v>
      </c>
      <c r="O381" s="4" t="str">
        <f t="shared" ca="1" si="24"/>
        <v>Vencido</v>
      </c>
      <c r="P381" s="4" t="s">
        <v>643</v>
      </c>
      <c r="Q381" s="9">
        <v>46100</v>
      </c>
      <c r="R381" s="10">
        <f>IF(OR(Q381="", L381=""), "", NETWORKDAYS(L381, Q381, FESTIVOS!A380:A434))</f>
        <v>-10</v>
      </c>
    </row>
    <row r="382" spans="1:18" x14ac:dyDescent="0.25">
      <c r="A382" s="8" t="s">
        <v>16</v>
      </c>
      <c r="B382" s="7" t="s">
        <v>644</v>
      </c>
      <c r="C382" s="4" t="s">
        <v>46</v>
      </c>
      <c r="D382" s="4" t="s">
        <v>645</v>
      </c>
      <c r="E382" s="4">
        <v>381</v>
      </c>
      <c r="F382" s="9">
        <v>46091</v>
      </c>
      <c r="G382" s="9" t="b">
        <v>0</v>
      </c>
      <c r="H382" s="4" t="b">
        <v>0</v>
      </c>
      <c r="I382" s="28" t="s">
        <v>20</v>
      </c>
      <c r="J382" s="4">
        <f t="shared" si="22"/>
        <v>15</v>
      </c>
      <c r="K382" s="4">
        <f ca="1">IF(AND(F382&lt;&gt;"", L382&lt;&gt;""), NETWORKDAYS(TODAY(), L382-1, FESTIVOS!A$1:A$55), "")</f>
        <v>-52</v>
      </c>
      <c r="L382" s="9">
        <f>IF(AND(F382&lt;&gt;"", J382&lt;&gt;""), WORKDAY(F382, J382, FESTIVOS!A$1:A$55), "")</f>
        <v>46113</v>
      </c>
      <c r="M382" s="4" t="s">
        <v>21</v>
      </c>
      <c r="N382" s="4">
        <f t="shared" ca="1" si="23"/>
        <v>0</v>
      </c>
      <c r="O382" s="4" t="str">
        <f t="shared" ca="1" si="24"/>
        <v>Vencido</v>
      </c>
      <c r="P382" s="4" t="s">
        <v>646</v>
      </c>
      <c r="Q382" s="9">
        <v>46098</v>
      </c>
      <c r="R382" s="10">
        <f>IF(OR(Q382="", L382=""), "", NETWORKDAYS(L382, Q382, FESTIVOS!A381:A435))</f>
        <v>-12</v>
      </c>
    </row>
    <row r="383" spans="1:18" x14ac:dyDescent="0.25">
      <c r="A383" s="8" t="s">
        <v>16</v>
      </c>
      <c r="B383" s="7" t="s">
        <v>326</v>
      </c>
      <c r="C383" s="4" t="s">
        <v>90</v>
      </c>
      <c r="D383" s="4" t="s">
        <v>647</v>
      </c>
      <c r="E383" s="4">
        <v>382</v>
      </c>
      <c r="F383" s="9">
        <v>46091</v>
      </c>
      <c r="G383" s="9" t="b">
        <v>0</v>
      </c>
      <c r="H383" s="4" t="b">
        <v>0</v>
      </c>
      <c r="I383" s="28" t="s">
        <v>20</v>
      </c>
      <c r="J383" s="4">
        <v>15</v>
      </c>
      <c r="K383" s="4">
        <f ca="1">IF(AND(F383&lt;&gt;"", L383&lt;&gt;""), NETWORKDAYS(TODAY(), L383-1, FESTIVOS!A$1:A$55), "")</f>
        <v>-52</v>
      </c>
      <c r="L383" s="9">
        <f>IF(AND(F383&lt;&gt;"", J383&lt;&gt;""), WORKDAY(F383, J383, FESTIVOS!A$1:A$55), "")</f>
        <v>46113</v>
      </c>
      <c r="M383" s="4" t="s">
        <v>21</v>
      </c>
      <c r="N383" s="4">
        <f t="shared" ca="1" si="23"/>
        <v>0</v>
      </c>
      <c r="O383" s="4" t="str">
        <f t="shared" ca="1" si="24"/>
        <v>Vencido</v>
      </c>
      <c r="P383" s="4" t="s">
        <v>611</v>
      </c>
      <c r="Q383" s="9">
        <v>46105</v>
      </c>
      <c r="R383" s="10">
        <f>IF(OR(Q383="", L383=""), "", NETWORKDAYS(L383, Q383, FESTIVOS!A382:A436))</f>
        <v>-7</v>
      </c>
    </row>
    <row r="384" spans="1:18" x14ac:dyDescent="0.25">
      <c r="A384" s="8" t="s">
        <v>16</v>
      </c>
      <c r="B384" s="7" t="s">
        <v>401</v>
      </c>
      <c r="C384" s="4" t="s">
        <v>90</v>
      </c>
      <c r="D384" s="4" t="s">
        <v>648</v>
      </c>
      <c r="E384" s="4">
        <v>383</v>
      </c>
      <c r="F384" s="9">
        <v>46091</v>
      </c>
      <c r="G384" s="9" t="b">
        <v>0</v>
      </c>
      <c r="H384" s="4" t="b">
        <v>0</v>
      </c>
      <c r="I384" s="28" t="s">
        <v>20</v>
      </c>
      <c r="J384" s="4">
        <f t="shared" si="22"/>
        <v>15</v>
      </c>
      <c r="K384" s="4">
        <f ca="1">IF(AND(F384&lt;&gt;"", L384&lt;&gt;""), NETWORKDAYS(TODAY(), L384-1, FESTIVOS!A$1:A$55), "")</f>
        <v>-52</v>
      </c>
      <c r="L384" s="9">
        <f>IF(AND(F384&lt;&gt;"", J384&lt;&gt;""), WORKDAY(F384, J384, FESTIVOS!A$1:A$55), "")</f>
        <v>46113</v>
      </c>
      <c r="M384" s="4" t="s">
        <v>21</v>
      </c>
      <c r="N384" s="4">
        <f t="shared" ca="1" si="23"/>
        <v>0</v>
      </c>
      <c r="O384" s="4" t="str">
        <f t="shared" ca="1" si="24"/>
        <v>Vencido</v>
      </c>
      <c r="P384" s="4" t="s">
        <v>649</v>
      </c>
      <c r="Q384" s="9">
        <v>46097</v>
      </c>
      <c r="R384" s="10">
        <f>IF(OR(Q384="", L384=""), "", NETWORKDAYS(L384, Q384, FESTIVOS!A383:A437))</f>
        <v>-13</v>
      </c>
    </row>
    <row r="385" spans="1:18" x14ac:dyDescent="0.25">
      <c r="A385" s="8" t="s">
        <v>16</v>
      </c>
      <c r="B385" s="7" t="s">
        <v>650</v>
      </c>
      <c r="C385" s="4" t="s">
        <v>46</v>
      </c>
      <c r="D385" s="4" t="s">
        <v>651</v>
      </c>
      <c r="E385" s="4">
        <v>384</v>
      </c>
      <c r="F385" s="9">
        <v>46091</v>
      </c>
      <c r="G385" s="9" t="b">
        <v>0</v>
      </c>
      <c r="H385" s="4" t="b">
        <v>0</v>
      </c>
      <c r="I385" s="28" t="s">
        <v>20</v>
      </c>
      <c r="J385" s="4">
        <f t="shared" si="22"/>
        <v>15</v>
      </c>
      <c r="K385" s="4">
        <f ca="1">IF(AND(F385&lt;&gt;"", L385&lt;&gt;""), NETWORKDAYS(TODAY(), L385-1, FESTIVOS!A$1:A$55), "")</f>
        <v>-52</v>
      </c>
      <c r="L385" s="9">
        <f>IF(AND(F385&lt;&gt;"", J385&lt;&gt;""), WORKDAY(F385, J385, FESTIVOS!A$1:A$55), "")</f>
        <v>46113</v>
      </c>
      <c r="M385" s="4" t="s">
        <v>21</v>
      </c>
      <c r="N385" s="4">
        <f t="shared" ca="1" si="23"/>
        <v>0</v>
      </c>
      <c r="O385" s="4" t="str">
        <f t="shared" ca="1" si="24"/>
        <v>Vencido</v>
      </c>
      <c r="P385" s="4" t="s">
        <v>652</v>
      </c>
      <c r="Q385" s="9">
        <v>46100</v>
      </c>
      <c r="R385" s="10">
        <f>IF(OR(Q385="", L385=""), "", NETWORKDAYS(L385, Q385, FESTIVOS!A384:A438))</f>
        <v>-10</v>
      </c>
    </row>
    <row r="386" spans="1:18" x14ac:dyDescent="0.25">
      <c r="A386" s="8" t="s">
        <v>16</v>
      </c>
      <c r="B386" s="7" t="s">
        <v>17</v>
      </c>
      <c r="C386" s="4" t="s">
        <v>84</v>
      </c>
      <c r="D386" s="4" t="s">
        <v>653</v>
      </c>
      <c r="E386" s="4">
        <v>385</v>
      </c>
      <c r="F386" s="9">
        <v>46091</v>
      </c>
      <c r="G386" s="9" t="b">
        <v>0</v>
      </c>
      <c r="H386" s="4" t="b">
        <v>0</v>
      </c>
      <c r="I386" s="28" t="s">
        <v>20</v>
      </c>
      <c r="J386" s="4">
        <f t="shared" si="22"/>
        <v>15</v>
      </c>
      <c r="K386" s="4">
        <f ca="1">IF(AND(F386&lt;&gt;"", L386&lt;&gt;""), NETWORKDAYS(TODAY(), L386-1, FESTIVOS!A$1:A$55), "")</f>
        <v>-52</v>
      </c>
      <c r="L386" s="9">
        <f>IF(AND(F386&lt;&gt;"", J386&lt;&gt;""), WORKDAY(F386, J386, FESTIVOS!A$1:A$55), "")</f>
        <v>46113</v>
      </c>
      <c r="M386" s="4" t="s">
        <v>21</v>
      </c>
      <c r="N386" s="4">
        <f t="shared" ca="1" si="23"/>
        <v>0</v>
      </c>
      <c r="O386" s="4" t="str">
        <f t="shared" ca="1" si="24"/>
        <v>Vencido</v>
      </c>
      <c r="P386" s="4" t="s">
        <v>654</v>
      </c>
      <c r="Q386" s="9" t="s">
        <v>655</v>
      </c>
      <c r="R386" s="10" t="e">
        <f>IF(OR(Q386="", L386=""), "", NETWORKDAYS(L386, Q386, FESTIVOS!A385:A439))</f>
        <v>#VALUE!</v>
      </c>
    </row>
    <row r="387" spans="1:18" x14ac:dyDescent="0.25">
      <c r="A387" s="8" t="s">
        <v>16</v>
      </c>
      <c r="B387" s="7" t="s">
        <v>17</v>
      </c>
      <c r="C387" s="4" t="s">
        <v>84</v>
      </c>
      <c r="D387" s="4" t="s">
        <v>653</v>
      </c>
      <c r="E387" s="4">
        <v>386</v>
      </c>
      <c r="F387" s="9">
        <v>46091</v>
      </c>
      <c r="G387" s="9" t="b">
        <v>0</v>
      </c>
      <c r="H387" s="4" t="b">
        <v>0</v>
      </c>
      <c r="I387" s="28" t="s">
        <v>20</v>
      </c>
      <c r="J387" s="4">
        <f t="shared" si="22"/>
        <v>15</v>
      </c>
      <c r="K387" s="4">
        <f ca="1">IF(AND(F387&lt;&gt;"", L387&lt;&gt;""), NETWORKDAYS(TODAY(), L387-1, FESTIVOS!A$1:A$55), "")</f>
        <v>-52</v>
      </c>
      <c r="L387" s="9">
        <f>IF(AND(F387&lt;&gt;"", J387&lt;&gt;""), WORKDAY(F387, J387, FESTIVOS!A$1:A$55), "")</f>
        <v>46113</v>
      </c>
      <c r="M387" s="4" t="s">
        <v>21</v>
      </c>
      <c r="N387" s="4">
        <f t="shared" ca="1" si="23"/>
        <v>0</v>
      </c>
      <c r="O387" s="4" t="str">
        <f t="shared" ca="1" si="24"/>
        <v>Vencido</v>
      </c>
      <c r="P387" s="4" t="s">
        <v>656</v>
      </c>
      <c r="Q387" s="9" t="s">
        <v>655</v>
      </c>
      <c r="R387" s="10" t="e">
        <f>IF(OR(Q387="", L387=""), "", NETWORKDAYS(L387, Q387, FESTIVOS!A386:A440))</f>
        <v>#VALUE!</v>
      </c>
    </row>
    <row r="388" spans="1:18" x14ac:dyDescent="0.25">
      <c r="A388" s="8" t="s">
        <v>16</v>
      </c>
      <c r="B388" s="7" t="s">
        <v>68</v>
      </c>
      <c r="C388" s="4" t="s">
        <v>46</v>
      </c>
      <c r="D388" s="4" t="s">
        <v>657</v>
      </c>
      <c r="E388" s="4">
        <v>387</v>
      </c>
      <c r="F388" s="9">
        <v>46091</v>
      </c>
      <c r="G388" s="9" t="b">
        <v>0</v>
      </c>
      <c r="H388" s="4" t="b">
        <v>0</v>
      </c>
      <c r="I388" s="28" t="s">
        <v>20</v>
      </c>
      <c r="J388" s="4">
        <f t="shared" si="22"/>
        <v>15</v>
      </c>
      <c r="K388" s="4">
        <f ca="1">IF(AND(F388&lt;&gt;"", L388&lt;&gt;""), NETWORKDAYS(TODAY(), L388-1, FESTIVOS!A$1:A$55), "")</f>
        <v>-52</v>
      </c>
      <c r="L388" s="9">
        <f>IF(AND(F388&lt;&gt;"", J388&lt;&gt;""), WORKDAY(F388, J388, FESTIVOS!A$1:A$55), "")</f>
        <v>46113</v>
      </c>
      <c r="M388" s="4" t="s">
        <v>21</v>
      </c>
      <c r="N388" s="4">
        <f t="shared" ca="1" si="23"/>
        <v>0</v>
      </c>
      <c r="O388" s="4" t="str">
        <f t="shared" ca="1" si="24"/>
        <v>Vencido</v>
      </c>
      <c r="P388" s="4" t="s">
        <v>37</v>
      </c>
      <c r="Q388" s="9" t="b">
        <v>0</v>
      </c>
      <c r="R388" s="10" t="e">
        <f>IF(OR(Q388="", L388=""), "", NETWORKDAYS(L388, Q388, FESTIVOS!A387:A441))</f>
        <v>#VALUE!</v>
      </c>
    </row>
    <row r="389" spans="1:18" x14ac:dyDescent="0.25">
      <c r="A389" s="8" t="s">
        <v>16</v>
      </c>
      <c r="B389" s="7" t="s">
        <v>658</v>
      </c>
      <c r="C389" s="4" t="s">
        <v>46</v>
      </c>
      <c r="D389" s="4" t="s">
        <v>135</v>
      </c>
      <c r="E389" s="4">
        <v>388</v>
      </c>
      <c r="F389" s="9">
        <v>46091</v>
      </c>
      <c r="G389" s="9" t="b">
        <v>0</v>
      </c>
      <c r="H389" s="4" t="b">
        <v>0</v>
      </c>
      <c r="I389" s="28" t="s">
        <v>66</v>
      </c>
      <c r="J389" s="4">
        <f t="shared" si="22"/>
        <v>15</v>
      </c>
      <c r="K389" s="4">
        <f ca="1">IF(AND(F389&lt;&gt;"", L389&lt;&gt;""), NETWORKDAYS(TODAY(), L389-1, FESTIVOS!A$1:A$55), "")</f>
        <v>-52</v>
      </c>
      <c r="L389" s="9">
        <f>IF(AND(F389&lt;&gt;"", J389&lt;&gt;""), WORKDAY(F389, J389, FESTIVOS!A$1:A$55), "")</f>
        <v>46113</v>
      </c>
      <c r="M389" s="4" t="s">
        <v>21</v>
      </c>
      <c r="N389" s="4">
        <f t="shared" ca="1" si="23"/>
        <v>0</v>
      </c>
      <c r="O389" s="4" t="str">
        <f t="shared" ca="1" si="24"/>
        <v>Vencido</v>
      </c>
      <c r="P389" s="4" t="s">
        <v>659</v>
      </c>
      <c r="Q389" s="9">
        <v>46094</v>
      </c>
      <c r="R389" s="10">
        <f>IF(OR(Q389="", L389=""), "", NETWORKDAYS(L389, Q389, FESTIVOS!A388:A442))</f>
        <v>-14</v>
      </c>
    </row>
    <row r="390" spans="1:18" ht="27" customHeight="1" x14ac:dyDescent="0.25">
      <c r="A390" s="8" t="s">
        <v>16</v>
      </c>
      <c r="B390" s="7" t="s">
        <v>660</v>
      </c>
      <c r="C390" s="4" t="s">
        <v>46</v>
      </c>
      <c r="D390" s="4" t="s">
        <v>98</v>
      </c>
      <c r="E390" s="4">
        <v>389</v>
      </c>
      <c r="F390" s="9">
        <v>46091</v>
      </c>
      <c r="G390" s="9" t="b">
        <v>0</v>
      </c>
      <c r="H390" s="4" t="b">
        <v>0</v>
      </c>
      <c r="I390" s="28" t="s">
        <v>20</v>
      </c>
      <c r="J390" s="4">
        <f t="shared" si="22"/>
        <v>15</v>
      </c>
      <c r="K390" s="4">
        <f ca="1">IF(AND(F390&lt;&gt;"", L390&lt;&gt;""), NETWORKDAYS(TODAY(), L390-1, FESTIVOS!A$1:A$55), "")</f>
        <v>-52</v>
      </c>
      <c r="L390" s="9">
        <f>IF(AND(F390&lt;&gt;"", J390&lt;&gt;""), WORKDAY(F390, J390, FESTIVOS!A$1:A$55), "")</f>
        <v>46113</v>
      </c>
      <c r="M390" s="4" t="s">
        <v>21</v>
      </c>
      <c r="N390" s="4">
        <f t="shared" ca="1" si="23"/>
        <v>0</v>
      </c>
      <c r="O390" s="4" t="str">
        <f t="shared" ca="1" si="24"/>
        <v>Vencido</v>
      </c>
      <c r="P390" s="4" t="s">
        <v>37</v>
      </c>
      <c r="Q390" s="9" t="b">
        <v>0</v>
      </c>
      <c r="R390" s="10" t="e">
        <f>IF(OR(Q390="", L390=""), "", NETWORKDAYS(L390, Q390, FESTIVOS!A389:A443))</f>
        <v>#VALUE!</v>
      </c>
    </row>
    <row r="391" spans="1:18" ht="28.15" customHeight="1" x14ac:dyDescent="0.25">
      <c r="A391" s="8" t="s">
        <v>16</v>
      </c>
      <c r="B391" s="7" t="s">
        <v>641</v>
      </c>
      <c r="C391" s="4" t="s">
        <v>46</v>
      </c>
      <c r="D391" s="4" t="s">
        <v>98</v>
      </c>
      <c r="E391" s="4">
        <v>390</v>
      </c>
      <c r="F391" s="9">
        <v>46091</v>
      </c>
      <c r="G391" s="9" t="b">
        <v>0</v>
      </c>
      <c r="H391" s="4" t="b">
        <v>0</v>
      </c>
      <c r="I391" s="28" t="s">
        <v>20</v>
      </c>
      <c r="J391" s="4">
        <f t="shared" si="22"/>
        <v>15</v>
      </c>
      <c r="K391" s="4">
        <f ca="1">IF(AND(F391&lt;&gt;"", L391&lt;&gt;""), NETWORKDAYS(TODAY(), L391-1, FESTIVOS!A$1:A$55), "")</f>
        <v>-52</v>
      </c>
      <c r="L391" s="9">
        <f>IF(AND(F391&lt;&gt;"", J391&lt;&gt;""), WORKDAY(F391, J391, FESTIVOS!A$1:A$55), "")</f>
        <v>46113</v>
      </c>
      <c r="M391" s="4" t="s">
        <v>21</v>
      </c>
      <c r="N391" s="4">
        <f t="shared" ca="1" si="23"/>
        <v>0</v>
      </c>
      <c r="O391" s="4" t="str">
        <f t="shared" ca="1" si="24"/>
        <v>Vencido</v>
      </c>
      <c r="P391" s="4" t="s">
        <v>37</v>
      </c>
      <c r="Q391" s="9" t="b">
        <v>0</v>
      </c>
      <c r="R391" s="10" t="e">
        <f>IF(OR(Q391="", L391=""), "", NETWORKDAYS(L391, Q391, FESTIVOS!A390:A444))</f>
        <v>#VALUE!</v>
      </c>
    </row>
    <row r="392" spans="1:18" x14ac:dyDescent="0.25">
      <c r="A392" s="8" t="s">
        <v>16</v>
      </c>
      <c r="B392" s="7" t="s">
        <v>661</v>
      </c>
      <c r="C392" s="4" t="s">
        <v>46</v>
      </c>
      <c r="D392" s="4" t="s">
        <v>608</v>
      </c>
      <c r="E392" s="4">
        <v>391</v>
      </c>
      <c r="F392" s="9">
        <v>46091</v>
      </c>
      <c r="G392" s="9" t="b">
        <v>0</v>
      </c>
      <c r="H392" s="4" t="b">
        <v>0</v>
      </c>
      <c r="I392" s="28" t="s">
        <v>20</v>
      </c>
      <c r="J392" s="4">
        <f t="shared" si="22"/>
        <v>15</v>
      </c>
      <c r="K392" s="4">
        <f ca="1">IF(AND(F392&lt;&gt;"", L392&lt;&gt;""), NETWORKDAYS(TODAY(), L392-1, FESTIVOS!A$1:A$55), "")</f>
        <v>-52</v>
      </c>
      <c r="L392" s="9">
        <f>IF(AND(F392&lt;&gt;"", J392&lt;&gt;""), WORKDAY(F392, J392, FESTIVOS!A$1:A$55), "")</f>
        <v>46113</v>
      </c>
      <c r="M392" s="4" t="s">
        <v>21</v>
      </c>
      <c r="N392" s="4">
        <f t="shared" ca="1" si="23"/>
        <v>0</v>
      </c>
      <c r="O392" s="4" t="str">
        <f t="shared" ca="1" si="24"/>
        <v>Vencido</v>
      </c>
      <c r="P392" s="4" t="s">
        <v>662</v>
      </c>
      <c r="Q392" s="9">
        <v>46092</v>
      </c>
      <c r="R392" s="10">
        <f>IF(OR(Q392="", L392=""), "", NETWORKDAYS(L392, Q392, FESTIVOS!A391:A445))</f>
        <v>-16</v>
      </c>
    </row>
    <row r="393" spans="1:18" x14ac:dyDescent="0.25">
      <c r="A393" s="8" t="s">
        <v>16</v>
      </c>
      <c r="B393" s="7" t="s">
        <v>663</v>
      </c>
      <c r="C393" s="4" t="s">
        <v>46</v>
      </c>
      <c r="D393" s="4" t="s">
        <v>608</v>
      </c>
      <c r="E393" s="4">
        <v>392</v>
      </c>
      <c r="F393" s="9">
        <v>46091</v>
      </c>
      <c r="G393" s="9" t="b">
        <v>0</v>
      </c>
      <c r="H393" s="4" t="b">
        <v>0</v>
      </c>
      <c r="I393" s="28" t="s">
        <v>20</v>
      </c>
      <c r="J393" s="4">
        <f t="shared" si="22"/>
        <v>15</v>
      </c>
      <c r="K393" s="4">
        <f ca="1">IF(AND(F393&lt;&gt;"", L393&lt;&gt;""), NETWORKDAYS(TODAY(), L393-1, FESTIVOS!A$1:A$55), "")</f>
        <v>-52</v>
      </c>
      <c r="L393" s="9">
        <f>IF(AND(F393&lt;&gt;"", J393&lt;&gt;""), WORKDAY(F393, J393, FESTIVOS!A$1:A$55), "")</f>
        <v>46113</v>
      </c>
      <c r="M393" s="4" t="s">
        <v>21</v>
      </c>
      <c r="N393" s="4">
        <f t="shared" ca="1" si="23"/>
        <v>0</v>
      </c>
      <c r="O393" s="4" t="str">
        <f t="shared" ca="1" si="24"/>
        <v>Vencido</v>
      </c>
      <c r="P393" s="4" t="s">
        <v>664</v>
      </c>
      <c r="Q393" s="9">
        <v>46092</v>
      </c>
      <c r="R393" s="10">
        <f>IF(OR(Q393="", L393=""), "", NETWORKDAYS(L393, Q393, FESTIVOS!A392:A446))</f>
        <v>-16</v>
      </c>
    </row>
    <row r="394" spans="1:18" x14ac:dyDescent="0.25">
      <c r="A394" s="8" t="s">
        <v>16</v>
      </c>
      <c r="B394" s="7" t="s">
        <v>665</v>
      </c>
      <c r="C394" s="4" t="s">
        <v>46</v>
      </c>
      <c r="D394" s="4" t="s">
        <v>608</v>
      </c>
      <c r="E394" s="4">
        <v>393</v>
      </c>
      <c r="F394" s="9">
        <v>46092</v>
      </c>
      <c r="G394" s="9" t="b">
        <v>0</v>
      </c>
      <c r="H394" s="4" t="b">
        <v>0</v>
      </c>
      <c r="I394" s="28" t="s">
        <v>20</v>
      </c>
      <c r="J394" s="4">
        <f t="shared" si="22"/>
        <v>15</v>
      </c>
      <c r="K394" s="4">
        <f ca="1">IF(AND(F394&lt;&gt;"", L394&lt;&gt;""), NETWORKDAYS(TODAY(), L394-1, FESTIVOS!A$1:A$55), "")</f>
        <v>-50</v>
      </c>
      <c r="L394" s="9">
        <f>IF(AND(F394&lt;&gt;"", J394&lt;&gt;""), WORKDAY(F394, J394, FESTIVOS!A$1:A$55), "")</f>
        <v>46118</v>
      </c>
      <c r="M394" s="4" t="s">
        <v>21</v>
      </c>
      <c r="N394" s="4">
        <f t="shared" ca="1" si="23"/>
        <v>0</v>
      </c>
      <c r="O394" s="4" t="str">
        <f t="shared" ca="1" si="24"/>
        <v>Vencido</v>
      </c>
      <c r="P394" s="4" t="s">
        <v>623</v>
      </c>
      <c r="Q394" s="9">
        <v>46105</v>
      </c>
      <c r="R394" s="10">
        <f>IF(OR(Q394="", L394=""), "", NETWORKDAYS(L394, Q394, FESTIVOS!A393:A447))</f>
        <v>-10</v>
      </c>
    </row>
    <row r="395" spans="1:18" x14ac:dyDescent="0.25">
      <c r="A395" s="8" t="s">
        <v>16</v>
      </c>
      <c r="B395" s="7" t="s">
        <v>666</v>
      </c>
      <c r="C395" s="4" t="s">
        <v>46</v>
      </c>
      <c r="D395" s="4" t="s">
        <v>667</v>
      </c>
      <c r="E395" s="4">
        <v>394</v>
      </c>
      <c r="F395" s="9">
        <v>46092</v>
      </c>
      <c r="G395" s="9" t="b">
        <v>0</v>
      </c>
      <c r="H395" s="4" t="b">
        <v>0</v>
      </c>
      <c r="I395" s="28" t="s">
        <v>20</v>
      </c>
      <c r="J395" s="4">
        <f t="shared" si="22"/>
        <v>15</v>
      </c>
      <c r="K395" s="4">
        <f ca="1">IF(AND(F395&lt;&gt;"", L395&lt;&gt;""), NETWORKDAYS(TODAY(), L395-1, FESTIVOS!A$1:A$55), "")</f>
        <v>-50</v>
      </c>
      <c r="L395" s="9">
        <f>IF(AND(F395&lt;&gt;"", J395&lt;&gt;""), WORKDAY(F395, J395, FESTIVOS!A$1:A$55), "")</f>
        <v>46118</v>
      </c>
      <c r="M395" s="4" t="s">
        <v>21</v>
      </c>
      <c r="N395" s="4">
        <f t="shared" ca="1" si="23"/>
        <v>0</v>
      </c>
      <c r="O395" s="4" t="str">
        <f t="shared" ca="1" si="24"/>
        <v>Vencido</v>
      </c>
      <c r="P395" s="4" t="s">
        <v>668</v>
      </c>
      <c r="Q395" s="9">
        <v>46105</v>
      </c>
      <c r="R395" s="10">
        <f>IF(OR(Q395="", L395=""), "", NETWORKDAYS(L395, Q395, FESTIVOS!A394:A448))</f>
        <v>-10</v>
      </c>
    </row>
    <row r="396" spans="1:18" x14ac:dyDescent="0.25">
      <c r="A396" s="8" t="s">
        <v>16</v>
      </c>
      <c r="B396" s="7" t="s">
        <v>669</v>
      </c>
      <c r="C396" s="4" t="s">
        <v>46</v>
      </c>
      <c r="D396" s="4" t="s">
        <v>670</v>
      </c>
      <c r="E396" s="4">
        <v>395</v>
      </c>
      <c r="F396" s="9">
        <v>46092</v>
      </c>
      <c r="G396" s="9" t="b">
        <v>0</v>
      </c>
      <c r="H396" s="4" t="b">
        <v>0</v>
      </c>
      <c r="I396" s="28" t="s">
        <v>20</v>
      </c>
      <c r="J396" s="4">
        <f t="shared" si="22"/>
        <v>15</v>
      </c>
      <c r="K396" s="4">
        <f ca="1">IF(AND(F396&lt;&gt;"", L396&lt;&gt;""), NETWORKDAYS(TODAY(), L396-1, FESTIVOS!A$1:A$55), "")</f>
        <v>-50</v>
      </c>
      <c r="L396" s="9">
        <f>IF(AND(F396&lt;&gt;"", J396&lt;&gt;""), WORKDAY(F396, J396, FESTIVOS!A$1:A$55), "")</f>
        <v>46118</v>
      </c>
      <c r="M396" s="4" t="s">
        <v>21</v>
      </c>
      <c r="N396" s="4">
        <f t="shared" ca="1" si="23"/>
        <v>0</v>
      </c>
      <c r="O396" s="4" t="str">
        <f t="shared" ca="1" si="24"/>
        <v>Vencido</v>
      </c>
      <c r="P396" s="4" t="s">
        <v>671</v>
      </c>
      <c r="Q396" s="9">
        <v>46105</v>
      </c>
      <c r="R396" s="10">
        <f>IF(OR(Q396="", L396=""), "", NETWORKDAYS(L396, Q396, FESTIVOS!A395:A449))</f>
        <v>-10</v>
      </c>
    </row>
    <row r="397" spans="1:18" x14ac:dyDescent="0.25">
      <c r="A397" s="8" t="s">
        <v>16</v>
      </c>
      <c r="B397" s="7" t="s">
        <v>672</v>
      </c>
      <c r="C397" s="4" t="s">
        <v>46</v>
      </c>
      <c r="D397" s="4" t="s">
        <v>673</v>
      </c>
      <c r="E397" s="4">
        <v>396</v>
      </c>
      <c r="F397" s="9">
        <v>46092</v>
      </c>
      <c r="G397" s="9" t="b">
        <v>0</v>
      </c>
      <c r="H397" s="4" t="b">
        <v>0</v>
      </c>
      <c r="I397" s="28" t="s">
        <v>66</v>
      </c>
      <c r="J397" s="4">
        <f t="shared" si="22"/>
        <v>15</v>
      </c>
      <c r="K397" s="4">
        <f ca="1">IF(AND(F397&lt;&gt;"", L397&lt;&gt;""), NETWORKDAYS(TODAY(), L397-1, FESTIVOS!A$1:A$55), "")</f>
        <v>-50</v>
      </c>
      <c r="L397" s="9">
        <f>IF(AND(F397&lt;&gt;"", J397&lt;&gt;""), WORKDAY(F397, J397, FESTIVOS!A$1:A$55), "")</f>
        <v>46118</v>
      </c>
      <c r="M397" s="4" t="s">
        <v>21</v>
      </c>
      <c r="N397" s="4">
        <f t="shared" ca="1" si="23"/>
        <v>0</v>
      </c>
      <c r="O397" s="4" t="str">
        <f t="shared" ca="1" si="24"/>
        <v>Vencido</v>
      </c>
      <c r="P397" s="4" t="s">
        <v>674</v>
      </c>
      <c r="Q397" s="9">
        <v>46101</v>
      </c>
      <c r="R397" s="10">
        <f>IF(OR(Q397="", L397=""), "", NETWORKDAYS(L397, Q397, FESTIVOS!A396:A450))</f>
        <v>-12</v>
      </c>
    </row>
    <row r="398" spans="1:18" x14ac:dyDescent="0.25">
      <c r="A398" s="8" t="s">
        <v>16</v>
      </c>
      <c r="B398" s="7" t="s">
        <v>672</v>
      </c>
      <c r="C398" s="4" t="s">
        <v>46</v>
      </c>
      <c r="D398" s="4" t="s">
        <v>675</v>
      </c>
      <c r="E398" s="4">
        <v>397</v>
      </c>
      <c r="F398" s="9">
        <v>46092</v>
      </c>
      <c r="G398" s="9" t="b">
        <v>0</v>
      </c>
      <c r="H398" s="4" t="b">
        <v>0</v>
      </c>
      <c r="I398" s="28" t="s">
        <v>66</v>
      </c>
      <c r="J398" s="4">
        <f t="shared" si="22"/>
        <v>15</v>
      </c>
      <c r="K398" s="4">
        <f ca="1">IF(AND(F398&lt;&gt;"", L398&lt;&gt;""), NETWORKDAYS(TODAY(), L398-1, FESTIVOS!A$1:A$55), "")</f>
        <v>-50</v>
      </c>
      <c r="L398" s="9">
        <f>IF(AND(F398&lt;&gt;"", J398&lt;&gt;""), WORKDAY(F398, J398, FESTIVOS!A$1:A$55), "")</f>
        <v>46118</v>
      </c>
      <c r="M398" s="4" t="s">
        <v>21</v>
      </c>
      <c r="N398" s="4">
        <f t="shared" ca="1" si="23"/>
        <v>0</v>
      </c>
      <c r="O398" s="4" t="str">
        <f t="shared" ca="1" si="24"/>
        <v>Vencido</v>
      </c>
      <c r="P398" s="4" t="s">
        <v>676</v>
      </c>
      <c r="Q398" s="9">
        <v>46101</v>
      </c>
      <c r="R398" s="10">
        <f>IF(OR(Q398="", L398=""), "", NETWORKDAYS(L398, Q398, FESTIVOS!A397:A451))</f>
        <v>-12</v>
      </c>
    </row>
    <row r="399" spans="1:18" x14ac:dyDescent="0.25">
      <c r="A399" s="8" t="s">
        <v>16</v>
      </c>
      <c r="B399" s="7" t="s">
        <v>677</v>
      </c>
      <c r="C399" s="4" t="s">
        <v>25</v>
      </c>
      <c r="D399" s="4" t="s">
        <v>678</v>
      </c>
      <c r="E399" s="4">
        <v>398</v>
      </c>
      <c r="F399" s="9">
        <v>46092</v>
      </c>
      <c r="G399" s="9" t="b">
        <v>0</v>
      </c>
      <c r="H399" s="4" t="b">
        <v>0</v>
      </c>
      <c r="I399" s="28" t="s">
        <v>20</v>
      </c>
      <c r="J399" s="4">
        <f t="shared" si="22"/>
        <v>15</v>
      </c>
      <c r="K399" s="4">
        <f ca="1">IF(AND(F399&lt;&gt;"", L399&lt;&gt;""), NETWORKDAYS(TODAY(), L399-1, FESTIVOS!A$1:A$55), "")</f>
        <v>-50</v>
      </c>
      <c r="L399" s="9">
        <f>IF(AND(F399&lt;&gt;"", J399&lt;&gt;""), WORKDAY(F399, J399, FESTIVOS!A$1:A$55), "")</f>
        <v>46118</v>
      </c>
      <c r="M399" s="4" t="s">
        <v>21</v>
      </c>
      <c r="N399" s="4">
        <f t="shared" ca="1" si="23"/>
        <v>0</v>
      </c>
      <c r="O399" s="4" t="str">
        <f t="shared" ca="1" si="24"/>
        <v>Vencido</v>
      </c>
      <c r="P399" s="4" t="s">
        <v>679</v>
      </c>
      <c r="Q399" s="9">
        <v>46113</v>
      </c>
      <c r="R399" s="10">
        <f>IF(OR(Q399="", L399=""), "", NETWORKDAYS(L399, Q399, FESTIVOS!A398:A452))</f>
        <v>-4</v>
      </c>
    </row>
    <row r="400" spans="1:18" x14ac:dyDescent="0.25">
      <c r="A400" s="8" t="s">
        <v>16</v>
      </c>
      <c r="B400" s="7" t="s">
        <v>680</v>
      </c>
      <c r="C400" s="4" t="s">
        <v>90</v>
      </c>
      <c r="D400" s="4" t="s">
        <v>681</v>
      </c>
      <c r="E400" s="4">
        <v>399</v>
      </c>
      <c r="F400" s="9">
        <v>46092</v>
      </c>
      <c r="G400" s="9" t="b">
        <v>0</v>
      </c>
      <c r="H400" s="4" t="b">
        <v>0</v>
      </c>
      <c r="I400" s="28" t="s">
        <v>66</v>
      </c>
      <c r="J400" s="4">
        <f t="shared" si="22"/>
        <v>15</v>
      </c>
      <c r="K400" s="4">
        <f ca="1">IF(AND(F400&lt;&gt;"", L400&lt;&gt;""), NETWORKDAYS(TODAY(), L400-1, FESTIVOS!A$1:A$55), "")</f>
        <v>-50</v>
      </c>
      <c r="L400" s="9">
        <f>IF(AND(F400&lt;&gt;"", J400&lt;&gt;""), WORKDAY(F400, J400, FESTIVOS!A$1:A$55), "")</f>
        <v>46118</v>
      </c>
      <c r="M400" s="4" t="s">
        <v>21</v>
      </c>
      <c r="N400" s="4">
        <f t="shared" ca="1" si="23"/>
        <v>0</v>
      </c>
      <c r="O400" s="4" t="str">
        <f t="shared" ca="1" si="24"/>
        <v>Vencido</v>
      </c>
      <c r="P400" s="4" t="s">
        <v>682</v>
      </c>
      <c r="Q400" s="9">
        <v>46112</v>
      </c>
      <c r="R400" s="10">
        <f>IF(OR(Q400="", L400=""), "", NETWORKDAYS(L400, Q400, FESTIVOS!A399:A453))</f>
        <v>-5</v>
      </c>
    </row>
    <row r="401" spans="1:18" x14ac:dyDescent="0.25">
      <c r="A401" s="8" t="s">
        <v>16</v>
      </c>
      <c r="B401" s="7" t="s">
        <v>683</v>
      </c>
      <c r="C401" s="4" t="s">
        <v>46</v>
      </c>
      <c r="D401" s="4" t="s">
        <v>684</v>
      </c>
      <c r="E401" s="4">
        <v>400</v>
      </c>
      <c r="F401" s="9">
        <v>46092</v>
      </c>
      <c r="G401" s="9" t="b">
        <v>0</v>
      </c>
      <c r="H401" s="4" t="b">
        <v>0</v>
      </c>
      <c r="I401" s="28" t="s">
        <v>20</v>
      </c>
      <c r="J401" s="4">
        <f t="shared" si="22"/>
        <v>15</v>
      </c>
      <c r="K401" s="4">
        <f ca="1">IF(AND(F401&lt;&gt;"", L401&lt;&gt;""), NETWORKDAYS(TODAY(), L401-1, FESTIVOS!A$1:A$55), "")</f>
        <v>-50</v>
      </c>
      <c r="L401" s="9">
        <f>IF(AND(F401&lt;&gt;"", J401&lt;&gt;""), WORKDAY(F401, J401, FESTIVOS!A$1:A$55), "")</f>
        <v>46118</v>
      </c>
      <c r="M401" s="4" t="s">
        <v>21</v>
      </c>
      <c r="N401" s="4">
        <f t="shared" ca="1" si="23"/>
        <v>0</v>
      </c>
      <c r="O401" s="4" t="str">
        <f t="shared" ca="1" si="24"/>
        <v>Vencido</v>
      </c>
      <c r="P401" s="4" t="s">
        <v>685</v>
      </c>
      <c r="Q401" s="9">
        <v>46108</v>
      </c>
      <c r="R401" s="10">
        <f>IF(OR(Q401="", L401=""), "", NETWORKDAYS(L401, Q401, FESTIVOS!A400:A454))</f>
        <v>-7</v>
      </c>
    </row>
    <row r="402" spans="1:18" x14ac:dyDescent="0.25">
      <c r="A402" s="8" t="s">
        <v>16</v>
      </c>
      <c r="B402" s="7" t="s">
        <v>686</v>
      </c>
      <c r="C402" s="4" t="s">
        <v>46</v>
      </c>
      <c r="D402" s="4" t="s">
        <v>687</v>
      </c>
      <c r="E402" s="4">
        <v>401</v>
      </c>
      <c r="F402" s="9">
        <v>46092</v>
      </c>
      <c r="G402" s="9" t="b">
        <v>0</v>
      </c>
      <c r="H402" s="4" t="b">
        <v>0</v>
      </c>
      <c r="I402" s="28" t="s">
        <v>20</v>
      </c>
      <c r="J402" s="4">
        <f t="shared" si="22"/>
        <v>15</v>
      </c>
      <c r="K402" s="4">
        <f ca="1">IF(AND(F402&lt;&gt;"", L402&lt;&gt;""), NETWORKDAYS(TODAY(), L402-1, FESTIVOS!A$1:A$55), "")</f>
        <v>-50</v>
      </c>
      <c r="L402" s="9">
        <f>IF(AND(F402&lt;&gt;"", J402&lt;&gt;""), WORKDAY(F402, J402, FESTIVOS!A$1:A$55), "")</f>
        <v>46118</v>
      </c>
      <c r="M402" s="4" t="s">
        <v>21</v>
      </c>
      <c r="N402" s="4">
        <f t="shared" ca="1" si="23"/>
        <v>0</v>
      </c>
      <c r="O402" s="4" t="str">
        <f t="shared" ca="1" si="24"/>
        <v>Vencido</v>
      </c>
      <c r="P402" s="4" t="s">
        <v>688</v>
      </c>
      <c r="Q402" s="9">
        <v>46100</v>
      </c>
      <c r="R402" s="10">
        <f>IF(OR(Q402="", L402=""), "", NETWORKDAYS(L402, Q402, FESTIVOS!A401:A455))</f>
        <v>-13</v>
      </c>
    </row>
    <row r="403" spans="1:18" x14ac:dyDescent="0.25">
      <c r="A403" s="8" t="s">
        <v>16</v>
      </c>
      <c r="B403" s="7" t="s">
        <v>689</v>
      </c>
      <c r="C403" s="4" t="s">
        <v>46</v>
      </c>
      <c r="D403" s="4" t="s">
        <v>135</v>
      </c>
      <c r="E403" s="4">
        <v>402</v>
      </c>
      <c r="F403" s="9">
        <v>46092</v>
      </c>
      <c r="G403" s="9" t="b">
        <v>0</v>
      </c>
      <c r="H403" s="4" t="b">
        <v>0</v>
      </c>
      <c r="I403" s="28" t="s">
        <v>66</v>
      </c>
      <c r="J403" s="4">
        <f t="shared" si="22"/>
        <v>15</v>
      </c>
      <c r="K403" s="4">
        <f ca="1">IF(AND(F403&lt;&gt;"", L403&lt;&gt;""), NETWORKDAYS(TODAY(), L403-1, FESTIVOS!A$1:A$55), "")</f>
        <v>-50</v>
      </c>
      <c r="L403" s="9">
        <f>IF(AND(F403&lt;&gt;"", J403&lt;&gt;""), WORKDAY(F403, J403, FESTIVOS!A$1:A$55), "")</f>
        <v>46118</v>
      </c>
      <c r="M403" s="4" t="s">
        <v>21</v>
      </c>
      <c r="N403" s="4">
        <f t="shared" ca="1" si="23"/>
        <v>0</v>
      </c>
      <c r="O403" s="4" t="str">
        <f t="shared" ca="1" si="24"/>
        <v>Vencido</v>
      </c>
      <c r="P403" s="4" t="s">
        <v>690</v>
      </c>
      <c r="Q403" s="9">
        <v>46094</v>
      </c>
      <c r="R403" s="10">
        <f>IF(OR(Q403="", L403=""), "", NETWORKDAYS(L403, Q403, FESTIVOS!A402:A456))</f>
        <v>-17</v>
      </c>
    </row>
    <row r="404" spans="1:18" x14ac:dyDescent="0.25">
      <c r="A404" s="8" t="s">
        <v>16</v>
      </c>
      <c r="B404" s="7" t="s">
        <v>401</v>
      </c>
      <c r="C404" s="4" t="s">
        <v>90</v>
      </c>
      <c r="D404" s="4" t="s">
        <v>691</v>
      </c>
      <c r="E404" s="4">
        <v>403</v>
      </c>
      <c r="F404" s="9">
        <v>46092</v>
      </c>
      <c r="G404" s="9" t="b">
        <v>0</v>
      </c>
      <c r="H404" s="4" t="b">
        <v>0</v>
      </c>
      <c r="I404" s="28" t="s">
        <v>20</v>
      </c>
      <c r="J404" s="4">
        <f t="shared" si="22"/>
        <v>15</v>
      </c>
      <c r="K404" s="4">
        <f ca="1">IF(AND(F404&lt;&gt;"", L404&lt;&gt;""), NETWORKDAYS(TODAY(), L404-1, FESTIVOS!A$1:A$55), "")</f>
        <v>-50</v>
      </c>
      <c r="L404" s="9">
        <f>IF(AND(F404&lt;&gt;"", J404&lt;&gt;""), WORKDAY(F404, J404, FESTIVOS!A$1:A$55), "")</f>
        <v>46118</v>
      </c>
      <c r="M404" s="4" t="s">
        <v>21</v>
      </c>
      <c r="N404" s="4">
        <f t="shared" ca="1" si="23"/>
        <v>0</v>
      </c>
      <c r="O404" s="4" t="str">
        <f t="shared" ca="1" si="24"/>
        <v>Vencido</v>
      </c>
      <c r="P404" s="4" t="s">
        <v>692</v>
      </c>
      <c r="Q404" s="9">
        <v>46105</v>
      </c>
      <c r="R404" s="10">
        <f>IF(OR(Q404="", L404=""), "", NETWORKDAYS(L404, Q404, FESTIVOS!A403:A457))</f>
        <v>-10</v>
      </c>
    </row>
    <row r="405" spans="1:18" x14ac:dyDescent="0.25">
      <c r="A405" s="8" t="s">
        <v>16</v>
      </c>
      <c r="B405" s="7" t="s">
        <v>401</v>
      </c>
      <c r="C405" s="4" t="s">
        <v>90</v>
      </c>
      <c r="D405" s="4" t="s">
        <v>693</v>
      </c>
      <c r="E405" s="4">
        <v>404</v>
      </c>
      <c r="F405" s="9">
        <v>46092</v>
      </c>
      <c r="G405" s="9" t="b">
        <v>0</v>
      </c>
      <c r="H405" s="4" t="b">
        <v>0</v>
      </c>
      <c r="I405" s="28" t="s">
        <v>20</v>
      </c>
      <c r="J405" s="4">
        <f t="shared" si="22"/>
        <v>15</v>
      </c>
      <c r="K405" s="4">
        <f ca="1">IF(AND(F405&lt;&gt;"", L405&lt;&gt;""), NETWORKDAYS(TODAY(), L405-1, FESTIVOS!A$1:A$55), "")</f>
        <v>-50</v>
      </c>
      <c r="L405" s="9">
        <f>IF(AND(F405&lt;&gt;"", J405&lt;&gt;""), WORKDAY(F405, J405, FESTIVOS!A$1:A$55), "")</f>
        <v>46118</v>
      </c>
      <c r="M405" s="4" t="s">
        <v>21</v>
      </c>
      <c r="N405" s="4">
        <f t="shared" ca="1" si="23"/>
        <v>0</v>
      </c>
      <c r="O405" s="4" t="str">
        <f t="shared" ca="1" si="24"/>
        <v>Vencido</v>
      </c>
      <c r="P405" s="4" t="s">
        <v>694</v>
      </c>
      <c r="Q405" s="9">
        <v>46113</v>
      </c>
      <c r="R405" s="10">
        <f>IF(OR(Q405="", L405=""), "", NETWORKDAYS(L405, Q405, FESTIVOS!A404:A458))</f>
        <v>-4</v>
      </c>
    </row>
    <row r="406" spans="1:18" x14ac:dyDescent="0.25">
      <c r="A406" s="8" t="s">
        <v>16</v>
      </c>
      <c r="B406" s="7" t="s">
        <v>695</v>
      </c>
      <c r="C406" s="4" t="s">
        <v>46</v>
      </c>
      <c r="D406" s="4" t="s">
        <v>696</v>
      </c>
      <c r="E406" s="4">
        <v>405</v>
      </c>
      <c r="F406" s="9">
        <v>46092</v>
      </c>
      <c r="G406" s="9" t="b">
        <v>0</v>
      </c>
      <c r="H406" s="4" t="b">
        <v>0</v>
      </c>
      <c r="I406" s="28" t="s">
        <v>80</v>
      </c>
      <c r="J406" s="4">
        <f t="shared" si="22"/>
        <v>15</v>
      </c>
      <c r="K406" s="4">
        <f ca="1">IF(AND(F406&lt;&gt;"", L406&lt;&gt;""), NETWORKDAYS(TODAY(), L406-1, FESTIVOS!A$1:A$55), "")</f>
        <v>-50</v>
      </c>
      <c r="L406" s="9">
        <f>IF(AND(F406&lt;&gt;"", J406&lt;&gt;""), WORKDAY(F406, J406, FESTIVOS!A$1:A$55), "")</f>
        <v>46118</v>
      </c>
      <c r="M406" s="4" t="s">
        <v>21</v>
      </c>
      <c r="N406" s="4">
        <f t="shared" ca="1" si="23"/>
        <v>0</v>
      </c>
      <c r="O406" s="4" t="str">
        <f t="shared" ca="1" si="24"/>
        <v>Vencido</v>
      </c>
      <c r="P406" s="4" t="s">
        <v>37</v>
      </c>
      <c r="Q406" s="9" t="b">
        <v>0</v>
      </c>
      <c r="R406" s="10" t="e">
        <f>IF(OR(Q406="", L406=""), "", NETWORKDAYS(L406, Q406, FESTIVOS!A405:A459))</f>
        <v>#VALUE!</v>
      </c>
    </row>
    <row r="407" spans="1:18" x14ac:dyDescent="0.25">
      <c r="A407" s="8" t="s">
        <v>16</v>
      </c>
      <c r="B407" s="7" t="s">
        <v>697</v>
      </c>
      <c r="C407" s="4" t="s">
        <v>698</v>
      </c>
      <c r="D407" s="4" t="s">
        <v>699</v>
      </c>
      <c r="E407" s="4">
        <v>406</v>
      </c>
      <c r="F407" s="9">
        <v>46093</v>
      </c>
      <c r="G407" s="9" t="b">
        <v>0</v>
      </c>
      <c r="H407" s="4" t="b">
        <v>0</v>
      </c>
      <c r="I407" s="28" t="s">
        <v>20</v>
      </c>
      <c r="J407" s="4">
        <f>IF(A407="INFORMACIÓN O DOCUMENTOS", 10, IF(A407="CONSULTA", 30, IF(A407="FACTURACIÓN Y COBROS", 15, IF(A407="VINCULACIÓN Y DESVINCULACIÓN", 15, IF(A407="NO ES DE NUESTRA COMPETENCIA", 5, IF(A407="OTRO", 15, ""))))))</f>
        <v>15</v>
      </c>
      <c r="K407" s="4">
        <f ca="1">IF(AND(F407&lt;&gt;"", L407&lt;&gt;""), NETWORKDAYS(TODAY(), L407-1, FESTIVOS!A$1:A$55), "")</f>
        <v>-50</v>
      </c>
      <c r="L407" s="9">
        <f>IF(AND(F407&lt;&gt;"", J407&lt;&gt;""), WORKDAY(F407, J407, FESTIVOS!A$1:A$55), "")</f>
        <v>46119</v>
      </c>
      <c r="M407" s="4" t="s">
        <v>21</v>
      </c>
      <c r="N407" s="4">
        <f t="shared" ca="1" si="23"/>
        <v>0</v>
      </c>
      <c r="O407" s="4" t="str">
        <f t="shared" ca="1" si="24"/>
        <v>Vencido</v>
      </c>
      <c r="P407" s="4" t="s">
        <v>700</v>
      </c>
      <c r="Q407" s="9">
        <v>46106</v>
      </c>
      <c r="R407" s="10">
        <f>IF(OR(Q407="", L407=""), "", NETWORKDAYS(L407, Q407, FESTIVOS!A406:A460))</f>
        <v>-10</v>
      </c>
    </row>
    <row r="408" spans="1:18" x14ac:dyDescent="0.25">
      <c r="A408" s="8" t="s">
        <v>16</v>
      </c>
      <c r="B408" s="7" t="s">
        <v>701</v>
      </c>
      <c r="C408" s="4" t="s">
        <v>25</v>
      </c>
      <c r="D408" s="4" t="s">
        <v>702</v>
      </c>
      <c r="E408" s="4">
        <v>407</v>
      </c>
      <c r="F408" s="9">
        <v>46093</v>
      </c>
      <c r="G408" s="9" t="b">
        <v>0</v>
      </c>
      <c r="H408" s="4" t="b">
        <v>0</v>
      </c>
      <c r="I408" s="28" t="s">
        <v>20</v>
      </c>
      <c r="J408" s="4">
        <v>15</v>
      </c>
      <c r="K408" s="4">
        <f ca="1">IF(AND(F408&lt;&gt;"", L408&lt;&gt;""), NETWORKDAYS(TODAY(), L408-1, FESTIVOS!A$1:A$55), "")</f>
        <v>-50</v>
      </c>
      <c r="L408" s="9">
        <f>IF(AND(F408&lt;&gt;"", J408&lt;&gt;""), WORKDAY(F408, J408, FESTIVOS!A$1:A$55), "")</f>
        <v>46119</v>
      </c>
      <c r="M408" s="4" t="s">
        <v>21</v>
      </c>
      <c r="N408" s="4">
        <f t="shared" ca="1" si="23"/>
        <v>0</v>
      </c>
      <c r="O408" s="4" t="str">
        <f t="shared" ca="1" si="24"/>
        <v>Vencido</v>
      </c>
      <c r="P408" s="4" t="s">
        <v>703</v>
      </c>
      <c r="Q408" s="9">
        <v>46111</v>
      </c>
      <c r="R408" s="10">
        <f>IF(OR(Q408="", L408=""), "", NETWORKDAYS(L408, Q408, FESTIVOS!A407:A461))</f>
        <v>-7</v>
      </c>
    </row>
    <row r="409" spans="1:18" x14ac:dyDescent="0.25">
      <c r="A409" s="8" t="s">
        <v>16</v>
      </c>
      <c r="B409" s="7" t="s">
        <v>401</v>
      </c>
      <c r="C409" s="4" t="s">
        <v>90</v>
      </c>
      <c r="D409" s="4" t="s">
        <v>704</v>
      </c>
      <c r="E409" s="4">
        <v>408</v>
      </c>
      <c r="F409" s="9">
        <v>46093</v>
      </c>
      <c r="G409" s="9" t="b">
        <v>0</v>
      </c>
      <c r="H409" s="4" t="b">
        <v>0</v>
      </c>
      <c r="I409" s="28" t="s">
        <v>20</v>
      </c>
      <c r="J409" s="4">
        <f t="shared" si="22"/>
        <v>15</v>
      </c>
      <c r="K409" s="4">
        <f ca="1">IF(AND(F409&lt;&gt;"", L409&lt;&gt;""), NETWORKDAYS(TODAY(), L409-1, FESTIVOS!A$1:A$55), "")</f>
        <v>-50</v>
      </c>
      <c r="L409" s="9">
        <f>IF(AND(F409&lt;&gt;"", J409&lt;&gt;""), WORKDAY(F409, J409, FESTIVOS!A$1:A$55), "")</f>
        <v>46119</v>
      </c>
      <c r="M409" s="4" t="s">
        <v>21</v>
      </c>
      <c r="N409" s="4">
        <f t="shared" ca="1" si="23"/>
        <v>0</v>
      </c>
      <c r="O409" s="4" t="str">
        <f t="shared" ca="1" si="24"/>
        <v>Vencido</v>
      </c>
      <c r="P409" s="4" t="s">
        <v>705</v>
      </c>
      <c r="Q409" s="9">
        <v>46105</v>
      </c>
      <c r="R409" s="10">
        <f>IF(OR(Q409="", L409=""), "", NETWORKDAYS(L409, Q409, FESTIVOS!A408:A462))</f>
        <v>-11</v>
      </c>
    </row>
    <row r="410" spans="1:18" x14ac:dyDescent="0.25">
      <c r="A410" s="8" t="s">
        <v>16</v>
      </c>
      <c r="B410" s="7" t="s">
        <v>401</v>
      </c>
      <c r="C410" s="4" t="s">
        <v>90</v>
      </c>
      <c r="D410" s="4" t="s">
        <v>706</v>
      </c>
      <c r="E410" s="4">
        <v>409</v>
      </c>
      <c r="F410" s="9">
        <v>46093</v>
      </c>
      <c r="G410" s="9" t="b">
        <v>0</v>
      </c>
      <c r="H410" s="4" t="b">
        <v>0</v>
      </c>
      <c r="I410" s="28" t="s">
        <v>20</v>
      </c>
      <c r="J410" s="4">
        <f t="shared" si="22"/>
        <v>15</v>
      </c>
      <c r="K410" s="4">
        <f ca="1">IF(AND(F410&lt;&gt;"", L410&lt;&gt;""), NETWORKDAYS(TODAY(), L410-1, FESTIVOS!A$1:A$55), "")</f>
        <v>-50</v>
      </c>
      <c r="L410" s="9">
        <f>IF(AND(F410&lt;&gt;"", J410&lt;&gt;""), WORKDAY(F410, J410, FESTIVOS!A$1:A$55), "")</f>
        <v>46119</v>
      </c>
      <c r="M410" s="4" t="s">
        <v>21</v>
      </c>
      <c r="N410" s="4">
        <f t="shared" ca="1" si="23"/>
        <v>0</v>
      </c>
      <c r="O410" s="4" t="str">
        <f t="shared" ca="1" si="24"/>
        <v>Vencido</v>
      </c>
      <c r="P410" s="4" t="s">
        <v>707</v>
      </c>
      <c r="Q410" s="9">
        <v>46113</v>
      </c>
      <c r="R410" s="10">
        <f>IF(OR(Q410="", L410=""), "", NETWORKDAYS(L410, Q410, FESTIVOS!A409:A463))</f>
        <v>-5</v>
      </c>
    </row>
    <row r="411" spans="1:18" x14ac:dyDescent="0.25">
      <c r="A411" s="8" t="s">
        <v>16</v>
      </c>
      <c r="B411" s="7" t="s">
        <v>401</v>
      </c>
      <c r="C411" s="4" t="s">
        <v>90</v>
      </c>
      <c r="D411" s="4" t="s">
        <v>708</v>
      </c>
      <c r="E411" s="4">
        <v>410</v>
      </c>
      <c r="F411" s="9">
        <v>46093</v>
      </c>
      <c r="G411" s="9" t="b">
        <v>0</v>
      </c>
      <c r="H411" s="4" t="b">
        <v>0</v>
      </c>
      <c r="I411" s="28" t="s">
        <v>20</v>
      </c>
      <c r="J411" s="4">
        <f t="shared" si="22"/>
        <v>15</v>
      </c>
      <c r="K411" s="4">
        <f ca="1">IF(AND(F411&lt;&gt;"", L411&lt;&gt;""), NETWORKDAYS(TODAY(), L411-1, FESTIVOS!A$1:A$55), "")</f>
        <v>-50</v>
      </c>
      <c r="L411" s="9">
        <f>IF(AND(F411&lt;&gt;"", J411&lt;&gt;""), WORKDAY(F411, J411, FESTIVOS!A$1:A$55), "")</f>
        <v>46119</v>
      </c>
      <c r="M411" s="4" t="s">
        <v>21</v>
      </c>
      <c r="N411" s="4">
        <f t="shared" ca="1" si="23"/>
        <v>0</v>
      </c>
      <c r="O411" s="4" t="str">
        <f t="shared" ca="1" si="24"/>
        <v>Vencido</v>
      </c>
      <c r="P411" s="4" t="s">
        <v>37</v>
      </c>
      <c r="Q411" s="9" t="b">
        <v>0</v>
      </c>
      <c r="R411" s="10" t="e">
        <f>IF(OR(Q411="", L411=""), "", NETWORKDAYS(L411, Q411, FESTIVOS!A410:A464))</f>
        <v>#VALUE!</v>
      </c>
    </row>
    <row r="412" spans="1:18" x14ac:dyDescent="0.25">
      <c r="A412" s="8" t="s">
        <v>16</v>
      </c>
      <c r="B412" s="7" t="s">
        <v>709</v>
      </c>
      <c r="C412" s="4" t="s">
        <v>46</v>
      </c>
      <c r="D412" s="4" t="s">
        <v>116</v>
      </c>
      <c r="E412" s="4">
        <v>411</v>
      </c>
      <c r="F412" s="9">
        <v>46093</v>
      </c>
      <c r="G412" s="9" t="b">
        <v>0</v>
      </c>
      <c r="H412" s="4" t="b">
        <v>0</v>
      </c>
      <c r="I412" s="28" t="s">
        <v>20</v>
      </c>
      <c r="J412" s="4">
        <f t="shared" si="22"/>
        <v>15</v>
      </c>
      <c r="K412" s="4">
        <f ca="1">IF(AND(F412&lt;&gt;"", L412&lt;&gt;""), NETWORKDAYS(TODAY(), L412-1, FESTIVOS!A$1:A$55), "")</f>
        <v>-50</v>
      </c>
      <c r="L412" s="9">
        <f>IF(AND(F412&lt;&gt;"", J412&lt;&gt;""), WORKDAY(F412, J412, FESTIVOS!A$1:A$55), "")</f>
        <v>46119</v>
      </c>
      <c r="M412" s="4" t="s">
        <v>21</v>
      </c>
      <c r="N412" s="4">
        <f t="shared" ca="1" si="23"/>
        <v>0</v>
      </c>
      <c r="O412" s="4" t="str">
        <f t="shared" ca="1" si="24"/>
        <v>Vencido</v>
      </c>
      <c r="P412" s="4" t="s">
        <v>710</v>
      </c>
      <c r="Q412" s="9">
        <v>46111</v>
      </c>
      <c r="R412" s="10">
        <f>IF(OR(Q412="", L412=""), "", NETWORKDAYS(L412, Q412, FESTIVOS!A411:A465))</f>
        <v>-7</v>
      </c>
    </row>
    <row r="413" spans="1:18" x14ac:dyDescent="0.25">
      <c r="A413" s="8" t="s">
        <v>16</v>
      </c>
      <c r="B413" s="7" t="s">
        <v>711</v>
      </c>
      <c r="C413" s="4" t="s">
        <v>90</v>
      </c>
      <c r="D413" s="4" t="s">
        <v>712</v>
      </c>
      <c r="E413" s="4">
        <v>412</v>
      </c>
      <c r="F413" s="9">
        <v>46093</v>
      </c>
      <c r="G413" s="9" t="b">
        <v>0</v>
      </c>
      <c r="H413" s="4" t="b">
        <v>0</v>
      </c>
      <c r="I413" s="28" t="s">
        <v>20</v>
      </c>
      <c r="J413" s="4">
        <f t="shared" si="22"/>
        <v>15</v>
      </c>
      <c r="K413" s="4">
        <f ca="1">IF(AND(F413&lt;&gt;"", L413&lt;&gt;""), NETWORKDAYS(TODAY(), L413-1, FESTIVOS!A$1:A$55), "")</f>
        <v>-50</v>
      </c>
      <c r="L413" s="9">
        <f>IF(AND(F413&lt;&gt;"", J413&lt;&gt;""), WORKDAY(F413, J413, FESTIVOS!A$1:A$55), "")</f>
        <v>46119</v>
      </c>
      <c r="M413" s="4" t="s">
        <v>21</v>
      </c>
      <c r="N413" s="4">
        <f t="shared" ca="1" si="23"/>
        <v>0</v>
      </c>
      <c r="O413" s="4" t="str">
        <f t="shared" ca="1" si="24"/>
        <v>Vencido</v>
      </c>
      <c r="P413" s="4" t="s">
        <v>713</v>
      </c>
      <c r="Q413" s="9">
        <v>46119</v>
      </c>
      <c r="R413" s="10">
        <f>IF(OR(Q413="", L413=""), "", NETWORKDAYS(L413, Q413, FESTIVOS!A412:A466))</f>
        <v>1</v>
      </c>
    </row>
    <row r="414" spans="1:18" ht="39.6" customHeight="1" x14ac:dyDescent="0.25">
      <c r="A414" s="8" t="s">
        <v>16</v>
      </c>
      <c r="B414" s="7" t="s">
        <v>714</v>
      </c>
      <c r="C414" s="4" t="s">
        <v>46</v>
      </c>
      <c r="D414" s="4" t="s">
        <v>98</v>
      </c>
      <c r="E414" s="4">
        <v>413</v>
      </c>
      <c r="F414" s="9">
        <v>46093</v>
      </c>
      <c r="G414" s="9" t="b">
        <v>0</v>
      </c>
      <c r="H414" s="4" t="b">
        <v>0</v>
      </c>
      <c r="I414" s="28" t="s">
        <v>20</v>
      </c>
      <c r="J414" s="4">
        <f t="shared" si="22"/>
        <v>15</v>
      </c>
      <c r="K414" s="4">
        <f ca="1">IF(AND(F414&lt;&gt;"", L414&lt;&gt;""), NETWORKDAYS(TODAY(), L414-1, FESTIVOS!A$1:A$55), "")</f>
        <v>-50</v>
      </c>
      <c r="L414" s="9">
        <f>IF(AND(F414&lt;&gt;"", J414&lt;&gt;""), WORKDAY(F414, J414, FESTIVOS!A$1:A$55), "")</f>
        <v>46119</v>
      </c>
      <c r="M414" s="4" t="s">
        <v>21</v>
      </c>
      <c r="N414" s="4">
        <f t="shared" ca="1" si="23"/>
        <v>0</v>
      </c>
      <c r="O414" s="4" t="str">
        <f t="shared" ca="1" si="24"/>
        <v>Vencido</v>
      </c>
      <c r="P414" s="4" t="s">
        <v>37</v>
      </c>
      <c r="Q414" s="9" t="b">
        <v>0</v>
      </c>
      <c r="R414" s="10" t="e">
        <f>IF(OR(Q414="", L414=""), "", NETWORKDAYS(L414, Q414, FESTIVOS!A413:A467))</f>
        <v>#VALUE!</v>
      </c>
    </row>
    <row r="415" spans="1:18" ht="35.450000000000003" customHeight="1" x14ac:dyDescent="0.25">
      <c r="A415" s="8" t="s">
        <v>16</v>
      </c>
      <c r="B415" s="7" t="s">
        <v>715</v>
      </c>
      <c r="C415" s="4" t="s">
        <v>46</v>
      </c>
      <c r="D415" s="4" t="s">
        <v>98</v>
      </c>
      <c r="E415" s="4">
        <v>414</v>
      </c>
      <c r="F415" s="9">
        <v>46093</v>
      </c>
      <c r="G415" s="9" t="b">
        <v>0</v>
      </c>
      <c r="H415" s="4" t="b">
        <v>0</v>
      </c>
      <c r="I415" s="28" t="s">
        <v>20</v>
      </c>
      <c r="J415" s="4">
        <f t="shared" si="22"/>
        <v>15</v>
      </c>
      <c r="K415" s="4">
        <f ca="1">IF(AND(F415&lt;&gt;"", L415&lt;&gt;""), NETWORKDAYS(TODAY(), L415-1, FESTIVOS!A$1:A$55), "")</f>
        <v>-50</v>
      </c>
      <c r="L415" s="9">
        <f>IF(AND(F415&lt;&gt;"", J415&lt;&gt;""), WORKDAY(F415, J415, FESTIVOS!A$1:A$55), "")</f>
        <v>46119</v>
      </c>
      <c r="M415" s="4" t="s">
        <v>21</v>
      </c>
      <c r="N415" s="4">
        <f t="shared" ca="1" si="23"/>
        <v>0</v>
      </c>
      <c r="O415" s="4" t="str">
        <f t="shared" ca="1" si="24"/>
        <v>Vencido</v>
      </c>
      <c r="P415" s="4" t="s">
        <v>37</v>
      </c>
      <c r="Q415" s="9" t="b">
        <v>0</v>
      </c>
      <c r="R415" s="10" t="e">
        <f>IF(OR(Q415="", L415=""), "", NETWORKDAYS(L415, Q415, FESTIVOS!A414:A468))</f>
        <v>#VALUE!</v>
      </c>
    </row>
    <row r="416" spans="1:18" ht="31.9" customHeight="1" x14ac:dyDescent="0.25">
      <c r="A416" s="8" t="s">
        <v>16</v>
      </c>
      <c r="B416" s="7" t="s">
        <v>716</v>
      </c>
      <c r="C416" s="4" t="s">
        <v>46</v>
      </c>
      <c r="D416" s="4" t="s">
        <v>98</v>
      </c>
      <c r="E416" s="4">
        <v>415</v>
      </c>
      <c r="F416" s="9">
        <v>46093</v>
      </c>
      <c r="G416" s="9" t="b">
        <v>0</v>
      </c>
      <c r="H416" s="4" t="b">
        <v>0</v>
      </c>
      <c r="I416" s="28" t="s">
        <v>20</v>
      </c>
      <c r="J416" s="4">
        <f t="shared" si="22"/>
        <v>15</v>
      </c>
      <c r="K416" s="4">
        <f ca="1">IF(AND(F416&lt;&gt;"", L416&lt;&gt;""), NETWORKDAYS(TODAY(), L416-1, FESTIVOS!A$1:A$55), "")</f>
        <v>-50</v>
      </c>
      <c r="L416" s="9">
        <f>IF(AND(F416&lt;&gt;"", J416&lt;&gt;""), WORKDAY(F416, J416, FESTIVOS!A$1:A$55), "")</f>
        <v>46119</v>
      </c>
      <c r="M416" s="4" t="s">
        <v>21</v>
      </c>
      <c r="N416" s="4">
        <f t="shared" ca="1" si="23"/>
        <v>0</v>
      </c>
      <c r="O416" s="4" t="str">
        <f t="shared" ca="1" si="24"/>
        <v>Vencido</v>
      </c>
      <c r="P416" s="4" t="s">
        <v>37</v>
      </c>
      <c r="Q416" s="9" t="b">
        <v>0</v>
      </c>
      <c r="R416" s="10" t="e">
        <f>IF(OR(Q416="", L416=""), "", NETWORKDAYS(L416, Q416, FESTIVOS!A415:A469))</f>
        <v>#VALUE!</v>
      </c>
    </row>
    <row r="417" spans="1:18" ht="39" customHeight="1" x14ac:dyDescent="0.25">
      <c r="A417" s="8" t="s">
        <v>16</v>
      </c>
      <c r="B417" s="7" t="s">
        <v>717</v>
      </c>
      <c r="C417" s="4" t="s">
        <v>46</v>
      </c>
      <c r="D417" s="4" t="s">
        <v>98</v>
      </c>
      <c r="E417" s="4">
        <v>416</v>
      </c>
      <c r="F417" s="9">
        <v>46093</v>
      </c>
      <c r="G417" s="9" t="b">
        <v>0</v>
      </c>
      <c r="H417" s="4" t="b">
        <v>0</v>
      </c>
      <c r="I417" s="28" t="s">
        <v>20</v>
      </c>
      <c r="J417" s="4">
        <f t="shared" si="22"/>
        <v>15</v>
      </c>
      <c r="K417" s="4">
        <f ca="1">IF(AND(F417&lt;&gt;"", L417&lt;&gt;""), NETWORKDAYS(TODAY(), L417-1, FESTIVOS!A$1:A$55), "")</f>
        <v>-50</v>
      </c>
      <c r="L417" s="9">
        <f>IF(AND(F417&lt;&gt;"", J417&lt;&gt;""), WORKDAY(F417, J417, FESTIVOS!A$1:A$55), "")</f>
        <v>46119</v>
      </c>
      <c r="M417" s="4" t="s">
        <v>21</v>
      </c>
      <c r="N417" s="4">
        <f t="shared" ca="1" si="23"/>
        <v>0</v>
      </c>
      <c r="O417" s="4" t="str">
        <f t="shared" ca="1" si="24"/>
        <v>Vencido</v>
      </c>
      <c r="P417" s="4" t="s">
        <v>37</v>
      </c>
      <c r="Q417" s="9" t="b">
        <v>0</v>
      </c>
      <c r="R417" s="10" t="e">
        <f>IF(OR(Q417="", L417=""), "", NETWORKDAYS(L417, Q417, FESTIVOS!A416:A470))</f>
        <v>#VALUE!</v>
      </c>
    </row>
    <row r="418" spans="1:18" ht="25.15" customHeight="1" x14ac:dyDescent="0.25">
      <c r="A418" s="8" t="s">
        <v>16</v>
      </c>
      <c r="B418" s="7" t="s">
        <v>718</v>
      </c>
      <c r="C418" s="4" t="s">
        <v>46</v>
      </c>
      <c r="D418" s="4" t="s">
        <v>98</v>
      </c>
      <c r="E418" s="4">
        <v>417</v>
      </c>
      <c r="F418" s="9">
        <v>46093</v>
      </c>
      <c r="G418" s="9" t="b">
        <v>0</v>
      </c>
      <c r="H418" s="4" t="b">
        <v>0</v>
      </c>
      <c r="I418" s="28" t="s">
        <v>20</v>
      </c>
      <c r="J418" s="4">
        <f t="shared" si="22"/>
        <v>15</v>
      </c>
      <c r="K418" s="4">
        <f ca="1">IF(AND(F418&lt;&gt;"", L418&lt;&gt;""), NETWORKDAYS(TODAY(), L418-1, FESTIVOS!A$1:A$55), "")</f>
        <v>-50</v>
      </c>
      <c r="L418" s="9">
        <f>IF(AND(F418&lt;&gt;"", J418&lt;&gt;""), WORKDAY(F418, J418, FESTIVOS!A$1:A$55), "")</f>
        <v>46119</v>
      </c>
      <c r="M418" s="4" t="s">
        <v>21</v>
      </c>
      <c r="N418" s="4">
        <f t="shared" ca="1" si="23"/>
        <v>0</v>
      </c>
      <c r="O418" s="4" t="str">
        <f t="shared" ca="1" si="24"/>
        <v>Vencido</v>
      </c>
      <c r="P418" s="4" t="s">
        <v>37</v>
      </c>
      <c r="Q418" s="9" t="b">
        <v>0</v>
      </c>
      <c r="R418" s="10" t="e">
        <f>IF(OR(Q418="", L418=""), "", NETWORKDAYS(L418, Q418, FESTIVOS!A417:A471))</f>
        <v>#VALUE!</v>
      </c>
    </row>
    <row r="419" spans="1:18" x14ac:dyDescent="0.25">
      <c r="A419" s="8" t="s">
        <v>16</v>
      </c>
      <c r="B419" s="7" t="s">
        <v>719</v>
      </c>
      <c r="C419" s="4" t="s">
        <v>46</v>
      </c>
      <c r="D419" s="4" t="s">
        <v>98</v>
      </c>
      <c r="E419" s="4">
        <v>418</v>
      </c>
      <c r="F419" s="9">
        <v>46093</v>
      </c>
      <c r="G419" s="9" t="b">
        <v>0</v>
      </c>
      <c r="H419" s="4" t="b">
        <v>0</v>
      </c>
      <c r="I419" s="28" t="s">
        <v>20</v>
      </c>
      <c r="J419" s="4">
        <f t="shared" si="22"/>
        <v>15</v>
      </c>
      <c r="K419" s="4">
        <f ca="1">IF(AND(F419&lt;&gt;"", L419&lt;&gt;""), NETWORKDAYS(TODAY(), L419-1, FESTIVOS!A$1:A$55), "")</f>
        <v>-50</v>
      </c>
      <c r="L419" s="9">
        <f>IF(AND(F419&lt;&gt;"", J419&lt;&gt;""), WORKDAY(F419, J419, FESTIVOS!A$1:A$55), "")</f>
        <v>46119</v>
      </c>
      <c r="M419" s="4" t="s">
        <v>21</v>
      </c>
      <c r="N419" s="4">
        <f t="shared" ca="1" si="23"/>
        <v>0</v>
      </c>
      <c r="O419" s="4" t="str">
        <f t="shared" ca="1" si="24"/>
        <v>Vencido</v>
      </c>
      <c r="P419" s="4" t="s">
        <v>37</v>
      </c>
      <c r="Q419" s="9" t="b">
        <v>0</v>
      </c>
      <c r="R419" s="10" t="e">
        <f>IF(OR(Q419="", L419=""), "", NETWORKDAYS(L419, Q419, FESTIVOS!A418:A472))</f>
        <v>#VALUE!</v>
      </c>
    </row>
    <row r="420" spans="1:18" x14ac:dyDescent="0.25">
      <c r="A420" s="8" t="s">
        <v>16</v>
      </c>
      <c r="B420" s="7" t="s">
        <v>680</v>
      </c>
      <c r="C420" s="4" t="s">
        <v>90</v>
      </c>
      <c r="D420" s="4" t="s">
        <v>720</v>
      </c>
      <c r="E420" s="4">
        <v>419</v>
      </c>
      <c r="F420" s="9">
        <v>46093</v>
      </c>
      <c r="G420" s="9" t="b">
        <v>0</v>
      </c>
      <c r="H420" s="4" t="b">
        <v>0</v>
      </c>
      <c r="I420" s="28" t="s">
        <v>20</v>
      </c>
      <c r="J420" s="4">
        <f t="shared" si="22"/>
        <v>15</v>
      </c>
      <c r="K420" s="4">
        <f ca="1">IF(AND(F420&lt;&gt;"", L420&lt;&gt;""), NETWORKDAYS(TODAY(), L420-1, FESTIVOS!A$1:A$55), "")</f>
        <v>-50</v>
      </c>
      <c r="L420" s="9">
        <f>IF(AND(F420&lt;&gt;"", J420&lt;&gt;""), WORKDAY(F420, J420, FESTIVOS!A$1:A$55), "")</f>
        <v>46119</v>
      </c>
      <c r="M420" s="4" t="s">
        <v>21</v>
      </c>
      <c r="N420" s="4">
        <f t="shared" ca="1" si="23"/>
        <v>0</v>
      </c>
      <c r="O420" s="4" t="str">
        <f t="shared" ca="1" si="24"/>
        <v>Vencido</v>
      </c>
      <c r="P420" s="4" t="s">
        <v>721</v>
      </c>
      <c r="Q420" s="9">
        <v>46100</v>
      </c>
      <c r="R420" s="10">
        <f>IF(OR(Q420="", L420=""), "", NETWORKDAYS(L420, Q420, FESTIVOS!A419:A473))</f>
        <v>-14</v>
      </c>
    </row>
    <row r="421" spans="1:18" x14ac:dyDescent="0.25">
      <c r="A421" s="8" t="s">
        <v>16</v>
      </c>
      <c r="B421" s="7" t="s">
        <v>722</v>
      </c>
      <c r="C421" s="4" t="s">
        <v>46</v>
      </c>
      <c r="D421" s="4" t="s">
        <v>518</v>
      </c>
      <c r="E421" s="4">
        <v>420</v>
      </c>
      <c r="F421" s="9">
        <v>46094</v>
      </c>
      <c r="G421" s="9" t="b">
        <v>0</v>
      </c>
      <c r="H421" s="4" t="b">
        <v>0</v>
      </c>
      <c r="I421" s="28" t="s">
        <v>66</v>
      </c>
      <c r="J421" s="4">
        <f t="shared" si="22"/>
        <v>15</v>
      </c>
      <c r="K421" s="4">
        <f ca="1">IF(AND(F421&lt;&gt;"", L421&lt;&gt;""), NETWORKDAYS(TODAY(), L421-1, FESTIVOS!A$1:A$55), "")</f>
        <v>-49</v>
      </c>
      <c r="L421" s="9">
        <f>IF(AND(F421&lt;&gt;"", J421&lt;&gt;""), WORKDAY(F421, J421, FESTIVOS!A$1:A$55), "")</f>
        <v>46120</v>
      </c>
      <c r="M421" s="4" t="s">
        <v>21</v>
      </c>
      <c r="N421" s="4">
        <f t="shared" ca="1" si="23"/>
        <v>0</v>
      </c>
      <c r="O421" s="4" t="str">
        <f t="shared" ca="1" si="24"/>
        <v>Vencido</v>
      </c>
      <c r="P421" s="4" t="s">
        <v>723</v>
      </c>
      <c r="Q421" s="9">
        <v>46106</v>
      </c>
      <c r="R421" s="10">
        <f>IF(OR(Q421="", L421=""), "", NETWORKDAYS(L421, Q421, FESTIVOS!A420:A474))</f>
        <v>-11</v>
      </c>
    </row>
    <row r="422" spans="1:18" x14ac:dyDescent="0.25">
      <c r="A422" s="8" t="s">
        <v>16</v>
      </c>
      <c r="B422" s="7" t="s">
        <v>208</v>
      </c>
      <c r="C422" s="4" t="s">
        <v>209</v>
      </c>
      <c r="D422" s="4" t="s">
        <v>724</v>
      </c>
      <c r="E422" s="4">
        <v>421</v>
      </c>
      <c r="F422" s="9">
        <v>46094</v>
      </c>
      <c r="G422" s="9" t="b">
        <v>0</v>
      </c>
      <c r="H422" s="4" t="b">
        <v>0</v>
      </c>
      <c r="I422" s="28" t="s">
        <v>80</v>
      </c>
      <c r="J422" s="4">
        <f t="shared" si="22"/>
        <v>15</v>
      </c>
      <c r="K422" s="4">
        <f ca="1">IF(AND(F422&lt;&gt;"", L422&lt;&gt;""), NETWORKDAYS(TODAY(), L422-1, FESTIVOS!A$1:A$55), "")</f>
        <v>-49</v>
      </c>
      <c r="L422" s="9">
        <f>IF(AND(F422&lt;&gt;"", J422&lt;&gt;""), WORKDAY(F422, J422, FESTIVOS!A$1:A$55), "")</f>
        <v>46120</v>
      </c>
      <c r="M422" s="4" t="s">
        <v>21</v>
      </c>
      <c r="N422" s="4">
        <f t="shared" ca="1" si="23"/>
        <v>0</v>
      </c>
      <c r="O422" s="4" t="str">
        <f t="shared" ca="1" si="24"/>
        <v>Vencido</v>
      </c>
      <c r="P422" s="4" t="s">
        <v>55</v>
      </c>
      <c r="Q422" s="9">
        <v>46036</v>
      </c>
      <c r="R422" s="10">
        <f>IF(OR(Q422="", L422=""), "", NETWORKDAYS(L422, Q422, FESTIVOS!A421:A475))</f>
        <v>-61</v>
      </c>
    </row>
    <row r="423" spans="1:18" x14ac:dyDescent="0.25">
      <c r="A423" s="8" t="s">
        <v>16</v>
      </c>
      <c r="B423" s="7" t="s">
        <v>725</v>
      </c>
      <c r="C423" s="4" t="s">
        <v>46</v>
      </c>
      <c r="D423" s="4" t="s">
        <v>726</v>
      </c>
      <c r="E423" s="4">
        <v>422</v>
      </c>
      <c r="F423" s="9">
        <v>46094</v>
      </c>
      <c r="G423" s="9" t="b">
        <v>0</v>
      </c>
      <c r="H423" s="4" t="b">
        <v>0</v>
      </c>
      <c r="I423" s="28" t="s">
        <v>20</v>
      </c>
      <c r="J423" s="4">
        <f t="shared" si="22"/>
        <v>15</v>
      </c>
      <c r="K423" s="4">
        <f ca="1">IF(AND(F423&lt;&gt;"", L423&lt;&gt;""), NETWORKDAYS(TODAY(), L423-1, FESTIVOS!A$1:A$55), "")</f>
        <v>-49</v>
      </c>
      <c r="L423" s="9">
        <f>IF(AND(F423&lt;&gt;"", J423&lt;&gt;""), WORKDAY(F423, J423, FESTIVOS!A$1:A$55), "")</f>
        <v>46120</v>
      </c>
      <c r="M423" s="4" t="s">
        <v>21</v>
      </c>
      <c r="N423" s="4">
        <f t="shared" ca="1" si="23"/>
        <v>0</v>
      </c>
      <c r="O423" s="4" t="str">
        <f t="shared" ca="1" si="24"/>
        <v>Vencido</v>
      </c>
      <c r="P423" s="4" t="s">
        <v>727</v>
      </c>
      <c r="Q423" s="9">
        <v>46105</v>
      </c>
      <c r="R423" s="10">
        <f>IF(OR(Q423="", L423=""), "", NETWORKDAYS(L423, Q423, FESTIVOS!A422:A476))</f>
        <v>-12</v>
      </c>
    </row>
    <row r="424" spans="1:18" x14ac:dyDescent="0.25">
      <c r="A424" s="8" t="s">
        <v>16</v>
      </c>
      <c r="B424" s="7" t="s">
        <v>401</v>
      </c>
      <c r="C424" s="4" t="s">
        <v>90</v>
      </c>
      <c r="D424" s="4" t="s">
        <v>728</v>
      </c>
      <c r="E424" s="4">
        <v>423</v>
      </c>
      <c r="F424" s="9">
        <v>46094</v>
      </c>
      <c r="G424" s="9" t="b">
        <v>0</v>
      </c>
      <c r="H424" s="4" t="b">
        <v>0</v>
      </c>
      <c r="I424" s="28" t="s">
        <v>20</v>
      </c>
      <c r="J424" s="4">
        <f t="shared" si="22"/>
        <v>15</v>
      </c>
      <c r="K424" s="4">
        <f ca="1">IF(AND(F424&lt;&gt;"", L424&lt;&gt;""), NETWORKDAYS(TODAY(), L424-1, FESTIVOS!A$1:A$55), "")</f>
        <v>-49</v>
      </c>
      <c r="L424" s="9">
        <f>IF(AND(F424&lt;&gt;"", J424&lt;&gt;""), WORKDAY(F424, J424, FESTIVOS!A$1:A$55), "")</f>
        <v>46120</v>
      </c>
      <c r="M424" s="4" t="s">
        <v>21</v>
      </c>
      <c r="N424" s="4">
        <f t="shared" ca="1" si="23"/>
        <v>0</v>
      </c>
      <c r="O424" s="4" t="str">
        <f t="shared" ca="1" si="24"/>
        <v>Vencido</v>
      </c>
      <c r="P424" s="4" t="s">
        <v>729</v>
      </c>
      <c r="Q424" s="9">
        <v>46105</v>
      </c>
      <c r="R424" s="10">
        <f>IF(OR(Q424="", L424=""), "", NETWORKDAYS(L424, Q424, FESTIVOS!A423:A477))</f>
        <v>-12</v>
      </c>
    </row>
    <row r="425" spans="1:18" x14ac:dyDescent="0.25">
      <c r="A425" s="8" t="s">
        <v>16</v>
      </c>
      <c r="B425" s="7" t="s">
        <v>208</v>
      </c>
      <c r="C425" s="4" t="s">
        <v>209</v>
      </c>
      <c r="D425" s="4" t="s">
        <v>730</v>
      </c>
      <c r="E425" s="4">
        <v>424</v>
      </c>
      <c r="F425" s="9">
        <v>46094</v>
      </c>
      <c r="G425" s="9" t="b">
        <v>0</v>
      </c>
      <c r="H425" s="4" t="b">
        <v>0</v>
      </c>
      <c r="I425" s="28" t="s">
        <v>80</v>
      </c>
      <c r="J425" s="4">
        <f t="shared" si="22"/>
        <v>15</v>
      </c>
      <c r="K425" s="4">
        <f ca="1">IF(AND(F425&lt;&gt;"", L425&lt;&gt;""), NETWORKDAYS(TODAY(), L425-1, FESTIVOS!A$1:A$55), "")</f>
        <v>-49</v>
      </c>
      <c r="L425" s="9">
        <f>IF(AND(F425&lt;&gt;"", J425&lt;&gt;""), WORKDAY(F425, J425, FESTIVOS!A$1:A$55), "")</f>
        <v>46120</v>
      </c>
      <c r="M425" s="4" t="s">
        <v>21</v>
      </c>
      <c r="N425" s="4">
        <f t="shared" ca="1" si="23"/>
        <v>0</v>
      </c>
      <c r="O425" s="4" t="str">
        <f t="shared" ca="1" si="24"/>
        <v>Vencido</v>
      </c>
      <c r="P425" s="4" t="s">
        <v>55</v>
      </c>
      <c r="Q425" s="9">
        <v>46036</v>
      </c>
      <c r="R425" s="10">
        <f>IF(OR(Q425="", L425=""), "", NETWORKDAYS(L425, Q425, FESTIVOS!A424:A478))</f>
        <v>-61</v>
      </c>
    </row>
    <row r="426" spans="1:18" x14ac:dyDescent="0.25">
      <c r="A426" s="8" t="s">
        <v>16</v>
      </c>
      <c r="B426" s="7" t="s">
        <v>208</v>
      </c>
      <c r="C426" s="4" t="s">
        <v>209</v>
      </c>
      <c r="D426" s="4" t="s">
        <v>731</v>
      </c>
      <c r="E426" s="4">
        <v>425</v>
      </c>
      <c r="F426" s="9">
        <v>46094</v>
      </c>
      <c r="G426" s="9" t="b">
        <v>0</v>
      </c>
      <c r="H426" s="4" t="b">
        <v>0</v>
      </c>
      <c r="I426" s="28" t="s">
        <v>80</v>
      </c>
      <c r="J426" s="4">
        <f t="shared" si="22"/>
        <v>15</v>
      </c>
      <c r="K426" s="4">
        <f ca="1">IF(AND(F426&lt;&gt;"", L426&lt;&gt;""), NETWORKDAYS(TODAY(), L426-1, FESTIVOS!A$1:A$55), "")</f>
        <v>-49</v>
      </c>
      <c r="L426" s="9">
        <f>IF(AND(F426&lt;&gt;"", J426&lt;&gt;""), WORKDAY(F426, J426, FESTIVOS!A$1:A$55), "")</f>
        <v>46120</v>
      </c>
      <c r="M426" s="4" t="s">
        <v>21</v>
      </c>
      <c r="N426" s="4">
        <f t="shared" ca="1" si="23"/>
        <v>0</v>
      </c>
      <c r="O426" s="4" t="str">
        <f t="shared" ca="1" si="24"/>
        <v>Vencido</v>
      </c>
      <c r="P426" s="4" t="s">
        <v>55</v>
      </c>
      <c r="Q426" s="9">
        <v>46036</v>
      </c>
      <c r="R426" s="10">
        <f>IF(OR(Q426="", L426=""), "", NETWORKDAYS(L426, Q426, FESTIVOS!A425:A479))</f>
        <v>-61</v>
      </c>
    </row>
    <row r="427" spans="1:18" x14ac:dyDescent="0.25">
      <c r="A427" s="8" t="s">
        <v>16</v>
      </c>
      <c r="B427" s="7" t="s">
        <v>732</v>
      </c>
      <c r="C427" s="4" t="s">
        <v>46</v>
      </c>
      <c r="D427" s="4" t="s">
        <v>733</v>
      </c>
      <c r="E427" s="4">
        <v>426</v>
      </c>
      <c r="F427" s="9">
        <v>46094</v>
      </c>
      <c r="G427" s="9" t="b">
        <v>0</v>
      </c>
      <c r="H427" s="4" t="b">
        <v>0</v>
      </c>
      <c r="I427" s="28" t="s">
        <v>66</v>
      </c>
      <c r="J427" s="4">
        <f t="shared" si="22"/>
        <v>15</v>
      </c>
      <c r="K427" s="4">
        <f ca="1">IF(AND(F427&lt;&gt;"", L427&lt;&gt;""), NETWORKDAYS(TODAY(), L427-1, FESTIVOS!A$1:A$55), "")</f>
        <v>-49</v>
      </c>
      <c r="L427" s="9">
        <f>IF(AND(F427&lt;&gt;"", J427&lt;&gt;""), WORKDAY(F427, J427, FESTIVOS!A$1:A$55), "")</f>
        <v>46120</v>
      </c>
      <c r="M427" s="4" t="s">
        <v>21</v>
      </c>
      <c r="N427" s="4">
        <f t="shared" ca="1" si="23"/>
        <v>0</v>
      </c>
      <c r="O427" s="4" t="str">
        <f t="shared" ca="1" si="24"/>
        <v>Vencido</v>
      </c>
      <c r="P427" s="4" t="s">
        <v>734</v>
      </c>
      <c r="Q427" s="9">
        <v>46100</v>
      </c>
      <c r="R427" s="10">
        <f>IF(OR(Q427="", L427=""), "", NETWORKDAYS(L427, Q427, FESTIVOS!A426:A480))</f>
        <v>-15</v>
      </c>
    </row>
    <row r="428" spans="1:18" x14ac:dyDescent="0.25">
      <c r="A428" s="8" t="s">
        <v>16</v>
      </c>
      <c r="B428" s="7" t="s">
        <v>17</v>
      </c>
      <c r="C428" s="4" t="s">
        <v>84</v>
      </c>
      <c r="D428" s="4" t="s">
        <v>102</v>
      </c>
      <c r="E428" s="4">
        <v>427</v>
      </c>
      <c r="F428" s="9">
        <v>46094</v>
      </c>
      <c r="G428" s="9" t="b">
        <v>0</v>
      </c>
      <c r="H428" s="4" t="b">
        <v>0</v>
      </c>
      <c r="I428" s="28" t="s">
        <v>20</v>
      </c>
      <c r="J428" s="4">
        <f t="shared" si="22"/>
        <v>15</v>
      </c>
      <c r="K428" s="4">
        <f ca="1">IF(AND(F428&lt;&gt;"", L428&lt;&gt;""), NETWORKDAYS(TODAY(), L428-1, FESTIVOS!A$1:A$55), "")</f>
        <v>-49</v>
      </c>
      <c r="L428" s="9">
        <f>IF(AND(F428&lt;&gt;"", J428&lt;&gt;""), WORKDAY(F428, J428, FESTIVOS!A$1:A$55), "")</f>
        <v>46120</v>
      </c>
      <c r="M428" s="4" t="s">
        <v>21</v>
      </c>
      <c r="N428" s="4">
        <f t="shared" ca="1" si="23"/>
        <v>0</v>
      </c>
      <c r="O428" s="4" t="str">
        <f t="shared" ca="1" si="24"/>
        <v>Vencido</v>
      </c>
      <c r="P428" s="4" t="s">
        <v>735</v>
      </c>
      <c r="Q428" s="9">
        <v>46129</v>
      </c>
      <c r="R428" s="10">
        <f>IF(OR(Q428="", L428=""), "", NETWORKDAYS(L428, Q428, FESTIVOS!A427:A481))</f>
        <v>8</v>
      </c>
    </row>
    <row r="429" spans="1:18" x14ac:dyDescent="0.25">
      <c r="A429" s="8" t="s">
        <v>16</v>
      </c>
      <c r="B429" s="7" t="s">
        <v>17</v>
      </c>
      <c r="C429" s="4" t="s">
        <v>84</v>
      </c>
      <c r="D429" s="4" t="s">
        <v>102</v>
      </c>
      <c r="E429" s="4">
        <v>428</v>
      </c>
      <c r="F429" s="9">
        <v>46094</v>
      </c>
      <c r="G429" s="9" t="b">
        <v>0</v>
      </c>
      <c r="H429" s="4" t="b">
        <v>0</v>
      </c>
      <c r="I429" s="28" t="s">
        <v>20</v>
      </c>
      <c r="J429" s="4">
        <f t="shared" si="22"/>
        <v>15</v>
      </c>
      <c r="K429" s="4">
        <f ca="1">IF(AND(F429&lt;&gt;"", L429&lt;&gt;""), NETWORKDAYS(TODAY(), L429-1, FESTIVOS!A$1:A$55), "")</f>
        <v>-49</v>
      </c>
      <c r="L429" s="9">
        <f>IF(AND(F429&lt;&gt;"", J429&lt;&gt;""), WORKDAY(F429, J429, FESTIVOS!A$1:A$55), "")</f>
        <v>46120</v>
      </c>
      <c r="M429" s="4" t="s">
        <v>21</v>
      </c>
      <c r="N429" s="4">
        <f t="shared" ca="1" si="23"/>
        <v>0</v>
      </c>
      <c r="O429" s="4" t="str">
        <f t="shared" ca="1" si="24"/>
        <v>Vencido</v>
      </c>
      <c r="P429" s="4" t="s">
        <v>736</v>
      </c>
      <c r="Q429" s="9">
        <v>46098</v>
      </c>
      <c r="R429" s="10">
        <f>IF(OR(Q429="", L429=""), "", NETWORKDAYS(L429, Q429, FESTIVOS!A428:A482))</f>
        <v>-17</v>
      </c>
    </row>
    <row r="430" spans="1:18" x14ac:dyDescent="0.25">
      <c r="A430" s="8" t="s">
        <v>16</v>
      </c>
      <c r="B430" s="7" t="s">
        <v>737</v>
      </c>
      <c r="C430" s="4" t="s">
        <v>90</v>
      </c>
      <c r="D430" s="4" t="s">
        <v>738</v>
      </c>
      <c r="E430" s="4">
        <v>429</v>
      </c>
      <c r="F430" s="9">
        <v>46097</v>
      </c>
      <c r="G430" s="9" t="b">
        <v>0</v>
      </c>
      <c r="H430" s="4" t="b">
        <v>0</v>
      </c>
      <c r="I430" s="28" t="s">
        <v>20</v>
      </c>
      <c r="J430" s="4">
        <f t="shared" si="22"/>
        <v>15</v>
      </c>
      <c r="K430" s="4">
        <f ca="1">IF(AND(F430&lt;&gt;"", L430&lt;&gt;""), NETWORKDAYS(TODAY(), L430-1, FESTIVOS!A$1:A$55), "")</f>
        <v>-48</v>
      </c>
      <c r="L430" s="9">
        <f>IF(AND(F430&lt;&gt;"", J430&lt;&gt;""), WORKDAY(F430, J430, FESTIVOS!A$1:A$55), "")</f>
        <v>46121</v>
      </c>
      <c r="M430" s="4" t="s">
        <v>21</v>
      </c>
      <c r="N430" s="4">
        <f t="shared" ca="1" si="23"/>
        <v>0</v>
      </c>
      <c r="O430" s="4" t="str">
        <f t="shared" ca="1" si="24"/>
        <v>Vencido</v>
      </c>
      <c r="P430" s="4" t="s">
        <v>739</v>
      </c>
      <c r="Q430" s="9">
        <v>46088</v>
      </c>
      <c r="R430" s="10">
        <f>IF(OR(Q430="", L430=""), "", NETWORKDAYS(L430, Q430, FESTIVOS!A429:A483))</f>
        <v>-24</v>
      </c>
    </row>
    <row r="431" spans="1:18" x14ac:dyDescent="0.25">
      <c r="A431" s="8" t="s">
        <v>16</v>
      </c>
      <c r="B431" s="7" t="s">
        <v>740</v>
      </c>
      <c r="C431" s="4" t="s">
        <v>46</v>
      </c>
      <c r="D431" s="4" t="s">
        <v>39</v>
      </c>
      <c r="E431" s="4">
        <v>430</v>
      </c>
      <c r="F431" s="9">
        <v>46097</v>
      </c>
      <c r="G431" s="9" t="b">
        <v>0</v>
      </c>
      <c r="H431" s="4" t="b">
        <v>0</v>
      </c>
      <c r="I431" s="28" t="s">
        <v>66</v>
      </c>
      <c r="J431" s="4">
        <f t="shared" si="22"/>
        <v>15</v>
      </c>
      <c r="K431" s="4">
        <f ca="1">IF(AND(F431&lt;&gt;"", L431&lt;&gt;""), NETWORKDAYS(TODAY(), L431-1, FESTIVOS!A$1:A$55), "")</f>
        <v>-48</v>
      </c>
      <c r="L431" s="9">
        <f>IF(AND(F431&lt;&gt;"", J431&lt;&gt;""), WORKDAY(F431, J431, FESTIVOS!A$1:A$55), "")</f>
        <v>46121</v>
      </c>
      <c r="M431" s="4" t="s">
        <v>21</v>
      </c>
      <c r="N431" s="4">
        <f t="shared" ca="1" si="23"/>
        <v>0</v>
      </c>
      <c r="O431" s="4" t="str">
        <f t="shared" ca="1" si="24"/>
        <v>Vencido</v>
      </c>
      <c r="P431" s="4" t="s">
        <v>741</v>
      </c>
      <c r="Q431" s="9">
        <v>46105</v>
      </c>
      <c r="R431" s="10">
        <f>IF(OR(Q431="", L431=""), "", NETWORKDAYS(L431, Q431, FESTIVOS!A430:A484))</f>
        <v>-13</v>
      </c>
    </row>
    <row r="432" spans="1:18" x14ac:dyDescent="0.25">
      <c r="A432" s="8" t="s">
        <v>16</v>
      </c>
      <c r="B432" s="7" t="s">
        <v>742</v>
      </c>
      <c r="C432" s="4" t="s">
        <v>46</v>
      </c>
      <c r="D432" s="4" t="s">
        <v>61</v>
      </c>
      <c r="E432" s="4">
        <v>431</v>
      </c>
      <c r="F432" s="9">
        <v>46097</v>
      </c>
      <c r="G432" s="9" t="b">
        <v>0</v>
      </c>
      <c r="H432" s="4" t="b">
        <v>0</v>
      </c>
      <c r="I432" s="28" t="s">
        <v>20</v>
      </c>
      <c r="J432" s="4">
        <f t="shared" si="22"/>
        <v>15</v>
      </c>
      <c r="K432" s="4">
        <f ca="1">IF(AND(F432&lt;&gt;"", L432&lt;&gt;""), NETWORKDAYS(TODAY(), L432-1, FESTIVOS!A$1:A$55), "")</f>
        <v>-48</v>
      </c>
      <c r="L432" s="9">
        <f>IF(AND(F432&lt;&gt;"", J432&lt;&gt;""), WORKDAY(F432, J432, FESTIVOS!A$1:A$55), "")</f>
        <v>46121</v>
      </c>
      <c r="M432" s="4" t="s">
        <v>21</v>
      </c>
      <c r="N432" s="4">
        <f t="shared" ca="1" si="23"/>
        <v>0</v>
      </c>
      <c r="O432" s="4" t="str">
        <f t="shared" ca="1" si="24"/>
        <v>Vencido</v>
      </c>
      <c r="P432" s="4" t="s">
        <v>743</v>
      </c>
      <c r="Q432" s="9">
        <v>46100</v>
      </c>
      <c r="R432" s="10">
        <f>IF(OR(Q432="", L432=""), "", NETWORKDAYS(L432, Q432, FESTIVOS!A431:A485))</f>
        <v>-16</v>
      </c>
    </row>
    <row r="433" spans="1:18" x14ac:dyDescent="0.25">
      <c r="A433" s="8" t="s">
        <v>636</v>
      </c>
      <c r="B433" s="7" t="s">
        <v>506</v>
      </c>
      <c r="C433" s="4" t="s">
        <v>744</v>
      </c>
      <c r="D433" s="4" t="s">
        <v>745</v>
      </c>
      <c r="E433" s="4">
        <v>432</v>
      </c>
      <c r="F433" s="9">
        <v>46093</v>
      </c>
      <c r="G433" s="9" t="b">
        <v>0</v>
      </c>
      <c r="H433" s="4" t="b">
        <v>0</v>
      </c>
      <c r="I433" s="28" t="s">
        <v>80</v>
      </c>
      <c r="J433" s="4">
        <f t="shared" si="22"/>
        <v>10</v>
      </c>
      <c r="K433" s="4">
        <f ca="1">IF(AND(F433&lt;&gt;"", L433&lt;&gt;""), NETWORKDAYS(TODAY(), L433-1, FESTIVOS!A$1:A$55), "")</f>
        <v>-55</v>
      </c>
      <c r="L433" s="9">
        <f>IF(AND(F433&lt;&gt;"", J433&lt;&gt;""), WORKDAY(F433, J433, FESTIVOS!A$1:A$55), "")</f>
        <v>46108</v>
      </c>
      <c r="M433" s="4" t="s">
        <v>21</v>
      </c>
      <c r="N433" s="4">
        <f t="shared" ca="1" si="23"/>
        <v>0</v>
      </c>
      <c r="O433" s="4" t="str">
        <f t="shared" ca="1" si="24"/>
        <v>Vencido</v>
      </c>
      <c r="P433" s="4" t="s">
        <v>746</v>
      </c>
      <c r="Q433" s="9">
        <v>46108</v>
      </c>
      <c r="R433" s="10">
        <f>IF(OR(Q433="", L433=""), "", NETWORKDAYS(L433, Q433, FESTIVOS!A432:A486))</f>
        <v>1</v>
      </c>
    </row>
    <row r="434" spans="1:18" x14ac:dyDescent="0.25">
      <c r="A434" s="8" t="s">
        <v>16</v>
      </c>
      <c r="B434" s="7" t="s">
        <v>747</v>
      </c>
      <c r="C434" s="4" t="s">
        <v>748</v>
      </c>
      <c r="D434" s="4" t="s">
        <v>749</v>
      </c>
      <c r="E434" s="4">
        <v>433</v>
      </c>
      <c r="F434" s="9">
        <v>46097</v>
      </c>
      <c r="G434" s="9" t="b">
        <v>0</v>
      </c>
      <c r="H434" s="4" t="b">
        <v>0</v>
      </c>
      <c r="I434" s="28" t="s">
        <v>66</v>
      </c>
      <c r="J434" s="4">
        <f t="shared" si="22"/>
        <v>15</v>
      </c>
      <c r="K434" s="4">
        <f ca="1">IF(AND(F434&lt;&gt;"", L434&lt;&gt;""), NETWORKDAYS(TODAY(), L434-1, FESTIVOS!A$1:A$55), "")</f>
        <v>-48</v>
      </c>
      <c r="L434" s="9">
        <f>IF(AND(F434&lt;&gt;"", J434&lt;&gt;""), WORKDAY(F434, J434, FESTIVOS!A$1:A$55), "")</f>
        <v>46121</v>
      </c>
      <c r="M434" s="4" t="s">
        <v>21</v>
      </c>
      <c r="N434" s="4">
        <f t="shared" ca="1" si="23"/>
        <v>0</v>
      </c>
      <c r="O434" s="4" t="str">
        <f t="shared" ca="1" si="24"/>
        <v>Vencido</v>
      </c>
      <c r="P434" s="4" t="s">
        <v>750</v>
      </c>
      <c r="Q434" s="9">
        <v>46113</v>
      </c>
      <c r="R434" s="10">
        <f>IF(OR(Q434="", L434=""), "", NETWORKDAYS(L434, Q434, FESTIVOS!A433:A487))</f>
        <v>-7</v>
      </c>
    </row>
    <row r="435" spans="1:18" x14ac:dyDescent="0.25">
      <c r="A435" s="8" t="s">
        <v>16</v>
      </c>
      <c r="B435" s="7" t="s">
        <v>751</v>
      </c>
      <c r="C435" s="4" t="s">
        <v>46</v>
      </c>
      <c r="D435" s="4" t="s">
        <v>135</v>
      </c>
      <c r="E435" s="4">
        <v>434</v>
      </c>
      <c r="F435" s="9">
        <v>46097</v>
      </c>
      <c r="G435" s="9" t="b">
        <v>0</v>
      </c>
      <c r="H435" s="4" t="b">
        <v>0</v>
      </c>
      <c r="I435" s="28" t="s">
        <v>66</v>
      </c>
      <c r="J435" s="4">
        <f t="shared" si="22"/>
        <v>15</v>
      </c>
      <c r="K435" s="4">
        <f ca="1">IF(AND(F435&lt;&gt;"", L435&lt;&gt;""), NETWORKDAYS(TODAY(), L435-1, FESTIVOS!A$1:A$55), "")</f>
        <v>-48</v>
      </c>
      <c r="L435" s="9">
        <f>IF(AND(F435&lt;&gt;"", J435&lt;&gt;""), WORKDAY(F435, J435, FESTIVOS!A$1:A$55), "")</f>
        <v>46121</v>
      </c>
      <c r="M435" s="4" t="s">
        <v>21</v>
      </c>
      <c r="N435" s="4">
        <f t="shared" ca="1" si="23"/>
        <v>0</v>
      </c>
      <c r="O435" s="4" t="str">
        <f t="shared" ca="1" si="24"/>
        <v>Vencido</v>
      </c>
      <c r="P435" s="4" t="s">
        <v>752</v>
      </c>
      <c r="Q435" s="9">
        <v>46105</v>
      </c>
      <c r="R435" s="10">
        <f>IF(OR(Q435="", L435=""), "", NETWORKDAYS(L435, Q435, FESTIVOS!A434:A488))</f>
        <v>-13</v>
      </c>
    </row>
    <row r="436" spans="1:18" ht="22.9" customHeight="1" x14ac:dyDescent="0.25">
      <c r="A436" s="8" t="s">
        <v>16</v>
      </c>
      <c r="B436" s="7" t="s">
        <v>753</v>
      </c>
      <c r="C436" s="4" t="s">
        <v>46</v>
      </c>
      <c r="D436" s="4" t="s">
        <v>135</v>
      </c>
      <c r="E436" s="4">
        <v>435</v>
      </c>
      <c r="F436" s="9">
        <v>46097</v>
      </c>
      <c r="G436" s="9" t="b">
        <v>0</v>
      </c>
      <c r="H436" s="4" t="b">
        <v>0</v>
      </c>
      <c r="I436" s="28" t="s">
        <v>66</v>
      </c>
      <c r="J436" s="4">
        <f t="shared" si="22"/>
        <v>15</v>
      </c>
      <c r="K436" s="4">
        <f ca="1">IF(AND(F436&lt;&gt;"", L436&lt;&gt;""), NETWORKDAYS(TODAY(), L436-1, FESTIVOS!A$1:A$55), "")</f>
        <v>-48</v>
      </c>
      <c r="L436" s="9">
        <f>IF(AND(F436&lt;&gt;"", J436&lt;&gt;""), WORKDAY(F436, J436, FESTIVOS!A$1:A$55), "")</f>
        <v>46121</v>
      </c>
      <c r="M436" s="4" t="s">
        <v>21</v>
      </c>
      <c r="N436" s="4">
        <f t="shared" ca="1" si="23"/>
        <v>0</v>
      </c>
      <c r="O436" s="4" t="str">
        <f t="shared" ca="1" si="24"/>
        <v>Vencido</v>
      </c>
      <c r="P436" s="4" t="s">
        <v>754</v>
      </c>
      <c r="Q436" s="9">
        <v>46099</v>
      </c>
      <c r="R436" s="10">
        <f>IF(OR(Q436="", L436=""), "", NETWORKDAYS(L436, Q436, FESTIVOS!A435:A489))</f>
        <v>-17</v>
      </c>
    </row>
    <row r="437" spans="1:18" ht="26.45" customHeight="1" x14ac:dyDescent="0.25">
      <c r="A437" s="8" t="s">
        <v>16</v>
      </c>
      <c r="B437" s="7" t="s">
        <v>755</v>
      </c>
      <c r="C437" s="4" t="s">
        <v>46</v>
      </c>
      <c r="D437" s="4" t="s">
        <v>98</v>
      </c>
      <c r="E437" s="4">
        <v>436</v>
      </c>
      <c r="F437" s="9">
        <v>46097</v>
      </c>
      <c r="G437" s="9" t="b">
        <v>0</v>
      </c>
      <c r="H437" s="4" t="b">
        <v>0</v>
      </c>
      <c r="I437" s="28" t="s">
        <v>20</v>
      </c>
      <c r="J437" s="4">
        <f t="shared" si="22"/>
        <v>15</v>
      </c>
      <c r="K437" s="4">
        <f ca="1">IF(AND(F437&lt;&gt;"", L437&lt;&gt;""), NETWORKDAYS(TODAY(), L437-1, FESTIVOS!A$1:A$55), "")</f>
        <v>-48</v>
      </c>
      <c r="L437" s="9">
        <f>IF(AND(F437&lt;&gt;"", J437&lt;&gt;""), WORKDAY(F437, J437, FESTIVOS!A$1:A$55), "")</f>
        <v>46121</v>
      </c>
      <c r="M437" s="4" t="s">
        <v>21</v>
      </c>
      <c r="N437" s="4">
        <f t="shared" ca="1" si="23"/>
        <v>0</v>
      </c>
      <c r="O437" s="4" t="str">
        <f t="shared" ca="1" si="24"/>
        <v>Vencido</v>
      </c>
      <c r="P437" s="4" t="s">
        <v>37</v>
      </c>
      <c r="Q437" s="9" t="b">
        <v>0</v>
      </c>
      <c r="R437" s="10" t="e">
        <f>IF(OR(Q437="", L437=""), "", NETWORKDAYS(L437, Q437, FESTIVOS!A436:A490))</f>
        <v>#VALUE!</v>
      </c>
    </row>
    <row r="438" spans="1:18" ht="25.15" customHeight="1" x14ac:dyDescent="0.25">
      <c r="A438" s="8" t="s">
        <v>16</v>
      </c>
      <c r="B438" s="7" t="s">
        <v>756</v>
      </c>
      <c r="C438" s="4" t="s">
        <v>46</v>
      </c>
      <c r="D438" s="4" t="s">
        <v>98</v>
      </c>
      <c r="E438" s="4">
        <v>437</v>
      </c>
      <c r="F438" s="9">
        <v>46097</v>
      </c>
      <c r="G438" s="9" t="b">
        <v>0</v>
      </c>
      <c r="H438" s="4" t="b">
        <v>0</v>
      </c>
      <c r="I438" s="28" t="s">
        <v>20</v>
      </c>
      <c r="J438" s="4">
        <f t="shared" si="22"/>
        <v>15</v>
      </c>
      <c r="K438" s="4">
        <f ca="1">IF(AND(F438&lt;&gt;"", L438&lt;&gt;""), NETWORKDAYS(TODAY(), L438-1, FESTIVOS!A$1:A$55), "")</f>
        <v>-48</v>
      </c>
      <c r="L438" s="9">
        <f>IF(AND(F438&lt;&gt;"", J438&lt;&gt;""), WORKDAY(F438, J438, FESTIVOS!A$1:A$55), "")</f>
        <v>46121</v>
      </c>
      <c r="M438" s="4" t="s">
        <v>21</v>
      </c>
      <c r="N438" s="4">
        <f t="shared" ca="1" si="23"/>
        <v>0</v>
      </c>
      <c r="O438" s="4" t="str">
        <f t="shared" ca="1" si="24"/>
        <v>Vencido</v>
      </c>
      <c r="P438" s="4" t="s">
        <v>37</v>
      </c>
      <c r="Q438" s="9" t="b">
        <v>0</v>
      </c>
      <c r="R438" s="10" t="e">
        <f>IF(OR(Q438="", L438=""), "", NETWORKDAYS(L438, Q438, FESTIVOS!A437:A491))</f>
        <v>#VALUE!</v>
      </c>
    </row>
    <row r="439" spans="1:18" ht="24.6" customHeight="1" x14ac:dyDescent="0.25">
      <c r="A439" s="8" t="s">
        <v>16</v>
      </c>
      <c r="B439" s="7" t="s">
        <v>757</v>
      </c>
      <c r="C439" s="4" t="s">
        <v>46</v>
      </c>
      <c r="D439" s="4" t="s">
        <v>98</v>
      </c>
      <c r="E439" s="4">
        <v>438</v>
      </c>
      <c r="F439" s="9">
        <v>46097</v>
      </c>
      <c r="G439" s="9" t="b">
        <v>0</v>
      </c>
      <c r="H439" s="4" t="b">
        <v>0</v>
      </c>
      <c r="I439" s="28" t="s">
        <v>20</v>
      </c>
      <c r="J439" s="4">
        <f t="shared" ref="J439:J501" si="25">IF(A439="INFORMACIÓN O DOCUMENTOS", 10, IF(A439="CONSULTA", 30, IF(A439="FACTURACIÓN Y COBROS", 15, IF(A439="VINCULACIÓN Y DESVINCULACIÓN", 15, IF(A439="NO ES DE NUESTRA COMPETENCIA", 5, IF(A439="OTRO", 15, ""))))))</f>
        <v>15</v>
      </c>
      <c r="K439" s="4">
        <f ca="1">IF(AND(F439&lt;&gt;"", L439&lt;&gt;""), NETWORKDAYS(TODAY(), L439-1, FESTIVOS!A$1:A$55), "")</f>
        <v>-48</v>
      </c>
      <c r="L439" s="9">
        <f>IF(AND(F439&lt;&gt;"", J439&lt;&gt;""), WORKDAY(F439, J439, FESTIVOS!A$1:A$55), "")</f>
        <v>46121</v>
      </c>
      <c r="M439" s="4" t="s">
        <v>21</v>
      </c>
      <c r="N439" s="4">
        <f t="shared" ref="N439:N501" ca="1" si="26">IF(K439="", "", MAX(0, K439 - (TODAY() - TODAY())))</f>
        <v>0</v>
      </c>
      <c r="O439" s="4" t="str">
        <f t="shared" ref="O439:O501" ca="1" si="27">IF(OR(K439="", J439=""), "", IF(K439&lt;0, "Vencido", IF(K439&gt;(J439/2), "Supere la mitad", "Bajo la mitad")))</f>
        <v>Vencido</v>
      </c>
      <c r="P439" s="4" t="s">
        <v>758</v>
      </c>
      <c r="Q439" s="9" t="b">
        <v>0</v>
      </c>
      <c r="R439" s="10" t="e">
        <f>IF(OR(Q439="", L439=""), "", NETWORKDAYS(L439, Q439, FESTIVOS!A438:A492))</f>
        <v>#VALUE!</v>
      </c>
    </row>
    <row r="440" spans="1:18" x14ac:dyDescent="0.25">
      <c r="A440" s="8" t="s">
        <v>16</v>
      </c>
      <c r="B440" s="7" t="s">
        <v>423</v>
      </c>
      <c r="C440" s="4" t="s">
        <v>90</v>
      </c>
      <c r="D440" s="4" t="s">
        <v>759</v>
      </c>
      <c r="E440" s="4">
        <v>439</v>
      </c>
      <c r="F440" s="9">
        <v>46097</v>
      </c>
      <c r="G440" s="9" t="b">
        <v>0</v>
      </c>
      <c r="H440" s="4" t="b">
        <v>0</v>
      </c>
      <c r="I440" s="28" t="s">
        <v>20</v>
      </c>
      <c r="J440" s="4">
        <f t="shared" si="25"/>
        <v>15</v>
      </c>
      <c r="K440" s="4">
        <f ca="1">IF(AND(F440&lt;&gt;"", L440&lt;&gt;""), NETWORKDAYS(TODAY(), L440-1, FESTIVOS!A$1:A$55), "")</f>
        <v>-48</v>
      </c>
      <c r="L440" s="9">
        <f>IF(AND(F440&lt;&gt;"", J440&lt;&gt;""), WORKDAY(F440, J440, FESTIVOS!A$1:A$55), "")</f>
        <v>46121</v>
      </c>
      <c r="M440" s="4" t="s">
        <v>21</v>
      </c>
      <c r="N440" s="4">
        <f t="shared" ca="1" si="26"/>
        <v>0</v>
      </c>
      <c r="O440" s="4" t="str">
        <f t="shared" ca="1" si="27"/>
        <v>Vencido</v>
      </c>
      <c r="P440" s="4" t="s">
        <v>760</v>
      </c>
      <c r="Q440" s="9">
        <v>46111</v>
      </c>
      <c r="R440" s="10">
        <f>IF(OR(Q440="", L440=""), "", NETWORKDAYS(L440, Q440, FESTIVOS!A439:A493))</f>
        <v>-9</v>
      </c>
    </row>
    <row r="441" spans="1:18" x14ac:dyDescent="0.25">
      <c r="A441" s="8" t="s">
        <v>16</v>
      </c>
      <c r="B441" s="7" t="s">
        <v>761</v>
      </c>
      <c r="C441" s="4" t="s">
        <v>90</v>
      </c>
      <c r="D441" s="4" t="s">
        <v>762</v>
      </c>
      <c r="E441" s="4">
        <v>440</v>
      </c>
      <c r="F441" s="9">
        <v>46098</v>
      </c>
      <c r="G441" s="9" t="b">
        <v>0</v>
      </c>
      <c r="H441" s="4" t="b">
        <v>0</v>
      </c>
      <c r="I441" s="28" t="s">
        <v>20</v>
      </c>
      <c r="J441" s="4">
        <f t="shared" si="25"/>
        <v>15</v>
      </c>
      <c r="K441" s="4">
        <f ca="1">IF(AND(F441&lt;&gt;"", L441&lt;&gt;""), NETWORKDAYS(TODAY(), L441-1, FESTIVOS!A$1:A$55), "")</f>
        <v>-47</v>
      </c>
      <c r="L441" s="9">
        <f>IF(AND(F441&lt;&gt;"", J441&lt;&gt;""), WORKDAY(F441, J441, FESTIVOS!A$1:A$55), "")</f>
        <v>46122</v>
      </c>
      <c r="M441" s="4" t="s">
        <v>21</v>
      </c>
      <c r="N441" s="4">
        <f t="shared" ca="1" si="26"/>
        <v>0</v>
      </c>
      <c r="O441" s="4" t="str">
        <f t="shared" ca="1" si="27"/>
        <v>Vencido</v>
      </c>
      <c r="P441" s="4" t="s">
        <v>763</v>
      </c>
      <c r="Q441" s="9">
        <v>46119</v>
      </c>
      <c r="R441" s="10">
        <f>IF(OR(Q441="", L441=""), "", NETWORKDAYS(L441, Q441, FESTIVOS!A440:A494))</f>
        <v>-4</v>
      </c>
    </row>
    <row r="442" spans="1:18" x14ac:dyDescent="0.25">
      <c r="A442" s="8" t="s">
        <v>16</v>
      </c>
      <c r="B442" s="7" t="b">
        <v>0</v>
      </c>
      <c r="C442" s="4" t="s">
        <v>46</v>
      </c>
      <c r="D442" s="4" t="s">
        <v>764</v>
      </c>
      <c r="E442" s="4">
        <v>441</v>
      </c>
      <c r="F442" s="9">
        <v>46098</v>
      </c>
      <c r="G442" s="9" t="b">
        <v>0</v>
      </c>
      <c r="H442" s="4" t="b">
        <v>0</v>
      </c>
      <c r="I442" s="28" t="s">
        <v>66</v>
      </c>
      <c r="J442" s="4">
        <f t="shared" si="25"/>
        <v>15</v>
      </c>
      <c r="K442" s="4">
        <f ca="1">IF(AND(F442&lt;&gt;"", L442&lt;&gt;""), NETWORKDAYS(TODAY(), L442-1, FESTIVOS!A$1:A$55), "")</f>
        <v>-47</v>
      </c>
      <c r="L442" s="9">
        <f>IF(AND(F442&lt;&gt;"", J442&lt;&gt;""), WORKDAY(F442, J442, FESTIVOS!A$1:A$55), "")</f>
        <v>46122</v>
      </c>
      <c r="M442" s="4" t="s">
        <v>21</v>
      </c>
      <c r="N442" s="4">
        <f t="shared" ca="1" si="26"/>
        <v>0</v>
      </c>
      <c r="O442" s="4" t="str">
        <f t="shared" ca="1" si="27"/>
        <v>Vencido</v>
      </c>
      <c r="P442" s="4" t="s">
        <v>765</v>
      </c>
      <c r="Q442" s="9">
        <v>46121</v>
      </c>
      <c r="R442" s="10">
        <f>IF(OR(Q442="", L442=""), "", NETWORKDAYS(L442, Q442, FESTIVOS!A441:A495))</f>
        <v>-2</v>
      </c>
    </row>
    <row r="443" spans="1:18" x14ac:dyDescent="0.25">
      <c r="A443" s="8" t="s">
        <v>16</v>
      </c>
      <c r="B443" s="7" t="s">
        <v>766</v>
      </c>
      <c r="C443" s="4" t="s">
        <v>25</v>
      </c>
      <c r="D443" s="4" t="s">
        <v>767</v>
      </c>
      <c r="E443" s="4">
        <v>442</v>
      </c>
      <c r="F443" s="9">
        <v>46098</v>
      </c>
      <c r="G443" s="9" t="b">
        <v>0</v>
      </c>
      <c r="H443" s="4" t="b">
        <v>0</v>
      </c>
      <c r="I443" s="28" t="s">
        <v>20</v>
      </c>
      <c r="J443" s="4">
        <f t="shared" si="25"/>
        <v>15</v>
      </c>
      <c r="K443" s="4">
        <f ca="1">IF(AND(F443&lt;&gt;"", L443&lt;&gt;""), NETWORKDAYS(TODAY(), L443-1, FESTIVOS!A$1:A$55), "")</f>
        <v>-47</v>
      </c>
      <c r="L443" s="9">
        <f>IF(AND(F443&lt;&gt;"", J443&lt;&gt;""), WORKDAY(F443, J443, FESTIVOS!A$1:A$55), "")</f>
        <v>46122</v>
      </c>
      <c r="M443" s="4" t="s">
        <v>21</v>
      </c>
      <c r="N443" s="4">
        <f t="shared" ca="1" si="26"/>
        <v>0</v>
      </c>
      <c r="O443" s="4" t="str">
        <f t="shared" ca="1" si="27"/>
        <v>Vencido</v>
      </c>
      <c r="P443" s="4" t="s">
        <v>768</v>
      </c>
      <c r="Q443" s="9">
        <v>46111</v>
      </c>
      <c r="R443" s="12" t="e">
        <f>IF(OR(Q443="", L443=""), "", NETWORKDAYS(L443, Q443,#REF!))</f>
        <v>#REF!</v>
      </c>
    </row>
    <row r="444" spans="1:18" x14ac:dyDescent="0.25">
      <c r="A444" s="8" t="s">
        <v>16</v>
      </c>
      <c r="B444" s="7" t="s">
        <v>208</v>
      </c>
      <c r="C444" s="4" t="s">
        <v>209</v>
      </c>
      <c r="D444" s="4" t="s">
        <v>769</v>
      </c>
      <c r="E444" s="4">
        <v>443</v>
      </c>
      <c r="F444" s="9">
        <v>46099</v>
      </c>
      <c r="G444" s="9" t="b">
        <v>0</v>
      </c>
      <c r="H444" s="4" t="b">
        <v>0</v>
      </c>
      <c r="I444" s="28" t="s">
        <v>80</v>
      </c>
      <c r="J444" s="4">
        <f t="shared" si="25"/>
        <v>15</v>
      </c>
      <c r="K444" s="4">
        <f ca="1">IF(AND(F444&lt;&gt;"", L444&lt;&gt;""), NETWORKDAYS(TODAY(), L444-1, FESTIVOS!A$1:A$55), "")</f>
        <v>-45</v>
      </c>
      <c r="L444" s="9">
        <f>IF(AND(F444&lt;&gt;"", J444&lt;&gt;""), WORKDAY(F444, J444, FESTIVOS!A$1:A$55), "")</f>
        <v>46125</v>
      </c>
      <c r="M444" s="4" t="s">
        <v>21</v>
      </c>
      <c r="N444" s="4">
        <f t="shared" ca="1" si="26"/>
        <v>0</v>
      </c>
      <c r="O444" s="4" t="str">
        <f t="shared" ca="1" si="27"/>
        <v>Vencido</v>
      </c>
      <c r="P444" s="4" t="b">
        <v>0</v>
      </c>
      <c r="Q444" s="4" t="b">
        <v>0</v>
      </c>
      <c r="R444" s="12" t="e">
        <f>IF(OR(Q444="", L444=""), "", NETWORKDAYS(L444, Q444,#REF!))</f>
        <v>#VALUE!</v>
      </c>
    </row>
    <row r="445" spans="1:18" x14ac:dyDescent="0.25">
      <c r="A445" s="8" t="s">
        <v>16</v>
      </c>
      <c r="B445" s="7" t="s">
        <v>326</v>
      </c>
      <c r="C445" s="4" t="s">
        <v>90</v>
      </c>
      <c r="D445" s="4" t="s">
        <v>239</v>
      </c>
      <c r="E445" s="4">
        <v>444</v>
      </c>
      <c r="F445" s="9">
        <v>46099</v>
      </c>
      <c r="G445" s="9" t="b">
        <v>0</v>
      </c>
      <c r="H445" s="4" t="b">
        <v>0</v>
      </c>
      <c r="I445" s="28" t="s">
        <v>66</v>
      </c>
      <c r="J445" s="4">
        <f t="shared" si="25"/>
        <v>15</v>
      </c>
      <c r="K445" s="4">
        <f ca="1">IF(AND(F445&lt;&gt;"", L445&lt;&gt;""), NETWORKDAYS(TODAY(), L445-1, FESTIVOS!A$1:A$55), "")</f>
        <v>-45</v>
      </c>
      <c r="L445" s="9">
        <f>IF(AND(F445&lt;&gt;"", J445&lt;&gt;""), WORKDAY(F445, J445, FESTIVOS!A$1:A$55), "")</f>
        <v>46125</v>
      </c>
      <c r="M445" s="4" t="s">
        <v>21</v>
      </c>
      <c r="N445" s="4">
        <f t="shared" ca="1" si="26"/>
        <v>0</v>
      </c>
      <c r="O445" s="4" t="str">
        <f t="shared" ca="1" si="27"/>
        <v>Vencido</v>
      </c>
      <c r="P445" s="4" t="s">
        <v>770</v>
      </c>
      <c r="Q445" s="9">
        <v>46105</v>
      </c>
      <c r="R445" s="12" t="b">
        <v>0</v>
      </c>
    </row>
    <row r="446" spans="1:18" x14ac:dyDescent="0.25">
      <c r="A446" s="8" t="s">
        <v>16</v>
      </c>
      <c r="B446" s="7" t="s">
        <v>771</v>
      </c>
      <c r="C446" s="4" t="s">
        <v>25</v>
      </c>
      <c r="D446" s="4" t="s">
        <v>772</v>
      </c>
      <c r="E446" s="4">
        <v>445</v>
      </c>
      <c r="F446" s="9">
        <v>46099</v>
      </c>
      <c r="G446" s="9" t="b">
        <v>0</v>
      </c>
      <c r="H446" s="4" t="b">
        <v>0</v>
      </c>
      <c r="I446" s="28" t="s">
        <v>66</v>
      </c>
      <c r="J446" s="4">
        <f t="shared" si="25"/>
        <v>15</v>
      </c>
      <c r="K446" s="4">
        <f ca="1">IF(AND(F446&lt;&gt;"", L446&lt;&gt;""), NETWORKDAYS(TODAY(), L446-1, FESTIVOS!A$1:A$55), "")</f>
        <v>-45</v>
      </c>
      <c r="L446" s="9">
        <f>IF(AND(F446&lt;&gt;"", J446&lt;&gt;""), WORKDAY(F446, J446, FESTIVOS!A$1:A$55), "")</f>
        <v>46125</v>
      </c>
      <c r="M446" s="4" t="s">
        <v>21</v>
      </c>
      <c r="N446" s="4">
        <f t="shared" ca="1" si="26"/>
        <v>0</v>
      </c>
      <c r="O446" s="4" t="str">
        <f t="shared" ca="1" si="27"/>
        <v>Vencido</v>
      </c>
      <c r="P446" s="4" t="s">
        <v>773</v>
      </c>
      <c r="Q446" s="9">
        <v>46106</v>
      </c>
      <c r="R446" s="12" t="e">
        <f>IF(OR(Q446="", L446=""), "", NETWORKDAYS(L446, Q446,#REF!))</f>
        <v>#REF!</v>
      </c>
    </row>
    <row r="447" spans="1:18" x14ac:dyDescent="0.25">
      <c r="A447" s="8" t="s">
        <v>16</v>
      </c>
      <c r="B447" s="7" t="s">
        <v>774</v>
      </c>
      <c r="C447" s="4" t="s">
        <v>25</v>
      </c>
      <c r="D447" s="4" t="s">
        <v>775</v>
      </c>
      <c r="E447" s="4">
        <v>446</v>
      </c>
      <c r="F447" s="9">
        <v>46099</v>
      </c>
      <c r="G447" s="9" t="b">
        <v>0</v>
      </c>
      <c r="H447" s="4" t="b">
        <v>0</v>
      </c>
      <c r="I447" s="28" t="s">
        <v>20</v>
      </c>
      <c r="J447" s="4">
        <f t="shared" si="25"/>
        <v>15</v>
      </c>
      <c r="K447" s="4">
        <f ca="1">IF(AND(F447&lt;&gt;"", L447&lt;&gt;""), NETWORKDAYS(TODAY(), L447-1, FESTIVOS!A$1:A$55), "")</f>
        <v>-45</v>
      </c>
      <c r="L447" s="9">
        <f>IF(AND(F447&lt;&gt;"", J447&lt;&gt;""), WORKDAY(F447, J447, FESTIVOS!A$1:A$55), "")</f>
        <v>46125</v>
      </c>
      <c r="M447" s="4" t="s">
        <v>21</v>
      </c>
      <c r="N447" s="4">
        <f t="shared" ca="1" si="26"/>
        <v>0</v>
      </c>
      <c r="O447" s="4" t="str">
        <f t="shared" ca="1" si="27"/>
        <v>Vencido</v>
      </c>
      <c r="P447" s="4" t="s">
        <v>776</v>
      </c>
      <c r="Q447" s="9">
        <v>46119</v>
      </c>
      <c r="R447" s="12" t="e">
        <f>IF(OR(Q447="", L447=""), "", NETWORKDAYS(L447, Q447,#REF!))</f>
        <v>#REF!</v>
      </c>
    </row>
    <row r="448" spans="1:18" x14ac:dyDescent="0.25">
      <c r="A448" s="8" t="s">
        <v>16</v>
      </c>
      <c r="B448" s="7" t="s">
        <v>401</v>
      </c>
      <c r="C448" s="4" t="s">
        <v>90</v>
      </c>
      <c r="D448" s="4" t="s">
        <v>777</v>
      </c>
      <c r="E448" s="4">
        <v>447</v>
      </c>
      <c r="F448" s="9">
        <v>46099</v>
      </c>
      <c r="G448" s="9" t="b">
        <v>0</v>
      </c>
      <c r="H448" s="4" t="b">
        <v>0</v>
      </c>
      <c r="I448" s="28" t="s">
        <v>20</v>
      </c>
      <c r="J448" s="4">
        <f t="shared" si="25"/>
        <v>15</v>
      </c>
      <c r="K448" s="4">
        <f ca="1">IF(AND(F448&lt;&gt;"", L448&lt;&gt;""), NETWORKDAYS(TODAY(), L448-1, FESTIVOS!A$1:A$55), "")</f>
        <v>-45</v>
      </c>
      <c r="L448" s="9">
        <f>IF(AND(F448&lt;&gt;"", J448&lt;&gt;""), WORKDAY(F448, J448, FESTIVOS!A$1:A$55), "")</f>
        <v>46125</v>
      </c>
      <c r="M448" s="4" t="s">
        <v>21</v>
      </c>
      <c r="N448" s="4">
        <f t="shared" ca="1" si="26"/>
        <v>0</v>
      </c>
      <c r="O448" s="4" t="str">
        <f t="shared" ca="1" si="27"/>
        <v>Vencido</v>
      </c>
      <c r="P448" s="4" t="s">
        <v>778</v>
      </c>
      <c r="Q448" s="9">
        <v>46119</v>
      </c>
      <c r="R448" s="12" t="e">
        <f>IF(OR(Q448="", L448=""), "", NETWORKDAYS(L448, Q448,#REF!))</f>
        <v>#REF!</v>
      </c>
    </row>
    <row r="449" spans="1:18" x14ac:dyDescent="0.25">
      <c r="A449" s="8" t="s">
        <v>16</v>
      </c>
      <c r="B449" s="7" t="s">
        <v>779</v>
      </c>
      <c r="C449" s="4" t="s">
        <v>25</v>
      </c>
      <c r="D449" s="4" t="s">
        <v>61</v>
      </c>
      <c r="E449" s="4">
        <v>448</v>
      </c>
      <c r="F449" s="9">
        <v>46099</v>
      </c>
      <c r="G449" s="9" t="b">
        <v>0</v>
      </c>
      <c r="H449" s="4" t="b">
        <v>0</v>
      </c>
      <c r="I449" s="28" t="s">
        <v>20</v>
      </c>
      <c r="J449" s="4">
        <f t="shared" si="25"/>
        <v>15</v>
      </c>
      <c r="K449" s="4">
        <f ca="1">IF(AND(F449&lt;&gt;"", L449&lt;&gt;""), NETWORKDAYS(TODAY(), L449-1, FESTIVOS!A$1:A$55), "")</f>
        <v>-45</v>
      </c>
      <c r="L449" s="9">
        <f>IF(AND(F449&lt;&gt;"", J449&lt;&gt;""), WORKDAY(F449, J449, FESTIVOS!A$1:A$55), "")</f>
        <v>46125</v>
      </c>
      <c r="M449" s="4" t="s">
        <v>21</v>
      </c>
      <c r="N449" s="4">
        <f t="shared" ca="1" si="26"/>
        <v>0</v>
      </c>
      <c r="O449" s="4" t="str">
        <f t="shared" ca="1" si="27"/>
        <v>Vencido</v>
      </c>
      <c r="P449" s="4" t="s">
        <v>780</v>
      </c>
      <c r="Q449" s="9">
        <v>46108</v>
      </c>
      <c r="R449" s="12" t="e">
        <f>IF(OR(Q449="", L449=""), "", NETWORKDAYS(L449, Q449,#REF!))</f>
        <v>#REF!</v>
      </c>
    </row>
    <row r="450" spans="1:18" x14ac:dyDescent="0.25">
      <c r="A450" s="8" t="s">
        <v>16</v>
      </c>
      <c r="B450" s="7" t="s">
        <v>89</v>
      </c>
      <c r="C450" s="4" t="s">
        <v>90</v>
      </c>
      <c r="D450" s="4" t="s">
        <v>781</v>
      </c>
      <c r="E450" s="4">
        <v>449</v>
      </c>
      <c r="F450" s="9">
        <v>46099</v>
      </c>
      <c r="G450" s="9" t="b">
        <v>0</v>
      </c>
      <c r="H450" s="4" t="b">
        <v>0</v>
      </c>
      <c r="I450" s="28" t="s">
        <v>20</v>
      </c>
      <c r="J450" s="4">
        <f t="shared" si="25"/>
        <v>15</v>
      </c>
      <c r="K450" s="4">
        <f ca="1">IF(AND(F450&lt;&gt;"", L450&lt;&gt;""), NETWORKDAYS(TODAY(), L450-1, FESTIVOS!A$1:A$55), "")</f>
        <v>-45</v>
      </c>
      <c r="L450" s="9">
        <f>IF(AND(F450&lt;&gt;"", J450&lt;&gt;""), WORKDAY(F450, J450, FESTIVOS!A$1:A$55), "")</f>
        <v>46125</v>
      </c>
      <c r="M450" s="4" t="s">
        <v>21</v>
      </c>
      <c r="N450" s="4">
        <f t="shared" ca="1" si="26"/>
        <v>0</v>
      </c>
      <c r="O450" s="4" t="str">
        <f t="shared" ca="1" si="27"/>
        <v>Vencido</v>
      </c>
      <c r="P450" s="4" t="s">
        <v>37</v>
      </c>
      <c r="Q450" s="4" t="b">
        <v>0</v>
      </c>
      <c r="R450" s="12" t="e">
        <f>IF(OR(Q450="", L450=""), "", NETWORKDAYS(L450, Q450,#REF!))</f>
        <v>#VALUE!</v>
      </c>
    </row>
    <row r="451" spans="1:18" x14ac:dyDescent="0.25">
      <c r="A451" s="8" t="s">
        <v>16</v>
      </c>
      <c r="B451" s="7" t="s">
        <v>782</v>
      </c>
      <c r="C451" s="4" t="s">
        <v>25</v>
      </c>
      <c r="D451" s="4" t="s">
        <v>135</v>
      </c>
      <c r="E451" s="4">
        <v>450</v>
      </c>
      <c r="F451" s="9">
        <v>46099</v>
      </c>
      <c r="G451" s="9" t="b">
        <v>0</v>
      </c>
      <c r="H451" s="4" t="b">
        <v>0</v>
      </c>
      <c r="I451" s="28" t="s">
        <v>66</v>
      </c>
      <c r="J451" s="4">
        <f t="shared" si="25"/>
        <v>15</v>
      </c>
      <c r="K451" s="4">
        <f ca="1">IF(AND(F451&lt;&gt;"", L451&lt;&gt;""), NETWORKDAYS(TODAY(), L451-1, FESTIVOS!A$1:A$55), "")</f>
        <v>-45</v>
      </c>
      <c r="L451" s="9">
        <f>IF(AND(F451&lt;&gt;"", J451&lt;&gt;""), WORKDAY(F451, J451, FESTIVOS!A$1:A$55), "")</f>
        <v>46125</v>
      </c>
      <c r="M451" s="4" t="s">
        <v>21</v>
      </c>
      <c r="N451" s="4">
        <f t="shared" ca="1" si="26"/>
        <v>0</v>
      </c>
      <c r="O451" s="4" t="str">
        <f t="shared" ca="1" si="27"/>
        <v>Vencido</v>
      </c>
      <c r="P451" s="4" t="s">
        <v>783</v>
      </c>
      <c r="Q451" s="9">
        <v>46111</v>
      </c>
      <c r="R451" s="12" t="e">
        <f>IF(OR(Q451="", L451=""), "", NETWORKDAYS(L451, Q451,#REF!))</f>
        <v>#REF!</v>
      </c>
    </row>
    <row r="452" spans="1:18" x14ac:dyDescent="0.25">
      <c r="A452" s="8" t="s">
        <v>16</v>
      </c>
      <c r="B452" s="7" t="s">
        <v>89</v>
      </c>
      <c r="C452" s="4" t="s">
        <v>90</v>
      </c>
      <c r="D452" s="4" t="s">
        <v>784</v>
      </c>
      <c r="E452" s="4">
        <v>451</v>
      </c>
      <c r="F452" s="9">
        <v>46099</v>
      </c>
      <c r="G452" s="9" t="b">
        <v>0</v>
      </c>
      <c r="H452" s="4" t="b">
        <v>0</v>
      </c>
      <c r="I452" s="28" t="s">
        <v>20</v>
      </c>
      <c r="J452" s="4">
        <f t="shared" si="25"/>
        <v>15</v>
      </c>
      <c r="K452" s="4">
        <f ca="1">IF(AND(F452&lt;&gt;"", L452&lt;&gt;""), NETWORKDAYS(TODAY(), L452-1, FESTIVOS!A$1:A$55), "")</f>
        <v>-45</v>
      </c>
      <c r="L452" s="9">
        <f>IF(AND(F452&lt;&gt;"", J452&lt;&gt;""), WORKDAY(F452, J452, FESTIVOS!A$1:A$55), "")</f>
        <v>46125</v>
      </c>
      <c r="M452" s="4" t="s">
        <v>21</v>
      </c>
      <c r="N452" s="4">
        <f t="shared" ca="1" si="26"/>
        <v>0</v>
      </c>
      <c r="O452" s="4" t="str">
        <f t="shared" ca="1" si="27"/>
        <v>Vencido</v>
      </c>
      <c r="P452" s="4" t="s">
        <v>37</v>
      </c>
      <c r="Q452" s="4" t="b">
        <v>0</v>
      </c>
      <c r="R452" s="12" t="e">
        <f>IF(OR(Q452="", L452=""), "", NETWORKDAYS(L452, Q452,#REF!))</f>
        <v>#VALUE!</v>
      </c>
    </row>
    <row r="453" spans="1:18" x14ac:dyDescent="0.25">
      <c r="A453" s="8" t="s">
        <v>16</v>
      </c>
      <c r="B453" s="7" t="b">
        <v>0</v>
      </c>
      <c r="C453" s="4" t="b">
        <v>0</v>
      </c>
      <c r="D453" s="4" t="b">
        <v>0</v>
      </c>
      <c r="E453" s="4">
        <v>452</v>
      </c>
      <c r="F453" s="9">
        <v>46099</v>
      </c>
      <c r="G453" s="9" t="b">
        <v>0</v>
      </c>
      <c r="H453" s="4" t="b">
        <v>0</v>
      </c>
      <c r="I453" s="28" t="s">
        <v>44</v>
      </c>
      <c r="J453" s="4">
        <f t="shared" si="25"/>
        <v>15</v>
      </c>
      <c r="K453" s="4">
        <f ca="1">IF(AND(F453&lt;&gt;"", L453&lt;&gt;""), NETWORKDAYS(TODAY(), L453-1, FESTIVOS!A$1:A$55), "")</f>
        <v>-45</v>
      </c>
      <c r="L453" s="9">
        <f>IF(AND(F453&lt;&gt;"", J453&lt;&gt;""), WORKDAY(F453, J453, FESTIVOS!A$1:A$55), "")</f>
        <v>46125</v>
      </c>
      <c r="M453" s="4" t="s">
        <v>21</v>
      </c>
      <c r="N453" s="4">
        <f t="shared" ca="1" si="26"/>
        <v>0</v>
      </c>
      <c r="O453" s="4" t="str">
        <f t="shared" ca="1" si="27"/>
        <v>Vencido</v>
      </c>
      <c r="P453" s="4" t="s">
        <v>785</v>
      </c>
      <c r="Q453" s="9">
        <v>46125</v>
      </c>
      <c r="R453" s="12" t="e">
        <f>IF(OR(Q453="", L453=""), "", NETWORKDAYS(L453, Q453,#REF!))</f>
        <v>#REF!</v>
      </c>
    </row>
    <row r="454" spans="1:18" x14ac:dyDescent="0.25">
      <c r="A454" s="8" t="s">
        <v>16</v>
      </c>
      <c r="B454" s="7" t="s">
        <v>786</v>
      </c>
      <c r="C454" s="4" t="s">
        <v>25</v>
      </c>
      <c r="D454" s="4" t="s">
        <v>26</v>
      </c>
      <c r="E454" s="4">
        <v>453</v>
      </c>
      <c r="F454" s="9">
        <v>46099</v>
      </c>
      <c r="G454" s="9" t="b">
        <v>0</v>
      </c>
      <c r="H454" s="4" t="b">
        <v>0</v>
      </c>
      <c r="I454" s="28" t="s">
        <v>20</v>
      </c>
      <c r="J454" s="4">
        <f t="shared" si="25"/>
        <v>15</v>
      </c>
      <c r="K454" s="4">
        <f ca="1">IF(AND(F454&lt;&gt;"", L454&lt;&gt;""), NETWORKDAYS(TODAY(), L454-1, FESTIVOS!A$1:A$55), "")</f>
        <v>-45</v>
      </c>
      <c r="L454" s="9">
        <f>IF(AND(F454&lt;&gt;"", J454&lt;&gt;""), WORKDAY(F454, J454, FESTIVOS!A$1:A$55), "")</f>
        <v>46125</v>
      </c>
      <c r="M454" s="4" t="s">
        <v>21</v>
      </c>
      <c r="N454" s="4">
        <f t="shared" ca="1" si="26"/>
        <v>0</v>
      </c>
      <c r="O454" s="4" t="str">
        <f t="shared" ca="1" si="27"/>
        <v>Vencido</v>
      </c>
      <c r="P454" s="4" t="s">
        <v>787</v>
      </c>
      <c r="Q454" s="9">
        <v>46125</v>
      </c>
      <c r="R454" s="12" t="e">
        <f>IF(OR(Q454="", L454=""), "", NETWORKDAYS(L454, Q454,#REF!))</f>
        <v>#REF!</v>
      </c>
    </row>
    <row r="455" spans="1:18" x14ac:dyDescent="0.25">
      <c r="A455" s="8" t="s">
        <v>16</v>
      </c>
      <c r="B455" s="7" t="s">
        <v>788</v>
      </c>
      <c r="C455" s="4" t="s">
        <v>25</v>
      </c>
      <c r="D455" s="4" t="s">
        <v>789</v>
      </c>
      <c r="E455" s="4">
        <v>454</v>
      </c>
      <c r="F455" s="9">
        <v>46099</v>
      </c>
      <c r="G455" s="9" t="b">
        <v>0</v>
      </c>
      <c r="H455" s="4" t="b">
        <v>0</v>
      </c>
      <c r="I455" s="28" t="s">
        <v>66</v>
      </c>
      <c r="J455" s="4">
        <f t="shared" si="25"/>
        <v>15</v>
      </c>
      <c r="K455" s="4">
        <f ca="1">IF(AND(F455&lt;&gt;"", L455&lt;&gt;""), NETWORKDAYS(TODAY(), L455-1, FESTIVOS!A$1:A$55), "")</f>
        <v>-45</v>
      </c>
      <c r="L455" s="9">
        <f>IF(AND(F455&lt;&gt;"", J455&lt;&gt;""), WORKDAY(F455, J455, FESTIVOS!A$1:A$55), "")</f>
        <v>46125</v>
      </c>
      <c r="M455" s="4" t="s">
        <v>21</v>
      </c>
      <c r="N455" s="4">
        <f t="shared" ca="1" si="26"/>
        <v>0</v>
      </c>
      <c r="O455" s="4" t="str">
        <f t="shared" ca="1" si="27"/>
        <v>Vencido</v>
      </c>
      <c r="P455" s="4" t="s">
        <v>790</v>
      </c>
      <c r="Q455" s="9">
        <v>46108</v>
      </c>
      <c r="R455" s="12" t="e">
        <f>IF(OR(Q455="", L455=""), "", NETWORKDAYS(L455, Q455,#REF!))</f>
        <v>#REF!</v>
      </c>
    </row>
    <row r="456" spans="1:18" x14ac:dyDescent="0.25">
      <c r="A456" s="8" t="s">
        <v>16</v>
      </c>
      <c r="B456" s="7" t="s">
        <v>791</v>
      </c>
      <c r="C456" s="4" t="s">
        <v>25</v>
      </c>
      <c r="D456" s="4" t="s">
        <v>792</v>
      </c>
      <c r="E456" s="4">
        <v>455</v>
      </c>
      <c r="F456" s="9">
        <v>46099</v>
      </c>
      <c r="G456" s="9" t="b">
        <v>0</v>
      </c>
      <c r="H456" s="4" t="b">
        <v>0</v>
      </c>
      <c r="I456" s="28" t="s">
        <v>20</v>
      </c>
      <c r="J456" s="4">
        <f t="shared" si="25"/>
        <v>15</v>
      </c>
      <c r="K456" s="4">
        <f ca="1">IF(AND(F456&lt;&gt;"", L456&lt;&gt;""), NETWORKDAYS(TODAY(), L456-1, FESTIVOS!A$1:A$55), "")</f>
        <v>-45</v>
      </c>
      <c r="L456" s="9">
        <f>IF(AND(F456&lt;&gt;"", J456&lt;&gt;""), WORKDAY(F456, J456, FESTIVOS!A$1:A$55), "")</f>
        <v>46125</v>
      </c>
      <c r="M456" s="4" t="s">
        <v>21</v>
      </c>
      <c r="N456" s="4">
        <f t="shared" ca="1" si="26"/>
        <v>0</v>
      </c>
      <c r="O456" s="4" t="str">
        <f t="shared" ca="1" si="27"/>
        <v>Vencido</v>
      </c>
      <c r="P456" s="4" t="s">
        <v>793</v>
      </c>
      <c r="Q456" s="9">
        <v>46122</v>
      </c>
      <c r="R456" s="12" t="e">
        <f>IF(OR(Q456="", L456=""), "", NETWORKDAYS(L456, Q456,#REF!))</f>
        <v>#REF!</v>
      </c>
    </row>
    <row r="457" spans="1:18" x14ac:dyDescent="0.25">
      <c r="A457" s="8" t="s">
        <v>16</v>
      </c>
      <c r="B457" s="7" t="s">
        <v>794</v>
      </c>
      <c r="C457" s="4" t="s">
        <v>25</v>
      </c>
      <c r="D457" s="4" t="s">
        <v>792</v>
      </c>
      <c r="E457" s="4">
        <v>456</v>
      </c>
      <c r="F457" s="9">
        <v>46099</v>
      </c>
      <c r="G457" s="9" t="b">
        <v>0</v>
      </c>
      <c r="H457" s="4" t="b">
        <v>0</v>
      </c>
      <c r="I457" s="28" t="s">
        <v>20</v>
      </c>
      <c r="J457" s="4">
        <v>15</v>
      </c>
      <c r="K457" s="4">
        <f ca="1">IF(AND(F457&lt;&gt;"", L457&lt;&gt;""), NETWORKDAYS(TODAY(), L457-1, FESTIVOS!A$1:A$55), "")</f>
        <v>-45</v>
      </c>
      <c r="L457" s="9">
        <f>IF(AND(F457&lt;&gt;"", J457&lt;&gt;""), WORKDAY(F457, J457, FESTIVOS!A$1:A$55), "")</f>
        <v>46125</v>
      </c>
      <c r="M457" s="4" t="s">
        <v>21</v>
      </c>
      <c r="N457" s="4">
        <f t="shared" ca="1" si="26"/>
        <v>0</v>
      </c>
      <c r="O457" s="4" t="str">
        <f t="shared" ca="1" si="27"/>
        <v>Vencido</v>
      </c>
      <c r="P457" s="4" t="s">
        <v>795</v>
      </c>
      <c r="Q457" s="9">
        <v>46120</v>
      </c>
      <c r="R457" s="12" t="e">
        <f>IF(OR(Q457="", L457=""), "", NETWORKDAYS(L457, Q457,#REF!))</f>
        <v>#REF!</v>
      </c>
    </row>
    <row r="458" spans="1:18" x14ac:dyDescent="0.25">
      <c r="A458" s="8" t="s">
        <v>16</v>
      </c>
      <c r="B458" s="7" t="s">
        <v>796</v>
      </c>
      <c r="C458" s="4" t="s">
        <v>186</v>
      </c>
      <c r="D458" s="4" t="s">
        <v>88</v>
      </c>
      <c r="E458" s="4">
        <v>457</v>
      </c>
      <c r="F458" s="9">
        <v>46100</v>
      </c>
      <c r="G458" s="9" t="b">
        <v>0</v>
      </c>
      <c r="H458" s="4" t="b">
        <v>0</v>
      </c>
      <c r="I458" s="28" t="s">
        <v>20</v>
      </c>
      <c r="J458" s="4">
        <f t="shared" si="25"/>
        <v>15</v>
      </c>
      <c r="K458" s="4">
        <f ca="1">IF(AND(F458&lt;&gt;"", L458&lt;&gt;""), NETWORKDAYS(TODAY(), L458-1, FESTIVOS!A$1:A$55), "")</f>
        <v>-45</v>
      </c>
      <c r="L458" s="9">
        <f>IF(AND(F458&lt;&gt;"", J458&lt;&gt;""), WORKDAY(F458, J458, FESTIVOS!A$1:A$55), "")</f>
        <v>46126</v>
      </c>
      <c r="M458" s="4" t="s">
        <v>21</v>
      </c>
      <c r="N458" s="4">
        <f t="shared" ca="1" si="26"/>
        <v>0</v>
      </c>
      <c r="O458" s="4" t="str">
        <f t="shared" ca="1" si="27"/>
        <v>Vencido</v>
      </c>
      <c r="P458" s="4" t="s">
        <v>797</v>
      </c>
      <c r="Q458" s="9">
        <v>46126</v>
      </c>
      <c r="R458" s="12" t="s">
        <v>798</v>
      </c>
    </row>
    <row r="459" spans="1:18" x14ac:dyDescent="0.25">
      <c r="A459" s="8" t="s">
        <v>16</v>
      </c>
      <c r="B459" s="7" t="s">
        <v>799</v>
      </c>
      <c r="C459" s="4" t="s">
        <v>25</v>
      </c>
      <c r="D459" s="4" t="s">
        <v>800</v>
      </c>
      <c r="E459" s="4">
        <v>458</v>
      </c>
      <c r="F459" s="9">
        <v>46100</v>
      </c>
      <c r="G459" s="9" t="b">
        <v>0</v>
      </c>
      <c r="H459" s="4" t="b">
        <v>0</v>
      </c>
      <c r="I459" s="28" t="s">
        <v>20</v>
      </c>
      <c r="J459" s="4">
        <f t="shared" si="25"/>
        <v>15</v>
      </c>
      <c r="K459" s="4">
        <f ca="1">IF(AND(F459&lt;&gt;"", L459&lt;&gt;""), NETWORKDAYS(TODAY(), L459-1, FESTIVOS!A$1:A$55), "")</f>
        <v>-45</v>
      </c>
      <c r="L459" s="9">
        <f>IF(AND(F459&lt;&gt;"", J459&lt;&gt;""), WORKDAY(F459, J459, FESTIVOS!A$1:A$55), "")</f>
        <v>46126</v>
      </c>
      <c r="M459" s="4" t="s">
        <v>21</v>
      </c>
      <c r="N459" s="4">
        <f t="shared" ca="1" si="26"/>
        <v>0</v>
      </c>
      <c r="O459" s="4" t="str">
        <f t="shared" ca="1" si="27"/>
        <v>Vencido</v>
      </c>
      <c r="P459" s="4" t="s">
        <v>801</v>
      </c>
      <c r="Q459" s="9">
        <v>46120</v>
      </c>
      <c r="R459" s="12" t="e">
        <f>IF(OR(Q459="", L459=""), "", NETWORKDAYS(L459, Q459,#REF!))</f>
        <v>#REF!</v>
      </c>
    </row>
    <row r="460" spans="1:18" x14ac:dyDescent="0.25">
      <c r="A460" s="8" t="s">
        <v>16</v>
      </c>
      <c r="B460" s="7" t="s">
        <v>802</v>
      </c>
      <c r="C460" s="4" t="s">
        <v>25</v>
      </c>
      <c r="D460" s="4" t="s">
        <v>322</v>
      </c>
      <c r="E460" s="4">
        <v>459</v>
      </c>
      <c r="F460" s="9">
        <v>46100</v>
      </c>
      <c r="G460" s="9" t="b">
        <v>0</v>
      </c>
      <c r="H460" s="4" t="b">
        <v>0</v>
      </c>
      <c r="I460" s="28" t="s">
        <v>20</v>
      </c>
      <c r="J460" s="4">
        <f t="shared" si="25"/>
        <v>15</v>
      </c>
      <c r="K460" s="4">
        <f ca="1">IF(AND(F460&lt;&gt;"", L460&lt;&gt;""), NETWORKDAYS(TODAY(), L460-1, FESTIVOS!A$1:A$55), "")</f>
        <v>-45</v>
      </c>
      <c r="L460" s="9">
        <f>IF(AND(F460&lt;&gt;"", J460&lt;&gt;""), WORKDAY(F460, J460, FESTIVOS!A$1:A$55), "")</f>
        <v>46126</v>
      </c>
      <c r="M460" s="4" t="s">
        <v>21</v>
      </c>
      <c r="N460" s="4">
        <f t="shared" ca="1" si="26"/>
        <v>0</v>
      </c>
      <c r="O460" s="4" t="str">
        <f t="shared" ca="1" si="27"/>
        <v>Vencido</v>
      </c>
      <c r="P460" s="4" t="s">
        <v>803</v>
      </c>
      <c r="Q460" s="9">
        <v>46126</v>
      </c>
      <c r="R460" s="12" t="e">
        <f>IF(OR(Q460="", L460=""), "", NETWORKDAYS(L460, Q460,#REF!))</f>
        <v>#REF!</v>
      </c>
    </row>
    <row r="461" spans="1:18" x14ac:dyDescent="0.25">
      <c r="A461" s="8" t="s">
        <v>16</v>
      </c>
      <c r="B461" s="7" t="s">
        <v>208</v>
      </c>
      <c r="C461" s="4" t="s">
        <v>209</v>
      </c>
      <c r="D461" s="4" t="s">
        <v>804</v>
      </c>
      <c r="E461" s="4">
        <v>460</v>
      </c>
      <c r="F461" s="9">
        <v>46101</v>
      </c>
      <c r="G461" s="9" t="b">
        <v>0</v>
      </c>
      <c r="H461" s="4" t="b">
        <v>0</v>
      </c>
      <c r="I461" s="28" t="s">
        <v>80</v>
      </c>
      <c r="J461" s="4">
        <f t="shared" si="25"/>
        <v>15</v>
      </c>
      <c r="K461" s="4">
        <f ca="1">IF(AND(F461&lt;&gt;"", L461&lt;&gt;""), NETWORKDAYS(TODAY(), L461-1, FESTIVOS!A$1:A$55), "")</f>
        <v>-44</v>
      </c>
      <c r="L461" s="9">
        <f>IF(AND(F461&lt;&gt;"", J461&lt;&gt;""), WORKDAY(F461, J461, FESTIVOS!A$1:A$55), "")</f>
        <v>46127</v>
      </c>
      <c r="M461" s="4" t="s">
        <v>21</v>
      </c>
      <c r="N461" s="4">
        <f t="shared" ca="1" si="26"/>
        <v>0</v>
      </c>
      <c r="O461" s="4" t="str">
        <f t="shared" ca="1" si="27"/>
        <v>Vencido</v>
      </c>
      <c r="P461" s="4" t="b">
        <v>0</v>
      </c>
      <c r="Q461" s="4" t="b">
        <v>0</v>
      </c>
      <c r="R461" s="12" t="e">
        <f>IF(OR(Q461="", L461=""), "", NETWORKDAYS(L461, Q461,#REF!))</f>
        <v>#VALUE!</v>
      </c>
    </row>
    <row r="462" spans="1:18" x14ac:dyDescent="0.25">
      <c r="A462" s="8" t="s">
        <v>16</v>
      </c>
      <c r="B462" s="7" t="s">
        <v>805</v>
      </c>
      <c r="C462" s="4" t="s">
        <v>25</v>
      </c>
      <c r="D462" s="4" t="s">
        <v>789</v>
      </c>
      <c r="E462" s="4">
        <v>461</v>
      </c>
      <c r="F462" s="9">
        <v>46100</v>
      </c>
      <c r="G462" s="9" t="b">
        <v>0</v>
      </c>
      <c r="H462" s="4" t="b">
        <v>0</v>
      </c>
      <c r="I462" s="28" t="s">
        <v>20</v>
      </c>
      <c r="J462" s="4">
        <f t="shared" si="25"/>
        <v>15</v>
      </c>
      <c r="K462" s="4">
        <f ca="1">IF(AND(F462&lt;&gt;"", L462&lt;&gt;""), NETWORKDAYS(TODAY(), L462-1, FESTIVOS!A$1:A$55), "")</f>
        <v>-45</v>
      </c>
      <c r="L462" s="9">
        <f>IF(AND(F462&lt;&gt;"", J462&lt;&gt;""), WORKDAY(F462, J462, FESTIVOS!A$1:A$55), "")</f>
        <v>46126</v>
      </c>
      <c r="M462" s="4" t="s">
        <v>21</v>
      </c>
      <c r="N462" s="4">
        <f t="shared" ca="1" si="26"/>
        <v>0</v>
      </c>
      <c r="O462" s="4" t="str">
        <f t="shared" ca="1" si="27"/>
        <v>Vencido</v>
      </c>
      <c r="P462" s="4" t="s">
        <v>806</v>
      </c>
      <c r="Q462" s="9">
        <v>46106</v>
      </c>
      <c r="R462" s="12" t="e">
        <f>IF(OR(Q462="", L462=""), "", NETWORKDAYS(L462, Q462,#REF!))</f>
        <v>#REF!</v>
      </c>
    </row>
    <row r="463" spans="1:18" x14ac:dyDescent="0.25">
      <c r="A463" s="8" t="s">
        <v>16</v>
      </c>
      <c r="B463" s="7" t="s">
        <v>807</v>
      </c>
      <c r="C463" s="4" t="s">
        <v>90</v>
      </c>
      <c r="D463" s="4" t="s">
        <v>792</v>
      </c>
      <c r="E463" s="4">
        <v>462</v>
      </c>
      <c r="F463" s="9">
        <v>46101</v>
      </c>
      <c r="G463" s="9" t="b">
        <v>0</v>
      </c>
      <c r="H463" s="4" t="b">
        <v>0</v>
      </c>
      <c r="I463" s="28" t="s">
        <v>20</v>
      </c>
      <c r="J463" s="4">
        <f t="shared" si="25"/>
        <v>15</v>
      </c>
      <c r="K463" s="4">
        <f ca="1">IF(AND(F463&lt;&gt;"", L463&lt;&gt;""), NETWORKDAYS(TODAY(), L463-1, FESTIVOS!A$1:A$55), "")</f>
        <v>-44</v>
      </c>
      <c r="L463" s="9">
        <f>IF(AND(F463&lt;&gt;"", J463&lt;&gt;""), WORKDAY(F463, J463, FESTIVOS!A$1:A$55), "")</f>
        <v>46127</v>
      </c>
      <c r="M463" s="4" t="s">
        <v>21</v>
      </c>
      <c r="N463" s="4">
        <f t="shared" ca="1" si="26"/>
        <v>0</v>
      </c>
      <c r="O463" s="4" t="str">
        <f t="shared" ca="1" si="27"/>
        <v>Vencido</v>
      </c>
      <c r="P463" s="4" t="s">
        <v>808</v>
      </c>
      <c r="Q463" s="9">
        <v>46111</v>
      </c>
      <c r="R463" s="12" t="e">
        <f>IF(OR(Q463="", L463=""), "", NETWORKDAYS(L463, Q463,#REF!))</f>
        <v>#REF!</v>
      </c>
    </row>
    <row r="464" spans="1:18" x14ac:dyDescent="0.25">
      <c r="A464" s="8" t="s">
        <v>16</v>
      </c>
      <c r="B464" s="7" t="b">
        <v>0</v>
      </c>
      <c r="C464" s="4" t="s">
        <v>809</v>
      </c>
      <c r="D464" s="4" t="s">
        <v>26</v>
      </c>
      <c r="E464" s="4">
        <v>463</v>
      </c>
      <c r="F464" s="9">
        <v>46101</v>
      </c>
      <c r="G464" s="9" t="b">
        <v>0</v>
      </c>
      <c r="H464" s="4" t="b">
        <v>0</v>
      </c>
      <c r="I464" s="28" t="s">
        <v>20</v>
      </c>
      <c r="J464" s="4">
        <f t="shared" si="25"/>
        <v>15</v>
      </c>
      <c r="K464" s="4">
        <f ca="1">IF(AND(F464&lt;&gt;"", L464&lt;&gt;""), NETWORKDAYS(TODAY(), L464-1, FESTIVOS!A$1:A$55), "")</f>
        <v>-44</v>
      </c>
      <c r="L464" s="9">
        <f>IF(AND(F464&lt;&gt;"", J464&lt;&gt;""), WORKDAY(F464, J464, FESTIVOS!A$1:A$55), "")</f>
        <v>46127</v>
      </c>
      <c r="M464" s="4" t="s">
        <v>21</v>
      </c>
      <c r="N464" s="4">
        <f t="shared" ca="1" si="26"/>
        <v>0</v>
      </c>
      <c r="O464" s="4" t="str">
        <f t="shared" ca="1" si="27"/>
        <v>Vencido</v>
      </c>
      <c r="P464" s="4" t="s">
        <v>787</v>
      </c>
      <c r="Q464" s="9">
        <v>46125</v>
      </c>
      <c r="R464" s="12" t="e">
        <f>IF(OR(Q464="", L464=""), "", NETWORKDAYS(L464, Q464,#REF!))</f>
        <v>#REF!</v>
      </c>
    </row>
    <row r="465" spans="1:18" x14ac:dyDescent="0.25">
      <c r="A465" s="8" t="s">
        <v>16</v>
      </c>
      <c r="B465" s="7" t="b">
        <v>0</v>
      </c>
      <c r="C465" s="4" t="s">
        <v>25</v>
      </c>
      <c r="D465" s="4" t="s">
        <v>792</v>
      </c>
      <c r="E465" s="4">
        <v>464</v>
      </c>
      <c r="F465" s="9">
        <v>46101</v>
      </c>
      <c r="G465" s="9" t="b">
        <v>0</v>
      </c>
      <c r="H465" s="4" t="b">
        <v>0</v>
      </c>
      <c r="I465" s="28" t="s">
        <v>20</v>
      </c>
      <c r="J465" s="4">
        <f t="shared" si="25"/>
        <v>15</v>
      </c>
      <c r="K465" s="4">
        <f ca="1">IF(AND(F465&lt;&gt;"", L465&lt;&gt;""), NETWORKDAYS(TODAY(), L465-1, FESTIVOS!A$1:A$55), "")</f>
        <v>-44</v>
      </c>
      <c r="L465" s="9">
        <f>IF(AND(F465&lt;&gt;"", J465&lt;&gt;""), WORKDAY(F465, J465, FESTIVOS!A$1:A$55), "")</f>
        <v>46127</v>
      </c>
      <c r="M465" s="4" t="s">
        <v>21</v>
      </c>
      <c r="N465" s="4">
        <f t="shared" ca="1" si="26"/>
        <v>0</v>
      </c>
      <c r="O465" s="4" t="str">
        <f t="shared" ca="1" si="27"/>
        <v>Vencido</v>
      </c>
      <c r="P465" s="4" t="s">
        <v>810</v>
      </c>
      <c r="Q465" s="4" t="s">
        <v>811</v>
      </c>
      <c r="R465" s="12" t="e">
        <f>IF(OR(Q465="", L465=""), "", NETWORKDAYS(L465, Q465,#REF!))</f>
        <v>#VALUE!</v>
      </c>
    </row>
    <row r="466" spans="1:18" x14ac:dyDescent="0.25">
      <c r="A466" s="8" t="s">
        <v>16</v>
      </c>
      <c r="B466" s="7" t="s">
        <v>812</v>
      </c>
      <c r="C466" s="4" t="s">
        <v>25</v>
      </c>
      <c r="D466" s="4" t="s">
        <v>98</v>
      </c>
      <c r="E466" s="4">
        <v>465</v>
      </c>
      <c r="F466" s="9">
        <v>46101</v>
      </c>
      <c r="G466" s="9" t="b">
        <v>0</v>
      </c>
      <c r="H466" s="4" t="b">
        <v>0</v>
      </c>
      <c r="I466" s="28" t="s">
        <v>20</v>
      </c>
      <c r="J466" s="4">
        <f t="shared" si="25"/>
        <v>15</v>
      </c>
      <c r="K466" s="4">
        <f ca="1">IF(AND(F466&lt;&gt;"", L466&lt;&gt;""), NETWORKDAYS(TODAY(), L466-1, FESTIVOS!A$1:A$55), "")</f>
        <v>-44</v>
      </c>
      <c r="L466" s="9">
        <f>IF(AND(F466&lt;&gt;"", J466&lt;&gt;""), WORKDAY(F466, J466, FESTIVOS!A$1:A$55), "")</f>
        <v>46127</v>
      </c>
      <c r="M466" s="4" t="s">
        <v>21</v>
      </c>
      <c r="N466" s="4">
        <f t="shared" ca="1" si="26"/>
        <v>0</v>
      </c>
      <c r="O466" s="4" t="str">
        <f t="shared" ca="1" si="27"/>
        <v>Vencido</v>
      </c>
      <c r="P466" s="4" t="s">
        <v>37</v>
      </c>
      <c r="Q466" s="4" t="b">
        <v>0</v>
      </c>
      <c r="R466" s="12" t="e">
        <f>IF(OR(Q466="", L466=""), "", NETWORKDAYS(L466, Q466,#REF!))</f>
        <v>#VALUE!</v>
      </c>
    </row>
    <row r="467" spans="1:18" x14ac:dyDescent="0.25">
      <c r="A467" s="8" t="s">
        <v>16</v>
      </c>
      <c r="B467" s="7" t="s">
        <v>89</v>
      </c>
      <c r="C467" s="4" t="s">
        <v>90</v>
      </c>
      <c r="D467" s="4" t="s">
        <v>813</v>
      </c>
      <c r="E467" s="4">
        <v>466</v>
      </c>
      <c r="F467" s="9">
        <v>46101</v>
      </c>
      <c r="G467" s="9" t="b">
        <v>0</v>
      </c>
      <c r="H467" s="4" t="b">
        <v>0</v>
      </c>
      <c r="I467" s="28" t="s">
        <v>20</v>
      </c>
      <c r="J467" s="4">
        <f t="shared" si="25"/>
        <v>15</v>
      </c>
      <c r="K467" s="4">
        <f ca="1">IF(AND(F467&lt;&gt;"", L467&lt;&gt;""), NETWORKDAYS(TODAY(), L467-1, FESTIVOS!A$1:A$55), "")</f>
        <v>-44</v>
      </c>
      <c r="L467" s="9">
        <f>IF(AND(F467&lt;&gt;"", J467&lt;&gt;""), WORKDAY(F467, J467, FESTIVOS!A$1:A$55), "")</f>
        <v>46127</v>
      </c>
      <c r="M467" s="4" t="s">
        <v>21</v>
      </c>
      <c r="N467" s="4">
        <f t="shared" ca="1" si="26"/>
        <v>0</v>
      </c>
      <c r="O467" s="4" t="str">
        <f t="shared" ca="1" si="27"/>
        <v>Vencido</v>
      </c>
      <c r="P467" s="4" t="s">
        <v>37</v>
      </c>
      <c r="Q467" s="4" t="b">
        <v>0</v>
      </c>
      <c r="R467" s="12" t="e">
        <f>IF(OR(Q467="", L467=""), "", NETWORKDAYS(L467, Q467,#REF!))</f>
        <v>#VALUE!</v>
      </c>
    </row>
    <row r="468" spans="1:18" x14ac:dyDescent="0.25">
      <c r="A468" s="8" t="s">
        <v>16</v>
      </c>
      <c r="B468" s="7" t="s">
        <v>814</v>
      </c>
      <c r="C468" s="4" t="s">
        <v>25</v>
      </c>
      <c r="D468" s="4" t="s">
        <v>815</v>
      </c>
      <c r="E468" s="4">
        <v>467</v>
      </c>
      <c r="F468" s="9">
        <v>46101</v>
      </c>
      <c r="G468" s="9" t="b">
        <v>0</v>
      </c>
      <c r="H468" s="4" t="b">
        <v>0</v>
      </c>
      <c r="I468" s="28" t="s">
        <v>44</v>
      </c>
      <c r="J468" s="4">
        <f t="shared" si="25"/>
        <v>15</v>
      </c>
      <c r="K468" s="4">
        <f ca="1">IF(AND(F468&lt;&gt;"", L468&lt;&gt;""), NETWORKDAYS(TODAY(), L468-1, FESTIVOS!A$1:A$55), "")</f>
        <v>-44</v>
      </c>
      <c r="L468" s="9">
        <f>IF(AND(F468&lt;&gt;"", J468&lt;&gt;""), WORKDAY(F468, J468, FESTIVOS!A$1:A$55), "")</f>
        <v>46127</v>
      </c>
      <c r="M468" s="4" t="s">
        <v>21</v>
      </c>
      <c r="N468" s="4">
        <f t="shared" ca="1" si="26"/>
        <v>0</v>
      </c>
      <c r="O468" s="4" t="str">
        <f t="shared" ca="1" si="27"/>
        <v>Vencido</v>
      </c>
      <c r="P468" s="4" t="s">
        <v>816</v>
      </c>
      <c r="Q468" s="4" t="b">
        <v>0</v>
      </c>
      <c r="R468" s="12" t="e">
        <f>IF(OR(Q468="", L468=""), "", NETWORKDAYS(L468, Q468,#REF!))</f>
        <v>#VALUE!</v>
      </c>
    </row>
    <row r="469" spans="1:18" x14ac:dyDescent="0.25">
      <c r="A469" s="8" t="s">
        <v>16</v>
      </c>
      <c r="B469" s="7" t="s">
        <v>817</v>
      </c>
      <c r="C469" s="4" t="s">
        <v>25</v>
      </c>
      <c r="D469" s="4" t="s">
        <v>518</v>
      </c>
      <c r="E469" s="4">
        <v>468</v>
      </c>
      <c r="F469" s="9">
        <v>46101</v>
      </c>
      <c r="G469" s="9" t="b">
        <v>0</v>
      </c>
      <c r="H469" s="4" t="b">
        <v>0</v>
      </c>
      <c r="I469" s="28" t="s">
        <v>66</v>
      </c>
      <c r="J469" s="4">
        <f t="shared" si="25"/>
        <v>15</v>
      </c>
      <c r="K469" s="4">
        <f ca="1">IF(AND(F469&lt;&gt;"", L469&lt;&gt;""), NETWORKDAYS(TODAY(), L469-1, FESTIVOS!A$1:A$55), "")</f>
        <v>-44</v>
      </c>
      <c r="L469" s="9">
        <f>IF(AND(F469&lt;&gt;"", J469&lt;&gt;""), WORKDAY(F469, J469, FESTIVOS!A$1:A$55), "")</f>
        <v>46127</v>
      </c>
      <c r="M469" s="4" t="s">
        <v>21</v>
      </c>
      <c r="N469" s="4">
        <f t="shared" ca="1" si="26"/>
        <v>0</v>
      </c>
      <c r="O469" s="4" t="str">
        <f t="shared" ca="1" si="27"/>
        <v>Vencido</v>
      </c>
      <c r="P469" s="4" t="s">
        <v>818</v>
      </c>
      <c r="Q469" s="9">
        <v>46107</v>
      </c>
      <c r="R469" s="12" t="e">
        <f>IF(OR(Q469="", L469=""), "", NETWORKDAYS(L469, Q469,#REF!))</f>
        <v>#REF!</v>
      </c>
    </row>
    <row r="470" spans="1:18" x14ac:dyDescent="0.25">
      <c r="A470" s="8" t="s">
        <v>16</v>
      </c>
      <c r="B470" s="7" t="s">
        <v>819</v>
      </c>
      <c r="C470" s="4" t="s">
        <v>25</v>
      </c>
      <c r="D470" s="4" t="s">
        <v>39</v>
      </c>
      <c r="E470" s="4">
        <v>469</v>
      </c>
      <c r="F470" s="9">
        <v>46091</v>
      </c>
      <c r="G470" s="9" t="b">
        <v>0</v>
      </c>
      <c r="H470" s="4" t="b">
        <v>0</v>
      </c>
      <c r="I470" s="28" t="s">
        <v>66</v>
      </c>
      <c r="J470" s="4">
        <f t="shared" si="25"/>
        <v>15</v>
      </c>
      <c r="K470" s="4">
        <f ca="1">IF(AND(F470&lt;&gt;"", L470&lt;&gt;""), NETWORKDAYS(TODAY(), L470-1, FESTIVOS!A$1:A$55), "")</f>
        <v>-52</v>
      </c>
      <c r="L470" s="9">
        <f>IF(AND(F470&lt;&gt;"", J470&lt;&gt;""), WORKDAY(F470, J470, FESTIVOS!A$1:A$55), "")</f>
        <v>46113</v>
      </c>
      <c r="M470" s="4" t="s">
        <v>21</v>
      </c>
      <c r="N470" s="4">
        <f t="shared" ca="1" si="26"/>
        <v>0</v>
      </c>
      <c r="O470" s="4" t="str">
        <f t="shared" ca="1" si="27"/>
        <v>Vencido</v>
      </c>
      <c r="P470" s="4" t="s">
        <v>820</v>
      </c>
      <c r="Q470" s="9">
        <v>46112</v>
      </c>
      <c r="R470" s="12" t="e">
        <f>IF(OR(Q470="", L470=""), "", NETWORKDAYS(L470, Q470,#REF!))</f>
        <v>#REF!</v>
      </c>
    </row>
    <row r="471" spans="1:18" x14ac:dyDescent="0.25">
      <c r="A471" s="8" t="s">
        <v>16</v>
      </c>
      <c r="B471" s="7" t="s">
        <v>821</v>
      </c>
      <c r="C471" s="4" t="s">
        <v>25</v>
      </c>
      <c r="D471" s="4" t="s">
        <v>239</v>
      </c>
      <c r="E471" s="4">
        <v>470</v>
      </c>
      <c r="F471" s="9">
        <v>46101</v>
      </c>
      <c r="G471" s="9" t="b">
        <v>0</v>
      </c>
      <c r="H471" s="4" t="b">
        <v>0</v>
      </c>
      <c r="I471" s="28" t="s">
        <v>66</v>
      </c>
      <c r="J471" s="4">
        <f t="shared" si="25"/>
        <v>15</v>
      </c>
      <c r="K471" s="4">
        <f ca="1">IF(AND(F471&lt;&gt;"", L471&lt;&gt;""), NETWORKDAYS(TODAY(), L471-1, FESTIVOS!A$1:A$55), "")</f>
        <v>-44</v>
      </c>
      <c r="L471" s="9">
        <f>IF(AND(F471&lt;&gt;"", J471&lt;&gt;""), WORKDAY(F471, J471, FESTIVOS!A$1:A$55), "")</f>
        <v>46127</v>
      </c>
      <c r="M471" s="4" t="s">
        <v>21</v>
      </c>
      <c r="N471" s="4">
        <f t="shared" ca="1" si="26"/>
        <v>0</v>
      </c>
      <c r="O471" s="4" t="str">
        <f t="shared" ca="1" si="27"/>
        <v>Vencido</v>
      </c>
      <c r="P471" s="4" t="s">
        <v>822</v>
      </c>
      <c r="Q471" s="9">
        <v>46111</v>
      </c>
      <c r="R471" s="12" t="e">
        <f>IF(OR(Q471="", L471=""), "", NETWORKDAYS(L471, Q471,#REF!))</f>
        <v>#REF!</v>
      </c>
    </row>
    <row r="472" spans="1:18" x14ac:dyDescent="0.25">
      <c r="A472" s="8" t="s">
        <v>16</v>
      </c>
      <c r="B472" s="7" t="s">
        <v>823</v>
      </c>
      <c r="C472" s="4" t="s">
        <v>25</v>
      </c>
      <c r="D472" s="4" t="s">
        <v>61</v>
      </c>
      <c r="E472" s="4">
        <v>471</v>
      </c>
      <c r="F472" s="9">
        <v>46101</v>
      </c>
      <c r="G472" s="9" t="b">
        <v>0</v>
      </c>
      <c r="H472" s="4" t="b">
        <v>0</v>
      </c>
      <c r="I472" s="28" t="s">
        <v>20</v>
      </c>
      <c r="J472" s="4">
        <f t="shared" si="25"/>
        <v>15</v>
      </c>
      <c r="K472" s="4">
        <f ca="1">IF(AND(F472&lt;&gt;"", L472&lt;&gt;""), NETWORKDAYS(TODAY(), L472-1, FESTIVOS!A$1:A$55), "")</f>
        <v>-44</v>
      </c>
      <c r="L472" s="9">
        <f>IF(AND(F472&lt;&gt;"", J472&lt;&gt;""), WORKDAY(F472, J472, FESTIVOS!A$1:A$55), "")</f>
        <v>46127</v>
      </c>
      <c r="M472" s="4" t="s">
        <v>21</v>
      </c>
      <c r="N472" s="4">
        <f t="shared" ca="1" si="26"/>
        <v>0</v>
      </c>
      <c r="O472" s="4" t="str">
        <f t="shared" ca="1" si="27"/>
        <v>Vencido</v>
      </c>
      <c r="P472" s="4" t="s">
        <v>824</v>
      </c>
      <c r="Q472" s="9">
        <v>46120</v>
      </c>
      <c r="R472" s="12" t="e">
        <f>IF(OR(Q472="", L472=""), "", NETWORKDAYS(L472, Q472,#REF!))</f>
        <v>#REF!</v>
      </c>
    </row>
    <row r="473" spans="1:18" x14ac:dyDescent="0.25">
      <c r="A473" s="8" t="s">
        <v>16</v>
      </c>
      <c r="B473" s="7" t="s">
        <v>281</v>
      </c>
      <c r="C473" s="4" t="s">
        <v>25</v>
      </c>
      <c r="D473" s="4" t="s">
        <v>825</v>
      </c>
      <c r="E473" s="4">
        <v>472</v>
      </c>
      <c r="F473" s="9">
        <v>46105</v>
      </c>
      <c r="G473" s="9" t="b">
        <v>0</v>
      </c>
      <c r="H473" s="4" t="b">
        <v>0</v>
      </c>
      <c r="I473" s="28" t="s">
        <v>20</v>
      </c>
      <c r="J473" s="4">
        <f t="shared" si="25"/>
        <v>15</v>
      </c>
      <c r="K473" s="4">
        <f ca="1">IF(AND(F473&lt;&gt;"", L473&lt;&gt;""), NETWORKDAYS(TODAY(), L473-1, FESTIVOS!A$1:A$55), "")</f>
        <v>-43</v>
      </c>
      <c r="L473" s="9">
        <f>IF(AND(F473&lt;&gt;"", J473&lt;&gt;""), WORKDAY(F473, J473, FESTIVOS!A$1:A$55), "")</f>
        <v>46128</v>
      </c>
      <c r="M473" s="4" t="s">
        <v>21</v>
      </c>
      <c r="N473" s="4">
        <f t="shared" ca="1" si="26"/>
        <v>0</v>
      </c>
      <c r="O473" s="4" t="str">
        <f t="shared" ca="1" si="27"/>
        <v>Vencido</v>
      </c>
      <c r="P473" s="4" t="s">
        <v>826</v>
      </c>
      <c r="Q473" s="9">
        <v>46108</v>
      </c>
      <c r="R473" s="12" t="b">
        <v>0</v>
      </c>
    </row>
    <row r="474" spans="1:18" x14ac:dyDescent="0.25">
      <c r="A474" s="8" t="s">
        <v>16</v>
      </c>
      <c r="B474" s="7" t="s">
        <v>827</v>
      </c>
      <c r="C474" s="4" t="s">
        <v>25</v>
      </c>
      <c r="D474" s="4" t="s">
        <v>828</v>
      </c>
      <c r="E474" s="4">
        <v>473</v>
      </c>
      <c r="F474" s="9">
        <v>46105</v>
      </c>
      <c r="G474" s="9" t="b">
        <v>0</v>
      </c>
      <c r="H474" s="4" t="b">
        <v>0</v>
      </c>
      <c r="I474" s="28" t="s">
        <v>20</v>
      </c>
      <c r="J474" s="4">
        <f t="shared" si="25"/>
        <v>15</v>
      </c>
      <c r="K474" s="4">
        <f ca="1">IF(AND(F474&lt;&gt;"", L474&lt;&gt;""), NETWORKDAYS(TODAY(), L474-1, FESTIVOS!A$1:A$55), "")</f>
        <v>-43</v>
      </c>
      <c r="L474" s="9">
        <f>IF(AND(F474&lt;&gt;"", J474&lt;&gt;""), WORKDAY(F474, J474, FESTIVOS!A$1:A$55), "")</f>
        <v>46128</v>
      </c>
      <c r="M474" s="4" t="s">
        <v>21</v>
      </c>
      <c r="N474" s="4">
        <f t="shared" ca="1" si="26"/>
        <v>0</v>
      </c>
      <c r="O474" s="4" t="str">
        <f t="shared" ca="1" si="27"/>
        <v>Vencido</v>
      </c>
      <c r="P474" s="4" t="s">
        <v>829</v>
      </c>
      <c r="Q474" s="9">
        <v>46126</v>
      </c>
      <c r="R474" s="12" t="e">
        <f>IF(OR(Q474="", L474=""), "", NETWORKDAYS(L474, Q474,#REF!))</f>
        <v>#REF!</v>
      </c>
    </row>
    <row r="475" spans="1:18" x14ac:dyDescent="0.25">
      <c r="A475" s="8" t="s">
        <v>16</v>
      </c>
      <c r="B475" s="7" t="s">
        <v>830</v>
      </c>
      <c r="C475" s="4" t="s">
        <v>179</v>
      </c>
      <c r="D475" s="4" t="s">
        <v>831</v>
      </c>
      <c r="E475" s="4">
        <v>474</v>
      </c>
      <c r="F475" s="9">
        <v>46105</v>
      </c>
      <c r="G475" s="9" t="b">
        <v>0</v>
      </c>
      <c r="H475" s="4" t="b">
        <v>0</v>
      </c>
      <c r="I475" s="28" t="s">
        <v>20</v>
      </c>
      <c r="J475" s="4">
        <f t="shared" si="25"/>
        <v>15</v>
      </c>
      <c r="K475" s="4">
        <f ca="1">IF(AND(F475&lt;&gt;"", L475&lt;&gt;""), NETWORKDAYS(TODAY(), L475-1, FESTIVOS!A$1:A$55), "")</f>
        <v>-43</v>
      </c>
      <c r="L475" s="9">
        <f>IF(AND(F475&lt;&gt;"", J475&lt;&gt;""), WORKDAY(F475, J475, FESTIVOS!A$1:A$55), "")</f>
        <v>46128</v>
      </c>
      <c r="M475" s="4" t="s">
        <v>21</v>
      </c>
      <c r="N475" s="4">
        <f t="shared" ca="1" si="26"/>
        <v>0</v>
      </c>
      <c r="O475" s="4" t="str">
        <f t="shared" ca="1" si="27"/>
        <v>Vencido</v>
      </c>
      <c r="P475" s="4" t="s">
        <v>832</v>
      </c>
      <c r="Q475" s="9">
        <v>46120</v>
      </c>
      <c r="R475" s="12" t="e">
        <f>IF(OR(Q475="", L475=""), "", NETWORKDAYS(L475, Q475,#REF!))</f>
        <v>#REF!</v>
      </c>
    </row>
    <row r="476" spans="1:18" x14ac:dyDescent="0.25">
      <c r="A476" s="8" t="s">
        <v>16</v>
      </c>
      <c r="B476" s="7" t="s">
        <v>833</v>
      </c>
      <c r="C476" s="4" t="s">
        <v>25</v>
      </c>
      <c r="D476" s="4" t="s">
        <v>834</v>
      </c>
      <c r="E476" s="4">
        <v>475</v>
      </c>
      <c r="F476" s="9">
        <v>46105</v>
      </c>
      <c r="G476" s="9" t="b">
        <v>0</v>
      </c>
      <c r="H476" s="4" t="b">
        <v>0</v>
      </c>
      <c r="I476" s="28" t="s">
        <v>66</v>
      </c>
      <c r="J476" s="4">
        <f t="shared" si="25"/>
        <v>15</v>
      </c>
      <c r="K476" s="4">
        <f ca="1">IF(AND(F476&lt;&gt;"", L476&lt;&gt;""), NETWORKDAYS(TODAY(), L476-1, FESTIVOS!A$1:A$55), "")</f>
        <v>-43</v>
      </c>
      <c r="L476" s="9">
        <f>IF(AND(F476&lt;&gt;"", J476&lt;&gt;""), WORKDAY(F476, J476, FESTIVOS!A$1:A$55), "")</f>
        <v>46128</v>
      </c>
      <c r="M476" s="4" t="s">
        <v>21</v>
      </c>
      <c r="N476" s="4">
        <f t="shared" ca="1" si="26"/>
        <v>0</v>
      </c>
      <c r="O476" s="4" t="str">
        <f t="shared" ca="1" si="27"/>
        <v>Vencido</v>
      </c>
      <c r="P476" s="4" t="s">
        <v>835</v>
      </c>
      <c r="Q476" s="9">
        <v>46106</v>
      </c>
      <c r="R476" s="12" t="e">
        <f>IF(OR(Q476="", L476=""), "", NETWORKDAYS(L476, Q476,#REF!))</f>
        <v>#REF!</v>
      </c>
    </row>
    <row r="477" spans="1:18" x14ac:dyDescent="0.25">
      <c r="A477" s="8" t="s">
        <v>16</v>
      </c>
      <c r="B477" s="7" t="s">
        <v>836</v>
      </c>
      <c r="C477" s="4" t="s">
        <v>25</v>
      </c>
      <c r="D477" s="4" t="s">
        <v>837</v>
      </c>
      <c r="E477" s="4">
        <v>476</v>
      </c>
      <c r="F477" s="9">
        <v>46105</v>
      </c>
      <c r="G477" s="9" t="b">
        <v>0</v>
      </c>
      <c r="H477" s="4" t="b">
        <v>0</v>
      </c>
      <c r="I477" s="28" t="s">
        <v>66</v>
      </c>
      <c r="J477" s="4">
        <f t="shared" si="25"/>
        <v>15</v>
      </c>
      <c r="K477" s="4">
        <f ca="1">IF(AND(F477&lt;&gt;"", L477&lt;&gt;""), NETWORKDAYS(TODAY(), L477-1, FESTIVOS!A$1:A$55), "")</f>
        <v>-43</v>
      </c>
      <c r="L477" s="9">
        <f>IF(AND(F477&lt;&gt;"", J477&lt;&gt;""), WORKDAY(F477, J477, FESTIVOS!A$1:A$55), "")</f>
        <v>46128</v>
      </c>
      <c r="M477" s="4" t="s">
        <v>21</v>
      </c>
      <c r="N477" s="4">
        <f t="shared" ca="1" si="26"/>
        <v>0</v>
      </c>
      <c r="O477" s="4" t="str">
        <f t="shared" ca="1" si="27"/>
        <v>Vencido</v>
      </c>
      <c r="P477" s="4" t="s">
        <v>838</v>
      </c>
      <c r="Q477" s="9">
        <v>46106</v>
      </c>
      <c r="R477" s="12" t="e">
        <f>IF(OR(Q477="", L477=""), "", NETWORKDAYS(L477, Q477,#REF!))</f>
        <v>#REF!</v>
      </c>
    </row>
    <row r="478" spans="1:18" x14ac:dyDescent="0.25">
      <c r="A478" s="8" t="s">
        <v>16</v>
      </c>
      <c r="B478" s="7" t="s">
        <v>839</v>
      </c>
      <c r="C478" s="4" t="s">
        <v>25</v>
      </c>
      <c r="D478" s="4" t="s">
        <v>840</v>
      </c>
      <c r="E478" s="4">
        <v>477</v>
      </c>
      <c r="F478" s="9">
        <v>46105</v>
      </c>
      <c r="G478" s="9" t="b">
        <v>0</v>
      </c>
      <c r="H478" s="4" t="b">
        <v>0</v>
      </c>
      <c r="I478" s="28" t="s">
        <v>20</v>
      </c>
      <c r="J478" s="4">
        <f t="shared" si="25"/>
        <v>15</v>
      </c>
      <c r="K478" s="4">
        <f ca="1">IF(AND(F478&lt;&gt;"", L478&lt;&gt;""), NETWORKDAYS(TODAY(), L478-1, FESTIVOS!A$1:A$55), "")</f>
        <v>-43</v>
      </c>
      <c r="L478" s="9">
        <f>IF(AND(F478&lt;&gt;"", J478&lt;&gt;""), WORKDAY(F478, J478, FESTIVOS!A$1:A$55), "")</f>
        <v>46128</v>
      </c>
      <c r="M478" s="4" t="s">
        <v>21</v>
      </c>
      <c r="N478" s="4">
        <f t="shared" ca="1" si="26"/>
        <v>0</v>
      </c>
      <c r="O478" s="4" t="str">
        <f t="shared" ca="1" si="27"/>
        <v>Vencido</v>
      </c>
      <c r="P478" s="4" t="s">
        <v>841</v>
      </c>
      <c r="Q478" s="9">
        <v>46108</v>
      </c>
      <c r="R478" s="12" t="b">
        <v>0</v>
      </c>
    </row>
    <row r="479" spans="1:18" x14ac:dyDescent="0.25">
      <c r="A479" s="8" t="s">
        <v>16</v>
      </c>
      <c r="B479" s="7" t="s">
        <v>240</v>
      </c>
      <c r="C479" s="4" t="s">
        <v>90</v>
      </c>
      <c r="D479" s="4" t="s">
        <v>842</v>
      </c>
      <c r="E479" s="4">
        <v>478</v>
      </c>
      <c r="F479" s="9">
        <v>46105</v>
      </c>
      <c r="G479" s="9" t="b">
        <v>0</v>
      </c>
      <c r="H479" s="4" t="b">
        <v>0</v>
      </c>
      <c r="I479" s="28" t="s">
        <v>20</v>
      </c>
      <c r="J479" s="4">
        <f t="shared" si="25"/>
        <v>15</v>
      </c>
      <c r="K479" s="4">
        <f ca="1">IF(AND(F479&lt;&gt;"", L479&lt;&gt;""), NETWORKDAYS(TODAY(), L479-1, FESTIVOS!A$1:A$55), "")</f>
        <v>-43</v>
      </c>
      <c r="L479" s="9">
        <f>IF(AND(F479&lt;&gt;"", J479&lt;&gt;""), WORKDAY(F479, J479, FESTIVOS!A$1:A$55), "")</f>
        <v>46128</v>
      </c>
      <c r="M479" s="4" t="s">
        <v>21</v>
      </c>
      <c r="N479" s="4">
        <f t="shared" ca="1" si="26"/>
        <v>0</v>
      </c>
      <c r="O479" s="4" t="str">
        <f t="shared" ca="1" si="27"/>
        <v>Vencido</v>
      </c>
      <c r="P479" s="4" t="s">
        <v>37</v>
      </c>
      <c r="Q479" s="4" t="b">
        <v>0</v>
      </c>
      <c r="R479" s="12" t="e">
        <f>IF(OR(Q479="", L479=""), "", NETWORKDAYS(L479, Q479,#REF!))</f>
        <v>#VALUE!</v>
      </c>
    </row>
    <row r="480" spans="1:18" x14ac:dyDescent="0.25">
      <c r="A480" s="8" t="s">
        <v>16</v>
      </c>
      <c r="B480" s="7" t="s">
        <v>817</v>
      </c>
      <c r="C480" s="4" t="s">
        <v>25</v>
      </c>
      <c r="D480" s="4" t="s">
        <v>843</v>
      </c>
      <c r="E480" s="4">
        <v>479</v>
      </c>
      <c r="F480" s="9">
        <v>46105</v>
      </c>
      <c r="G480" s="9" t="b">
        <v>0</v>
      </c>
      <c r="H480" s="4" t="b">
        <v>0</v>
      </c>
      <c r="I480" s="28" t="s">
        <v>66</v>
      </c>
      <c r="J480" s="4">
        <f t="shared" si="25"/>
        <v>15</v>
      </c>
      <c r="K480" s="4">
        <f ca="1">IF(AND(F480&lt;&gt;"", L480&lt;&gt;""), NETWORKDAYS(TODAY(), L480-1, FESTIVOS!A$1:A$55), "")</f>
        <v>-43</v>
      </c>
      <c r="L480" s="9">
        <f>IF(AND(F480&lt;&gt;"", J480&lt;&gt;""), WORKDAY(F480, J480, FESTIVOS!A$1:A$55), "")</f>
        <v>46128</v>
      </c>
      <c r="M480" s="4" t="s">
        <v>21</v>
      </c>
      <c r="N480" s="4">
        <f t="shared" ca="1" si="26"/>
        <v>0</v>
      </c>
      <c r="O480" s="4" t="str">
        <f t="shared" ca="1" si="27"/>
        <v>Vencido</v>
      </c>
      <c r="P480" s="4" t="s">
        <v>844</v>
      </c>
      <c r="Q480" s="9">
        <v>46107</v>
      </c>
      <c r="R480" s="12" t="e">
        <f>IF(OR(Q480="", L480=""), "", NETWORKDAYS(L480, Q480,#REF!))</f>
        <v>#REF!</v>
      </c>
    </row>
    <row r="481" spans="1:18" x14ac:dyDescent="0.25">
      <c r="A481" s="8" t="s">
        <v>16</v>
      </c>
      <c r="B481" s="7" t="s">
        <v>747</v>
      </c>
      <c r="C481" s="4" t="s">
        <v>25</v>
      </c>
      <c r="D481" s="4" t="s">
        <v>845</v>
      </c>
      <c r="E481" s="4">
        <v>480</v>
      </c>
      <c r="F481" s="9">
        <v>46105</v>
      </c>
      <c r="G481" s="9" t="b">
        <v>0</v>
      </c>
      <c r="H481" s="4" t="b">
        <v>0</v>
      </c>
      <c r="I481" s="28" t="s">
        <v>66</v>
      </c>
      <c r="J481" s="4">
        <f t="shared" si="25"/>
        <v>15</v>
      </c>
      <c r="K481" s="4">
        <f ca="1">IF(AND(F481&lt;&gt;"", L481&lt;&gt;""), NETWORKDAYS(TODAY(), L481-1, FESTIVOS!A$1:A$55), "")</f>
        <v>-43</v>
      </c>
      <c r="L481" s="9">
        <f>IF(AND(F481&lt;&gt;"", J481&lt;&gt;""), WORKDAY(F481, J481, FESTIVOS!A$1:A$55), "")</f>
        <v>46128</v>
      </c>
      <c r="M481" s="4" t="s">
        <v>21</v>
      </c>
      <c r="N481" s="4">
        <f t="shared" ca="1" si="26"/>
        <v>0</v>
      </c>
      <c r="O481" s="4" t="str">
        <f t="shared" ca="1" si="27"/>
        <v>Vencido</v>
      </c>
      <c r="P481" s="4" t="s">
        <v>846</v>
      </c>
      <c r="Q481" s="9">
        <v>46113</v>
      </c>
      <c r="R481" s="12" t="e">
        <f>IF(OR(Q481="", L481=""), "", NETWORKDAYS(L481, Q481,#REF!))</f>
        <v>#REF!</v>
      </c>
    </row>
    <row r="482" spans="1:18" x14ac:dyDescent="0.25">
      <c r="A482" s="8" t="s">
        <v>16</v>
      </c>
      <c r="B482" s="7" t="s">
        <v>847</v>
      </c>
      <c r="C482" s="4" t="s">
        <v>25</v>
      </c>
      <c r="D482" s="4" t="s">
        <v>848</v>
      </c>
      <c r="E482" s="4">
        <v>481</v>
      </c>
      <c r="F482" s="9">
        <v>46105</v>
      </c>
      <c r="G482" s="9" t="b">
        <v>0</v>
      </c>
      <c r="H482" s="4" t="b">
        <v>0</v>
      </c>
      <c r="I482" s="28" t="s">
        <v>20</v>
      </c>
      <c r="J482" s="4">
        <f t="shared" si="25"/>
        <v>15</v>
      </c>
      <c r="K482" s="4">
        <f ca="1">IF(AND(F482&lt;&gt;"", L482&lt;&gt;""), NETWORKDAYS(TODAY(), L482-1, FESTIVOS!A$1:A$55), "")</f>
        <v>-43</v>
      </c>
      <c r="L482" s="9">
        <f>IF(AND(F482&lt;&gt;"", J482&lt;&gt;""), WORKDAY(F482, J482, FESTIVOS!A$1:A$55), "")</f>
        <v>46128</v>
      </c>
      <c r="M482" s="4" t="s">
        <v>21</v>
      </c>
      <c r="N482" s="4">
        <f t="shared" ca="1" si="26"/>
        <v>0</v>
      </c>
      <c r="O482" s="4" t="str">
        <f t="shared" ca="1" si="27"/>
        <v>Vencido</v>
      </c>
      <c r="P482" s="4" t="s">
        <v>849</v>
      </c>
      <c r="Q482" s="9">
        <v>46108</v>
      </c>
      <c r="R482" s="12" t="b">
        <v>0</v>
      </c>
    </row>
    <row r="483" spans="1:18" x14ac:dyDescent="0.25">
      <c r="A483" s="8" t="s">
        <v>16</v>
      </c>
      <c r="B483" s="7" t="s">
        <v>850</v>
      </c>
      <c r="C483" s="4" t="s">
        <v>25</v>
      </c>
      <c r="D483" s="4" t="s">
        <v>851</v>
      </c>
      <c r="E483" s="4">
        <v>482</v>
      </c>
      <c r="F483" s="9">
        <v>46105</v>
      </c>
      <c r="G483" s="9" t="b">
        <v>0</v>
      </c>
      <c r="H483" s="4" t="b">
        <v>0</v>
      </c>
      <c r="I483" s="28" t="s">
        <v>20</v>
      </c>
      <c r="J483" s="4">
        <f t="shared" si="25"/>
        <v>15</v>
      </c>
      <c r="K483" s="4">
        <f ca="1">IF(AND(F483&lt;&gt;"", L483&lt;&gt;""), NETWORKDAYS(TODAY(), L483-1, FESTIVOS!A$1:A$55), "")</f>
        <v>-43</v>
      </c>
      <c r="L483" s="9">
        <f>IF(AND(F483&lt;&gt;"", J483&lt;&gt;""), WORKDAY(F483, J483, FESTIVOS!A$1:A$55), "")</f>
        <v>46128</v>
      </c>
      <c r="M483" s="4" t="s">
        <v>21</v>
      </c>
      <c r="N483" s="4">
        <f t="shared" ca="1" si="26"/>
        <v>0</v>
      </c>
      <c r="O483" s="4" t="str">
        <f t="shared" ca="1" si="27"/>
        <v>Vencido</v>
      </c>
      <c r="P483" s="4" t="s">
        <v>852</v>
      </c>
      <c r="Q483" s="9">
        <v>46120</v>
      </c>
      <c r="R483" s="12" t="e">
        <f>IF(OR(Q483="", L483=""), "", NETWORKDAYS(L483, Q483,#REF!))</f>
        <v>#REF!</v>
      </c>
    </row>
    <row r="484" spans="1:18" x14ac:dyDescent="0.25">
      <c r="A484" s="8" t="s">
        <v>16</v>
      </c>
      <c r="B484" s="7" t="s">
        <v>853</v>
      </c>
      <c r="C484" s="4" t="s">
        <v>25</v>
      </c>
      <c r="D484" s="4" t="s">
        <v>854</v>
      </c>
      <c r="E484" s="4">
        <v>483</v>
      </c>
      <c r="F484" s="9">
        <v>46105</v>
      </c>
      <c r="G484" s="9" t="b">
        <v>0</v>
      </c>
      <c r="H484" s="4" t="b">
        <v>0</v>
      </c>
      <c r="I484" s="28" t="s">
        <v>254</v>
      </c>
      <c r="J484" s="4">
        <f t="shared" si="25"/>
        <v>15</v>
      </c>
      <c r="K484" s="4">
        <f ca="1">IF(AND(F484&lt;&gt;"", L484&lt;&gt;""), NETWORKDAYS(TODAY(), L484-1, FESTIVOS!A$1:A$55), "")</f>
        <v>-43</v>
      </c>
      <c r="L484" s="9">
        <f>IF(AND(F484&lt;&gt;"", J484&lt;&gt;""), WORKDAY(F484, J484, FESTIVOS!A$1:A$55), "")</f>
        <v>46128</v>
      </c>
      <c r="M484" s="4" t="s">
        <v>21</v>
      </c>
      <c r="N484" s="4">
        <f t="shared" ca="1" si="26"/>
        <v>0</v>
      </c>
      <c r="O484" s="4" t="str">
        <f t="shared" ca="1" si="27"/>
        <v>Vencido</v>
      </c>
      <c r="P484" s="4" t="s">
        <v>37</v>
      </c>
      <c r="Q484" s="4" t="b">
        <v>0</v>
      </c>
      <c r="R484" s="12" t="e">
        <f>IF(OR(Q484="", L484=""), "", NETWORKDAYS(L484, Q484,#REF!))</f>
        <v>#VALUE!</v>
      </c>
    </row>
    <row r="485" spans="1:18" x14ac:dyDescent="0.25">
      <c r="A485" s="8" t="s">
        <v>16</v>
      </c>
      <c r="B485" s="7" t="s">
        <v>855</v>
      </c>
      <c r="C485" s="4" t="s">
        <v>25</v>
      </c>
      <c r="D485" s="4" t="s">
        <v>856</v>
      </c>
      <c r="E485" s="4">
        <v>484</v>
      </c>
      <c r="F485" s="9">
        <v>46105</v>
      </c>
      <c r="G485" s="9" t="b">
        <v>0</v>
      </c>
      <c r="H485" s="4" t="b">
        <v>0</v>
      </c>
      <c r="I485" s="28" t="s">
        <v>254</v>
      </c>
      <c r="J485" s="4">
        <f t="shared" si="25"/>
        <v>15</v>
      </c>
      <c r="K485" s="4">
        <f ca="1">IF(AND(F485&lt;&gt;"", L485&lt;&gt;""), NETWORKDAYS(TODAY(), L485-1, FESTIVOS!A$1:A$55), "")</f>
        <v>-43</v>
      </c>
      <c r="L485" s="9">
        <f>IF(AND(F485&lt;&gt;"", J485&lt;&gt;""), WORKDAY(F485, J485, FESTIVOS!A$1:A$55), "")</f>
        <v>46128</v>
      </c>
      <c r="M485" s="4" t="s">
        <v>21</v>
      </c>
      <c r="N485" s="4">
        <f t="shared" ca="1" si="26"/>
        <v>0</v>
      </c>
      <c r="O485" s="4" t="str">
        <f t="shared" ca="1" si="27"/>
        <v>Vencido</v>
      </c>
      <c r="P485" s="4" t="s">
        <v>37</v>
      </c>
      <c r="Q485" s="4" t="b">
        <v>0</v>
      </c>
      <c r="R485" s="12" t="e">
        <f>IF(OR(Q485="", L485=""), "", NETWORKDAYS(L485, Q485,#REF!))</f>
        <v>#VALUE!</v>
      </c>
    </row>
    <row r="486" spans="1:18" x14ac:dyDescent="0.25">
      <c r="A486" s="8" t="s">
        <v>16</v>
      </c>
      <c r="B486" s="7" t="s">
        <v>857</v>
      </c>
      <c r="C486" s="4" t="s">
        <v>857</v>
      </c>
      <c r="D486" s="4" t="s">
        <v>858</v>
      </c>
      <c r="E486" s="4">
        <v>485</v>
      </c>
      <c r="F486" s="9">
        <v>46105</v>
      </c>
      <c r="G486" s="9" t="b">
        <v>0</v>
      </c>
      <c r="H486" s="4" t="b">
        <v>0</v>
      </c>
      <c r="I486" s="28" t="s">
        <v>254</v>
      </c>
      <c r="J486" s="4">
        <f t="shared" si="25"/>
        <v>15</v>
      </c>
      <c r="K486" s="4">
        <f ca="1">IF(AND(F486&lt;&gt;"", L486&lt;&gt;""), NETWORKDAYS(TODAY(), L486-1, FESTIVOS!A$1:A$55), "")</f>
        <v>-43</v>
      </c>
      <c r="L486" s="9">
        <f>IF(AND(F486&lt;&gt;"", J486&lt;&gt;""), WORKDAY(F486, J486, FESTIVOS!A$1:A$55), "")</f>
        <v>46128</v>
      </c>
      <c r="M486" s="4" t="s">
        <v>21</v>
      </c>
      <c r="N486" s="4">
        <f t="shared" ca="1" si="26"/>
        <v>0</v>
      </c>
      <c r="O486" s="4" t="str">
        <f t="shared" ca="1" si="27"/>
        <v>Vencido</v>
      </c>
      <c r="P486" s="4" t="s">
        <v>37</v>
      </c>
      <c r="Q486" s="4" t="b">
        <v>0</v>
      </c>
      <c r="R486" s="12" t="e">
        <f>IF(OR(Q486="", L486=""), "", NETWORKDAYS(L486, Q486,#REF!))</f>
        <v>#VALUE!</v>
      </c>
    </row>
    <row r="487" spans="1:18" x14ac:dyDescent="0.25">
      <c r="A487" s="8" t="s">
        <v>16</v>
      </c>
      <c r="B487" s="7" t="s">
        <v>362</v>
      </c>
      <c r="C487" s="4" t="s">
        <v>25</v>
      </c>
      <c r="D487" s="4" t="s">
        <v>859</v>
      </c>
      <c r="E487" s="4">
        <v>486</v>
      </c>
      <c r="F487" s="9">
        <v>46105</v>
      </c>
      <c r="G487" s="9" t="b">
        <v>0</v>
      </c>
      <c r="H487" s="4" t="b">
        <v>0</v>
      </c>
      <c r="I487" s="28" t="s">
        <v>66</v>
      </c>
      <c r="J487" s="4">
        <f t="shared" si="25"/>
        <v>15</v>
      </c>
      <c r="K487" s="4">
        <f ca="1">IF(AND(F487&lt;&gt;"", L487&lt;&gt;""), NETWORKDAYS(TODAY(), L487-1, FESTIVOS!A$1:A$55), "")</f>
        <v>-43</v>
      </c>
      <c r="L487" s="9">
        <f>IF(AND(F487&lt;&gt;"", J487&lt;&gt;""), WORKDAY(F487, J487, FESTIVOS!A$1:A$55), "")</f>
        <v>46128</v>
      </c>
      <c r="M487" s="4" t="s">
        <v>21</v>
      </c>
      <c r="N487" s="4">
        <f t="shared" ca="1" si="26"/>
        <v>0</v>
      </c>
      <c r="O487" s="4" t="str">
        <f t="shared" ca="1" si="27"/>
        <v>Vencido</v>
      </c>
      <c r="P487" s="4" t="s">
        <v>860</v>
      </c>
      <c r="Q487" s="9">
        <v>46111</v>
      </c>
      <c r="R487" s="12" t="e">
        <f>IF(OR(Q487="", L487=""), "", NETWORKDAYS(L487, Q487,#REF!))</f>
        <v>#REF!</v>
      </c>
    </row>
    <row r="488" spans="1:18" x14ac:dyDescent="0.25">
      <c r="A488" s="8" t="s">
        <v>16</v>
      </c>
      <c r="B488" s="7" t="s">
        <v>861</v>
      </c>
      <c r="C488" s="4" t="s">
        <v>90</v>
      </c>
      <c r="D488" s="4" t="s">
        <v>862</v>
      </c>
      <c r="E488" s="4">
        <v>487</v>
      </c>
      <c r="F488" s="9">
        <v>46105</v>
      </c>
      <c r="G488" s="9" t="b">
        <v>0</v>
      </c>
      <c r="H488" s="4" t="b">
        <v>0</v>
      </c>
      <c r="I488" s="28" t="s">
        <v>20</v>
      </c>
      <c r="J488" s="4">
        <f t="shared" si="25"/>
        <v>15</v>
      </c>
      <c r="K488" s="4">
        <f ca="1">IF(AND(F488&lt;&gt;"", L488&lt;&gt;""), NETWORKDAYS(TODAY(), L488-1, FESTIVOS!A$1:A$55), "")</f>
        <v>-43</v>
      </c>
      <c r="L488" s="9">
        <f>IF(AND(F488&lt;&gt;"", J488&lt;&gt;""), WORKDAY(F488, J488, FESTIVOS!A$1:A$55), "")</f>
        <v>46128</v>
      </c>
      <c r="M488" s="4" t="s">
        <v>21</v>
      </c>
      <c r="N488" s="4">
        <f t="shared" ca="1" si="26"/>
        <v>0</v>
      </c>
      <c r="O488" s="4" t="str">
        <f t="shared" ca="1" si="27"/>
        <v>Vencido</v>
      </c>
      <c r="P488" s="4" t="s">
        <v>863</v>
      </c>
      <c r="Q488" s="9">
        <v>46119</v>
      </c>
      <c r="R488" s="12" t="e">
        <f>IF(OR(Q488="", L488=""), "", NETWORKDAYS(L488, Q488,#REF!))</f>
        <v>#REF!</v>
      </c>
    </row>
    <row r="489" spans="1:18" x14ac:dyDescent="0.25">
      <c r="A489" s="8" t="s">
        <v>16</v>
      </c>
      <c r="B489" s="7" t="s">
        <v>864</v>
      </c>
      <c r="C489" s="4" t="s">
        <v>25</v>
      </c>
      <c r="D489" s="4" t="s">
        <v>865</v>
      </c>
      <c r="E489" s="4">
        <v>488</v>
      </c>
      <c r="F489" s="9">
        <v>46105</v>
      </c>
      <c r="G489" s="9" t="b">
        <v>0</v>
      </c>
      <c r="H489" s="4" t="b">
        <v>0</v>
      </c>
      <c r="I489" s="28" t="s">
        <v>20</v>
      </c>
      <c r="J489" s="4">
        <f t="shared" si="25"/>
        <v>15</v>
      </c>
      <c r="K489" s="4">
        <f ca="1">IF(AND(F489&lt;&gt;"", L489&lt;&gt;""), NETWORKDAYS(TODAY(), L489-1, FESTIVOS!A$1:A$55), "")</f>
        <v>-43</v>
      </c>
      <c r="L489" s="9">
        <f>IF(AND(F489&lt;&gt;"", J489&lt;&gt;""), WORKDAY(F489, J489, FESTIVOS!A$1:A$55), "")</f>
        <v>46128</v>
      </c>
      <c r="M489" s="4" t="s">
        <v>21</v>
      </c>
      <c r="N489" s="4">
        <f t="shared" ca="1" si="26"/>
        <v>0</v>
      </c>
      <c r="O489" s="4" t="str">
        <f t="shared" ca="1" si="27"/>
        <v>Vencido</v>
      </c>
      <c r="P489" s="4" t="s">
        <v>866</v>
      </c>
      <c r="Q489" s="9">
        <v>46120</v>
      </c>
      <c r="R489" s="12" t="e">
        <f>IF(OR(Q489="", L489=""), "", NETWORKDAYS(L489, Q489,#REF!))</f>
        <v>#REF!</v>
      </c>
    </row>
    <row r="490" spans="1:18" x14ac:dyDescent="0.25">
      <c r="A490" s="8" t="s">
        <v>16</v>
      </c>
      <c r="B490" s="7" t="s">
        <v>711</v>
      </c>
      <c r="C490" s="4" t="s">
        <v>32</v>
      </c>
      <c r="D490" s="4" t="s">
        <v>867</v>
      </c>
      <c r="E490" s="4">
        <v>489</v>
      </c>
      <c r="F490" s="9">
        <v>46105</v>
      </c>
      <c r="G490" s="9" t="b">
        <v>0</v>
      </c>
      <c r="H490" s="4" t="b">
        <v>0</v>
      </c>
      <c r="I490" s="28" t="s">
        <v>20</v>
      </c>
      <c r="J490" s="4">
        <f t="shared" si="25"/>
        <v>15</v>
      </c>
      <c r="K490" s="4">
        <f ca="1">IF(AND(F490&lt;&gt;"", L490&lt;&gt;""), NETWORKDAYS(TODAY(), L490-1, FESTIVOS!A$1:A$55), "")</f>
        <v>-43</v>
      </c>
      <c r="L490" s="9">
        <f>IF(AND(F490&lt;&gt;"", J490&lt;&gt;""), WORKDAY(F490, J490, FESTIVOS!A$1:A$55), "")</f>
        <v>46128</v>
      </c>
      <c r="M490" s="4" t="s">
        <v>21</v>
      </c>
      <c r="N490" s="4">
        <f t="shared" ca="1" si="26"/>
        <v>0</v>
      </c>
      <c r="O490" s="4" t="str">
        <f t="shared" ca="1" si="27"/>
        <v>Vencido</v>
      </c>
      <c r="P490" s="4" t="s">
        <v>37</v>
      </c>
      <c r="Q490" s="4" t="b">
        <v>0</v>
      </c>
      <c r="R490" s="12" t="e">
        <f>IF(OR(Q490="", L490=""), "", NETWORKDAYS(L490, Q490,#REF!))</f>
        <v>#VALUE!</v>
      </c>
    </row>
    <row r="491" spans="1:18" x14ac:dyDescent="0.25">
      <c r="A491" s="8"/>
      <c r="B491" s="7" t="s">
        <v>868</v>
      </c>
      <c r="C491" s="4" t="s">
        <v>25</v>
      </c>
      <c r="D491" s="4" t="s">
        <v>869</v>
      </c>
      <c r="E491" s="4">
        <v>490</v>
      </c>
      <c r="F491" s="9">
        <v>46106</v>
      </c>
      <c r="G491" s="9" t="b">
        <v>0</v>
      </c>
      <c r="H491" s="4" t="b">
        <v>0</v>
      </c>
      <c r="I491" s="28" t="s">
        <v>20</v>
      </c>
      <c r="J491" s="4">
        <v>15</v>
      </c>
      <c r="K491" s="4">
        <f ca="1">IF(AND(F491&lt;&gt;"", L491&lt;&gt;""), NETWORKDAYS(TODAY(), L491-1, FESTIVOS!A$1:A$55), "")</f>
        <v>-42</v>
      </c>
      <c r="L491" s="9">
        <f>IF(AND(F491&lt;&gt;"", J491&lt;&gt;""), WORKDAY(F491, J491, FESTIVOS!A$1:A$55), "")</f>
        <v>46129</v>
      </c>
      <c r="M491" s="4" t="s">
        <v>21</v>
      </c>
      <c r="N491" s="4">
        <f t="shared" ca="1" si="26"/>
        <v>0</v>
      </c>
      <c r="O491" s="4" t="str">
        <f t="shared" ca="1" si="27"/>
        <v>Vencido</v>
      </c>
      <c r="P491" s="4" t="s">
        <v>870</v>
      </c>
      <c r="Q491" s="9">
        <v>46121</v>
      </c>
      <c r="R491" s="12" t="e">
        <f>IF(OR(Q491="", L491=""), "", NETWORKDAYS(L491, Q491,#REF!))</f>
        <v>#REF!</v>
      </c>
    </row>
    <row r="492" spans="1:18" x14ac:dyDescent="0.25">
      <c r="A492" s="8" t="s">
        <v>16</v>
      </c>
      <c r="B492" s="7" t="s">
        <v>208</v>
      </c>
      <c r="C492" s="4" t="s">
        <v>209</v>
      </c>
      <c r="D492" s="4" t="s">
        <v>871</v>
      </c>
      <c r="E492" s="4">
        <v>491</v>
      </c>
      <c r="F492" s="9">
        <v>46106</v>
      </c>
      <c r="G492" s="9" t="b">
        <v>0</v>
      </c>
      <c r="H492" s="4" t="b">
        <v>0</v>
      </c>
      <c r="I492" s="28" t="s">
        <v>80</v>
      </c>
      <c r="J492" s="4">
        <f t="shared" si="25"/>
        <v>15</v>
      </c>
      <c r="K492" s="4">
        <f ca="1">IF(AND(F492&lt;&gt;"", L492&lt;&gt;""), NETWORKDAYS(TODAY(), L492-1, FESTIVOS!A$1:A$55), "")</f>
        <v>-42</v>
      </c>
      <c r="L492" s="9">
        <f>IF(AND(F492&lt;&gt;"", J492&lt;&gt;""), WORKDAY(F492, J492, FESTIVOS!A$1:A$55), "")</f>
        <v>46129</v>
      </c>
      <c r="M492" s="4" t="s">
        <v>21</v>
      </c>
      <c r="N492" s="4">
        <f t="shared" ca="1" si="26"/>
        <v>0</v>
      </c>
      <c r="O492" s="4" t="str">
        <f t="shared" ca="1" si="27"/>
        <v>Vencido</v>
      </c>
      <c r="P492" s="4" t="b">
        <v>0</v>
      </c>
      <c r="Q492" s="4" t="b">
        <v>0</v>
      </c>
      <c r="R492" s="12" t="e">
        <f>IF(OR(Q492="", L492=""), "", NETWORKDAYS(L492, Q492,#REF!))</f>
        <v>#VALUE!</v>
      </c>
    </row>
    <row r="493" spans="1:18" x14ac:dyDescent="0.25">
      <c r="A493" s="8" t="s">
        <v>16</v>
      </c>
      <c r="B493" s="7" t="s">
        <v>68</v>
      </c>
      <c r="C493" s="4" t="s">
        <v>186</v>
      </c>
      <c r="D493" s="4" t="s">
        <v>872</v>
      </c>
      <c r="E493" s="4">
        <v>492</v>
      </c>
      <c r="F493" s="9">
        <v>46106</v>
      </c>
      <c r="G493" s="9" t="b">
        <v>0</v>
      </c>
      <c r="H493" s="4" t="b">
        <v>0</v>
      </c>
      <c r="I493" s="28" t="s">
        <v>20</v>
      </c>
      <c r="J493" s="4">
        <f t="shared" si="25"/>
        <v>15</v>
      </c>
      <c r="K493" s="4">
        <f ca="1">IF(AND(F493&lt;&gt;"", L493&lt;&gt;""), NETWORKDAYS(TODAY(), L493-1, FESTIVOS!A$1:A$55), "")</f>
        <v>-42</v>
      </c>
      <c r="L493" s="9">
        <f>IF(AND(F493&lt;&gt;"", J493&lt;&gt;""), WORKDAY(F493, J493, FESTIVOS!A$1:A$55), "")</f>
        <v>46129</v>
      </c>
      <c r="M493" s="4" t="s">
        <v>21</v>
      </c>
      <c r="N493" s="4">
        <f t="shared" ca="1" si="26"/>
        <v>0</v>
      </c>
      <c r="O493" s="4" t="str">
        <f t="shared" ca="1" si="27"/>
        <v>Vencido</v>
      </c>
      <c r="P493" s="4" t="s">
        <v>37</v>
      </c>
      <c r="Q493" s="4" t="b">
        <v>0</v>
      </c>
      <c r="R493" s="12" t="e">
        <f>IF(OR(Q493="", L493=""), "", NETWORKDAYS(L493, Q493,#REF!))</f>
        <v>#VALUE!</v>
      </c>
    </row>
    <row r="494" spans="1:18" x14ac:dyDescent="0.25">
      <c r="A494" s="8" t="s">
        <v>16</v>
      </c>
      <c r="B494" s="7" t="s">
        <v>873</v>
      </c>
      <c r="C494" s="4" t="s">
        <v>42</v>
      </c>
      <c r="D494" s="4" t="s">
        <v>874</v>
      </c>
      <c r="E494" s="4">
        <v>493</v>
      </c>
      <c r="F494" s="9">
        <v>46106</v>
      </c>
      <c r="G494" s="9" t="b">
        <v>0</v>
      </c>
      <c r="H494" s="4" t="b">
        <v>0</v>
      </c>
      <c r="I494" s="28" t="s">
        <v>44</v>
      </c>
      <c r="J494" s="4">
        <f t="shared" si="25"/>
        <v>15</v>
      </c>
      <c r="K494" s="4">
        <f ca="1">IF(AND(F494&lt;&gt;"", L494&lt;&gt;""), NETWORKDAYS(TODAY(), L494-1, FESTIVOS!A$1:A$55), "")</f>
        <v>-42</v>
      </c>
      <c r="L494" s="9">
        <f>IF(AND(F494&lt;&gt;"", J494&lt;&gt;""), WORKDAY(F494, J494, FESTIVOS!A$1:A$55), "")</f>
        <v>46129</v>
      </c>
      <c r="M494" s="4" t="s">
        <v>21</v>
      </c>
      <c r="N494" s="4">
        <f t="shared" ca="1" si="26"/>
        <v>0</v>
      </c>
      <c r="O494" s="4" t="str">
        <f t="shared" ca="1" si="27"/>
        <v>Vencido</v>
      </c>
      <c r="P494" s="4" t="s">
        <v>875</v>
      </c>
      <c r="Q494" s="9">
        <v>46129</v>
      </c>
      <c r="R494" s="12" t="e">
        <f>IF(OR(Q494="", L494=""), "", NETWORKDAYS(L494, Q494,#REF!))</f>
        <v>#REF!</v>
      </c>
    </row>
    <row r="495" spans="1:18" ht="31.9" customHeight="1" x14ac:dyDescent="0.25">
      <c r="A495" s="8" t="s">
        <v>16</v>
      </c>
      <c r="B495" s="7" t="s">
        <v>876</v>
      </c>
      <c r="C495" s="4" t="s">
        <v>42</v>
      </c>
      <c r="D495" s="4" t="s">
        <v>877</v>
      </c>
      <c r="E495" s="4">
        <v>494</v>
      </c>
      <c r="F495" s="9">
        <v>46106</v>
      </c>
      <c r="G495" s="9" t="b">
        <v>0</v>
      </c>
      <c r="H495" s="4" t="b">
        <v>0</v>
      </c>
      <c r="I495" s="28" t="s">
        <v>44</v>
      </c>
      <c r="J495" s="4">
        <f t="shared" si="25"/>
        <v>15</v>
      </c>
      <c r="K495" s="4">
        <f ca="1">IF(AND(F495&lt;&gt;"", L495&lt;&gt;""), NETWORKDAYS(TODAY(), L495-1, FESTIVOS!A$1:A$55), "")</f>
        <v>-42</v>
      </c>
      <c r="L495" s="9">
        <f>IF(AND(F495&lt;&gt;"", J495&lt;&gt;""), WORKDAY(F495, J495, FESTIVOS!A$1:A$55), "")</f>
        <v>46129</v>
      </c>
      <c r="M495" s="4" t="s">
        <v>21</v>
      </c>
      <c r="N495" s="4">
        <f t="shared" ca="1" si="26"/>
        <v>0</v>
      </c>
      <c r="O495" s="4" t="str">
        <f t="shared" ca="1" si="27"/>
        <v>Vencido</v>
      </c>
      <c r="P495" s="4" t="s">
        <v>37</v>
      </c>
      <c r="Q495" s="4" t="b">
        <v>0</v>
      </c>
      <c r="R495" s="12" t="e">
        <f>IF(OR(Q495="", L495=""), "", NETWORKDAYS(L495, Q495,#REF!))</f>
        <v>#VALUE!</v>
      </c>
    </row>
    <row r="496" spans="1:18" x14ac:dyDescent="0.25">
      <c r="A496" s="8" t="s">
        <v>16</v>
      </c>
      <c r="B496" s="7" t="s">
        <v>878</v>
      </c>
      <c r="C496" s="4" t="s">
        <v>25</v>
      </c>
      <c r="D496" s="4" t="s">
        <v>879</v>
      </c>
      <c r="E496" s="4">
        <v>495</v>
      </c>
      <c r="F496" s="9">
        <v>46107</v>
      </c>
      <c r="G496" s="9" t="b">
        <v>0</v>
      </c>
      <c r="H496" s="4" t="b">
        <v>0</v>
      </c>
      <c r="I496" s="28" t="s">
        <v>20</v>
      </c>
      <c r="J496" s="4">
        <v>15</v>
      </c>
      <c r="K496" s="4">
        <f ca="1">IF(AND(F496&lt;&gt;"", L496&lt;&gt;""), NETWORKDAYS(TODAY(), L496-1, FESTIVOS!A$1:A$55), "")</f>
        <v>-40</v>
      </c>
      <c r="L496" s="9">
        <f>IF(AND(F496&lt;&gt;"", J496&lt;&gt;""), WORKDAY(F496, J496, FESTIVOS!A$1:A$55), "")</f>
        <v>46132</v>
      </c>
      <c r="M496" s="4" t="s">
        <v>21</v>
      </c>
      <c r="N496" s="4">
        <f t="shared" ca="1" si="26"/>
        <v>0</v>
      </c>
      <c r="O496" s="4" t="str">
        <f t="shared" ca="1" si="27"/>
        <v>Vencido</v>
      </c>
      <c r="P496" s="4" t="s">
        <v>880</v>
      </c>
      <c r="Q496" s="4" t="b">
        <v>0</v>
      </c>
      <c r="R496" s="12" t="e">
        <f>IF(OR(Q496="", L496=""), "", NETWORKDAYS(L496, Q496,#REF!))</f>
        <v>#VALUE!</v>
      </c>
    </row>
    <row r="497" spans="1:18" x14ac:dyDescent="0.25">
      <c r="A497" s="8" t="s">
        <v>16</v>
      </c>
      <c r="B497" s="7" t="s">
        <v>881</v>
      </c>
      <c r="C497" s="4" t="s">
        <v>25</v>
      </c>
      <c r="D497" s="4" t="s">
        <v>882</v>
      </c>
      <c r="E497" s="4">
        <v>496</v>
      </c>
      <c r="F497" s="9">
        <v>46107</v>
      </c>
      <c r="G497" s="9" t="b">
        <v>0</v>
      </c>
      <c r="H497" s="4" t="b">
        <v>0</v>
      </c>
      <c r="I497" s="28" t="s">
        <v>20</v>
      </c>
      <c r="J497" s="4">
        <f t="shared" si="25"/>
        <v>15</v>
      </c>
      <c r="K497" s="4">
        <f ca="1">IF(AND(F497&lt;&gt;"", L497&lt;&gt;""), NETWORKDAYS(TODAY(), L497-1, FESTIVOS!A$1:A$55), "")</f>
        <v>-40</v>
      </c>
      <c r="L497" s="9">
        <f>IF(AND(F497&lt;&gt;"", J497&lt;&gt;""), WORKDAY(F497, J497, FESTIVOS!A$1:A$55), "")</f>
        <v>46132</v>
      </c>
      <c r="M497" s="4" t="s">
        <v>21</v>
      </c>
      <c r="N497" s="4">
        <f t="shared" ca="1" si="26"/>
        <v>0</v>
      </c>
      <c r="O497" s="4" t="str">
        <f t="shared" ca="1" si="27"/>
        <v>Vencido</v>
      </c>
      <c r="P497" s="4" t="s">
        <v>883</v>
      </c>
      <c r="Q497" s="9">
        <v>46129</v>
      </c>
      <c r="R497" s="12" t="e">
        <f>IF(OR(Q497="", L497=""), "", NETWORKDAYS(L497, Q497,#REF!))</f>
        <v>#REF!</v>
      </c>
    </row>
    <row r="498" spans="1:18" x14ac:dyDescent="0.25">
      <c r="A498" s="8" t="s">
        <v>16</v>
      </c>
      <c r="B498" s="7" t="s">
        <v>861</v>
      </c>
      <c r="C498" s="4" t="s">
        <v>25</v>
      </c>
      <c r="D498" s="4" t="s">
        <v>61</v>
      </c>
      <c r="E498" s="4">
        <v>497</v>
      </c>
      <c r="F498" s="9">
        <v>46107</v>
      </c>
      <c r="G498" s="9" t="b">
        <v>0</v>
      </c>
      <c r="H498" s="4" t="b">
        <v>0</v>
      </c>
      <c r="I498" s="28" t="s">
        <v>20</v>
      </c>
      <c r="J498" s="4">
        <f t="shared" si="25"/>
        <v>15</v>
      </c>
      <c r="K498" s="4">
        <f ca="1">IF(AND(F498&lt;&gt;"", L498&lt;&gt;""), NETWORKDAYS(TODAY(), L498-1, FESTIVOS!A$1:A$55), "")</f>
        <v>-40</v>
      </c>
      <c r="L498" s="9">
        <f>IF(AND(F498&lt;&gt;"", J498&lt;&gt;""), WORKDAY(F498, J498, FESTIVOS!A$1:A$55), "")</f>
        <v>46132</v>
      </c>
      <c r="M498" s="4" t="s">
        <v>21</v>
      </c>
      <c r="N498" s="4">
        <f t="shared" ca="1" si="26"/>
        <v>0</v>
      </c>
      <c r="O498" s="4" t="str">
        <f t="shared" ca="1" si="27"/>
        <v>Vencido</v>
      </c>
      <c r="P498" s="4" t="s">
        <v>884</v>
      </c>
      <c r="Q498" s="9">
        <v>46126</v>
      </c>
      <c r="R498" s="12" t="e">
        <f>IF(OR(Q498="", L498=""), "", NETWORKDAYS(L498, Q498,#REF!))</f>
        <v>#REF!</v>
      </c>
    </row>
    <row r="499" spans="1:18" x14ac:dyDescent="0.25">
      <c r="A499" s="8" t="s">
        <v>16</v>
      </c>
      <c r="B499" s="7" t="s">
        <v>861</v>
      </c>
      <c r="C499" s="4" t="s">
        <v>25</v>
      </c>
      <c r="D499" s="4" t="s">
        <v>120</v>
      </c>
      <c r="E499" s="4">
        <v>498</v>
      </c>
      <c r="F499" s="9">
        <v>46107</v>
      </c>
      <c r="G499" s="9" t="b">
        <v>0</v>
      </c>
      <c r="H499" s="4" t="b">
        <v>0</v>
      </c>
      <c r="I499" s="28" t="s">
        <v>20</v>
      </c>
      <c r="J499" s="4">
        <f t="shared" si="25"/>
        <v>15</v>
      </c>
      <c r="K499" s="4">
        <f ca="1">IF(AND(F499&lt;&gt;"", L499&lt;&gt;""), NETWORKDAYS(TODAY(), L499-1, FESTIVOS!A$1:A$55), "")</f>
        <v>-40</v>
      </c>
      <c r="L499" s="9">
        <f>IF(AND(F499&lt;&gt;"", J499&lt;&gt;""), WORKDAY(F499, J499, FESTIVOS!A$1:A$55), "")</f>
        <v>46132</v>
      </c>
      <c r="M499" s="4" t="s">
        <v>21</v>
      </c>
      <c r="N499" s="4">
        <f t="shared" ca="1" si="26"/>
        <v>0</v>
      </c>
      <c r="O499" s="4" t="str">
        <f t="shared" ca="1" si="27"/>
        <v>Vencido</v>
      </c>
      <c r="P499" s="4" t="s">
        <v>885</v>
      </c>
      <c r="Q499" s="9">
        <v>46120</v>
      </c>
      <c r="R499" s="12" t="e">
        <f>IF(OR(Q499="", L499=""), "", NETWORKDAYS(L499, Q499,#REF!))</f>
        <v>#REF!</v>
      </c>
    </row>
    <row r="500" spans="1:18" x14ac:dyDescent="0.25">
      <c r="A500" s="8" t="s">
        <v>16</v>
      </c>
      <c r="B500" s="7" t="s">
        <v>886</v>
      </c>
      <c r="C500" s="4" t="s">
        <v>887</v>
      </c>
      <c r="D500" s="4" t="s">
        <v>888</v>
      </c>
      <c r="E500" s="4">
        <v>499</v>
      </c>
      <c r="F500" s="9">
        <v>46107</v>
      </c>
      <c r="G500" s="9" t="b">
        <v>0</v>
      </c>
      <c r="H500" s="4" t="b">
        <v>0</v>
      </c>
      <c r="I500" s="28" t="s">
        <v>44</v>
      </c>
      <c r="J500" s="4">
        <f t="shared" si="25"/>
        <v>15</v>
      </c>
      <c r="K500" s="4">
        <f ca="1">IF(AND(F500&lt;&gt;"", L500&lt;&gt;""), NETWORKDAYS(TODAY(), L500-1, FESTIVOS!A$1:A$55), "")</f>
        <v>-40</v>
      </c>
      <c r="L500" s="9">
        <f>IF(AND(F500&lt;&gt;"", J500&lt;&gt;""), WORKDAY(F500, J500, FESTIVOS!A$1:A$55), "")</f>
        <v>46132</v>
      </c>
      <c r="M500" s="4" t="s">
        <v>21</v>
      </c>
      <c r="N500" s="4">
        <f t="shared" ca="1" si="26"/>
        <v>0</v>
      </c>
      <c r="O500" s="4" t="str">
        <f t="shared" ca="1" si="27"/>
        <v>Vencido</v>
      </c>
      <c r="P500" s="4" t="s">
        <v>889</v>
      </c>
      <c r="Q500" s="9">
        <v>46134</v>
      </c>
      <c r="R500" s="12" t="e">
        <f>IF(OR(Q500="", L500=""), "", NETWORKDAYS(L500, Q500,#REF!))</f>
        <v>#REF!</v>
      </c>
    </row>
    <row r="501" spans="1:18" x14ac:dyDescent="0.25">
      <c r="A501" s="8" t="s">
        <v>16</v>
      </c>
      <c r="B501" s="7" t="s">
        <v>890</v>
      </c>
      <c r="C501" s="4" t="s">
        <v>32</v>
      </c>
      <c r="D501" s="4" t="s">
        <v>891</v>
      </c>
      <c r="E501" s="4">
        <v>500</v>
      </c>
      <c r="F501" s="9">
        <v>46107</v>
      </c>
      <c r="G501" s="9" t="b">
        <v>0</v>
      </c>
      <c r="H501" s="4" t="b">
        <v>0</v>
      </c>
      <c r="I501" s="28" t="s">
        <v>20</v>
      </c>
      <c r="J501" s="4">
        <f t="shared" si="25"/>
        <v>15</v>
      </c>
      <c r="K501" s="4">
        <f ca="1">IF(AND(F501&lt;&gt;"", L501&lt;&gt;""), NETWORKDAYS(TODAY(), L501-1, FESTIVOS!A$1:A$55), "")</f>
        <v>-40</v>
      </c>
      <c r="L501" s="9">
        <f>IF(AND(F501&lt;&gt;"", J501&lt;&gt;""), WORKDAY(F501, J501, FESTIVOS!A$1:A$55), "")</f>
        <v>46132</v>
      </c>
      <c r="M501" s="4" t="s">
        <v>21</v>
      </c>
      <c r="N501" s="4">
        <f t="shared" ca="1" si="26"/>
        <v>0</v>
      </c>
      <c r="O501" s="4" t="str">
        <f t="shared" ca="1" si="27"/>
        <v>Vencido</v>
      </c>
      <c r="P501" s="4" t="s">
        <v>37</v>
      </c>
      <c r="Q501" s="4" t="b">
        <v>0</v>
      </c>
      <c r="R501" s="12" t="e">
        <f>IF(OR(Q501="", L501=""), "", NETWORKDAYS(L501, Q501,#REF!))</f>
        <v>#VALUE!</v>
      </c>
    </row>
    <row r="502" spans="1:18" x14ac:dyDescent="0.25">
      <c r="A502" s="8" t="s">
        <v>16</v>
      </c>
      <c r="B502" s="7" t="s">
        <v>892</v>
      </c>
      <c r="C502" s="4" t="s">
        <v>25</v>
      </c>
      <c r="D502" s="4" t="s">
        <v>893</v>
      </c>
      <c r="E502" s="4">
        <v>501</v>
      </c>
      <c r="F502" s="9">
        <v>46107</v>
      </c>
      <c r="G502" s="9" t="b">
        <v>0</v>
      </c>
      <c r="H502" s="4" t="b">
        <v>0</v>
      </c>
      <c r="I502" s="28" t="s">
        <v>20</v>
      </c>
      <c r="J502" s="4">
        <f t="shared" ref="J502:J565" si="28">IF(A502="INFORMACIÓN O DOCUMENTOS", 10, IF(A502="CONSULTA", 30, IF(A502="FACTURACIÓN Y COBROS", 15, IF(A502="VINCULACIÓN Y DESVINCULACIÓN", 15, IF(A502="NO ES DE NUESTRA COMPETENCIA", 5, IF(A502="OTRO", 15, ""))))))</f>
        <v>15</v>
      </c>
      <c r="K502" s="4">
        <f ca="1">IF(AND(F502&lt;&gt;"", L502&lt;&gt;""), NETWORKDAYS(TODAY(), L502-1, FESTIVOS!A$1:A$55), "")</f>
        <v>-40</v>
      </c>
      <c r="L502" s="9">
        <f>IF(AND(F502&lt;&gt;"", J502&lt;&gt;""), WORKDAY(F502, J502, FESTIVOS!A$1:A$55), "")</f>
        <v>46132</v>
      </c>
      <c r="M502" s="4" t="s">
        <v>21</v>
      </c>
      <c r="N502" s="4">
        <f t="shared" ref="N502:N565" ca="1" si="29">IF(K502="", "", MAX(0, K502 - (TODAY() - TODAY())))</f>
        <v>0</v>
      </c>
      <c r="O502" s="4" t="str">
        <f t="shared" ref="O502:O565" ca="1" si="30">IF(OR(K502="", J502=""), "", IF(K502&lt;0, "Vencido", IF(K502&gt;(J502/2), "Supere la mitad", "Bajo la mitad")))</f>
        <v>Vencido</v>
      </c>
      <c r="P502" s="4" t="s">
        <v>894</v>
      </c>
      <c r="Q502" s="9">
        <v>46120</v>
      </c>
      <c r="R502" s="12" t="e">
        <f>IF(OR(Q502="", L502=""), "", NETWORKDAYS(L502, Q502,#REF!))</f>
        <v>#REF!</v>
      </c>
    </row>
    <row r="503" spans="1:18" x14ac:dyDescent="0.25">
      <c r="A503" s="8" t="s">
        <v>16</v>
      </c>
      <c r="B503" s="7" t="s">
        <v>429</v>
      </c>
      <c r="C503" s="4" t="s">
        <v>186</v>
      </c>
      <c r="D503" s="4" t="s">
        <v>895</v>
      </c>
      <c r="E503" s="4">
        <v>502</v>
      </c>
      <c r="F503" s="9">
        <v>46107</v>
      </c>
      <c r="G503" s="9" t="b">
        <v>0</v>
      </c>
      <c r="H503" s="4" t="b">
        <v>0</v>
      </c>
      <c r="I503" s="28" t="s">
        <v>20</v>
      </c>
      <c r="J503" s="4">
        <f t="shared" si="28"/>
        <v>15</v>
      </c>
      <c r="K503" s="4">
        <f ca="1">IF(AND(F503&lt;&gt;"", L503&lt;&gt;""), NETWORKDAYS(TODAY(), L503-1, FESTIVOS!A$1:A$55), "")</f>
        <v>-40</v>
      </c>
      <c r="L503" s="9">
        <f>IF(AND(F503&lt;&gt;"", J503&lt;&gt;""), WORKDAY(F503, J503, FESTIVOS!A$1:A$55), "")</f>
        <v>46132</v>
      </c>
      <c r="M503" s="4" t="s">
        <v>21</v>
      </c>
      <c r="N503" s="4">
        <f t="shared" ca="1" si="29"/>
        <v>0</v>
      </c>
      <c r="O503" s="4" t="str">
        <f t="shared" ca="1" si="30"/>
        <v>Vencido</v>
      </c>
      <c r="P503" s="4" t="s">
        <v>37</v>
      </c>
      <c r="Q503" s="4" t="b">
        <v>0</v>
      </c>
      <c r="R503" s="12" t="e">
        <f>IF(OR(Q503="", L503=""), "", NETWORKDAYS(L503, Q503,#REF!))</f>
        <v>#VALUE!</v>
      </c>
    </row>
    <row r="504" spans="1:18" x14ac:dyDescent="0.25">
      <c r="A504" s="8" t="s">
        <v>16</v>
      </c>
      <c r="B504" s="7" t="s">
        <v>896</v>
      </c>
      <c r="C504" s="4" t="s">
        <v>292</v>
      </c>
      <c r="D504" s="4" t="s">
        <v>88</v>
      </c>
      <c r="E504" s="4">
        <v>503</v>
      </c>
      <c r="F504" s="9">
        <v>46107</v>
      </c>
      <c r="G504" s="9" t="b">
        <v>0</v>
      </c>
      <c r="H504" s="4" t="b">
        <v>0</v>
      </c>
      <c r="I504" s="28" t="s">
        <v>20</v>
      </c>
      <c r="J504" s="4">
        <f t="shared" si="28"/>
        <v>15</v>
      </c>
      <c r="K504" s="4">
        <f ca="1">IF(AND(F504&lt;&gt;"", L504&lt;&gt;""), NETWORKDAYS(TODAY(), L504-1, FESTIVOS!A$1:A$55), "")</f>
        <v>-40</v>
      </c>
      <c r="L504" s="9">
        <f>IF(AND(F504&lt;&gt;"", J504&lt;&gt;""), WORKDAY(F504, J504, FESTIVOS!A$1:A$55), "")</f>
        <v>46132</v>
      </c>
      <c r="M504" s="4" t="s">
        <v>21</v>
      </c>
      <c r="N504" s="4">
        <f t="shared" ca="1" si="29"/>
        <v>0</v>
      </c>
      <c r="O504" s="4" t="str">
        <f t="shared" ca="1" si="30"/>
        <v>Vencido</v>
      </c>
      <c r="P504" s="4" t="s">
        <v>897</v>
      </c>
      <c r="Q504" s="9">
        <v>46120</v>
      </c>
      <c r="R504" s="12" t="e">
        <f>IF(OR(Q504="", L504=""), "", NETWORKDAYS(L504, Q504,#REF!))</f>
        <v>#REF!</v>
      </c>
    </row>
    <row r="505" spans="1:18" x14ac:dyDescent="0.25">
      <c r="A505" s="8" t="s">
        <v>16</v>
      </c>
      <c r="B505" s="7" t="s">
        <v>17</v>
      </c>
      <c r="C505" s="4" t="s">
        <v>84</v>
      </c>
      <c r="D505" s="4" t="s">
        <v>102</v>
      </c>
      <c r="E505" s="4">
        <v>504</v>
      </c>
      <c r="F505" s="9">
        <v>46108</v>
      </c>
      <c r="G505" s="9" t="b">
        <v>0</v>
      </c>
      <c r="H505" s="4" t="b">
        <v>0</v>
      </c>
      <c r="I505" s="28" t="s">
        <v>20</v>
      </c>
      <c r="J505" s="4">
        <f t="shared" si="28"/>
        <v>15</v>
      </c>
      <c r="K505" s="4">
        <f ca="1">IF(AND(F505&lt;&gt;"", L505&lt;&gt;""), NETWORKDAYS(TODAY(), L505-1, FESTIVOS!A$1:A$55), "")</f>
        <v>-40</v>
      </c>
      <c r="L505" s="9">
        <f>IF(AND(F505&lt;&gt;"", J505&lt;&gt;""), WORKDAY(F505, J505, FESTIVOS!A$1:A$55), "")</f>
        <v>46133</v>
      </c>
      <c r="M505" s="4" t="s">
        <v>21</v>
      </c>
      <c r="N505" s="4">
        <f t="shared" ca="1" si="29"/>
        <v>0</v>
      </c>
      <c r="O505" s="4" t="str">
        <f t="shared" ca="1" si="30"/>
        <v>Vencido</v>
      </c>
      <c r="P505" s="4" t="s">
        <v>898</v>
      </c>
      <c r="Q505" s="9">
        <v>46128</v>
      </c>
      <c r="R505" s="12" t="e">
        <f>IF(OR(Q505="", L505=""), "", NETWORKDAYS(L505, Q505,#REF!))</f>
        <v>#REF!</v>
      </c>
    </row>
    <row r="506" spans="1:18" x14ac:dyDescent="0.25">
      <c r="A506" s="8" t="s">
        <v>16</v>
      </c>
      <c r="B506" s="7" t="s">
        <v>486</v>
      </c>
      <c r="C506" s="4" t="s">
        <v>42</v>
      </c>
      <c r="D506" s="4" t="s">
        <v>899</v>
      </c>
      <c r="E506" s="4">
        <v>505</v>
      </c>
      <c r="F506" s="9">
        <v>46108</v>
      </c>
      <c r="G506" s="9" t="b">
        <v>0</v>
      </c>
      <c r="H506" s="4" t="b">
        <v>0</v>
      </c>
      <c r="I506" s="28" t="s">
        <v>44</v>
      </c>
      <c r="J506" s="4">
        <f t="shared" si="28"/>
        <v>15</v>
      </c>
      <c r="K506" s="4">
        <f ca="1">IF(AND(F506&lt;&gt;"", L506&lt;&gt;""), NETWORKDAYS(TODAY(), L506-1, FESTIVOS!A$1:A$55), "")</f>
        <v>-40</v>
      </c>
      <c r="L506" s="9">
        <f>IF(AND(F506&lt;&gt;"", J506&lt;&gt;""), WORKDAY(F506, J506, FESTIVOS!A$1:A$55), "")</f>
        <v>46133</v>
      </c>
      <c r="M506" s="4" t="s">
        <v>21</v>
      </c>
      <c r="N506" s="4">
        <f t="shared" ca="1" si="29"/>
        <v>0</v>
      </c>
      <c r="O506" s="4" t="str">
        <f t="shared" ca="1" si="30"/>
        <v>Vencido</v>
      </c>
      <c r="P506" s="4" t="s">
        <v>37</v>
      </c>
      <c r="Q506" s="4" t="b">
        <v>0</v>
      </c>
      <c r="R506" s="12" t="e">
        <f>IF(OR(Q506="", L506=""), "", NETWORKDAYS(L506, Q506,#REF!))</f>
        <v>#VALUE!</v>
      </c>
    </row>
    <row r="507" spans="1:18" x14ac:dyDescent="0.25">
      <c r="A507" s="8" t="s">
        <v>16</v>
      </c>
      <c r="B507" s="7" t="s">
        <v>900</v>
      </c>
      <c r="C507" s="4" t="s">
        <v>25</v>
      </c>
      <c r="D507" s="4" t="s">
        <v>901</v>
      </c>
      <c r="E507" s="4">
        <v>506</v>
      </c>
      <c r="F507" s="9">
        <v>46106</v>
      </c>
      <c r="G507" s="9" t="b">
        <v>0</v>
      </c>
      <c r="H507" s="4" t="b">
        <v>0</v>
      </c>
      <c r="I507" s="28" t="s">
        <v>20</v>
      </c>
      <c r="J507" s="4">
        <f t="shared" si="28"/>
        <v>15</v>
      </c>
      <c r="K507" s="4">
        <f ca="1">IF(AND(F507&lt;&gt;"", L507&lt;&gt;""), NETWORKDAYS(TODAY(), L507-1, FESTIVOS!A$1:A$55), "")</f>
        <v>-42</v>
      </c>
      <c r="L507" s="9">
        <f>IF(AND(F507&lt;&gt;"", J507&lt;&gt;""), WORKDAY(F507, J507, FESTIVOS!A$1:A$55), "")</f>
        <v>46129</v>
      </c>
      <c r="M507" s="4" t="s">
        <v>21</v>
      </c>
      <c r="N507" s="4">
        <f t="shared" ca="1" si="29"/>
        <v>0</v>
      </c>
      <c r="O507" s="4" t="str">
        <f t="shared" ca="1" si="30"/>
        <v>Vencido</v>
      </c>
      <c r="P507" s="4" t="s">
        <v>902</v>
      </c>
      <c r="Q507" s="9">
        <v>46119</v>
      </c>
      <c r="R507" s="12" t="e">
        <f>IF(OR(Q507="", L507=""), "", NETWORKDAYS(L507, Q507,#REF!))</f>
        <v>#REF!</v>
      </c>
    </row>
    <row r="508" spans="1:18" x14ac:dyDescent="0.25">
      <c r="A508" s="8" t="s">
        <v>16</v>
      </c>
      <c r="B508" s="7" t="s">
        <v>612</v>
      </c>
      <c r="C508" s="4" t="s">
        <v>186</v>
      </c>
      <c r="D508" s="4" t="s">
        <v>903</v>
      </c>
      <c r="E508" s="4">
        <v>507</v>
      </c>
      <c r="F508" s="9">
        <v>46106</v>
      </c>
      <c r="G508" s="9" t="b">
        <v>0</v>
      </c>
      <c r="H508" s="4" t="b">
        <v>0</v>
      </c>
      <c r="I508" s="28" t="s">
        <v>20</v>
      </c>
      <c r="J508" s="4">
        <f t="shared" si="28"/>
        <v>15</v>
      </c>
      <c r="K508" s="4">
        <f ca="1">IF(AND(F508&lt;&gt;"", L508&lt;&gt;""), NETWORKDAYS(TODAY(), L508-1, FESTIVOS!A$1:A$55), "")</f>
        <v>-42</v>
      </c>
      <c r="L508" s="9">
        <f>IF(AND(F508&lt;&gt;"", J508&lt;&gt;""), WORKDAY(F508, J508, FESTIVOS!A$1:A$55), "")</f>
        <v>46129</v>
      </c>
      <c r="M508" s="4" t="s">
        <v>21</v>
      </c>
      <c r="N508" s="4">
        <f t="shared" ca="1" si="29"/>
        <v>0</v>
      </c>
      <c r="O508" s="4" t="str">
        <f t="shared" ca="1" si="30"/>
        <v>Vencido</v>
      </c>
      <c r="P508" s="4" t="s">
        <v>904</v>
      </c>
      <c r="Q508" s="9">
        <v>46119</v>
      </c>
      <c r="R508" s="12" t="e">
        <f>IF(OR(Q508="", L508=""), "", NETWORKDAYS(L508, Q508,#REF!))</f>
        <v>#REF!</v>
      </c>
    </row>
    <row r="509" spans="1:18" x14ac:dyDescent="0.25">
      <c r="A509" s="8" t="s">
        <v>16</v>
      </c>
      <c r="B509" s="7" t="s">
        <v>905</v>
      </c>
      <c r="C509" s="4" t="s">
        <v>25</v>
      </c>
      <c r="D509" s="4" t="s">
        <v>906</v>
      </c>
      <c r="E509" s="4">
        <v>508</v>
      </c>
      <c r="F509" s="9">
        <v>46105</v>
      </c>
      <c r="G509" s="9" t="b">
        <v>0</v>
      </c>
      <c r="H509" s="4" t="b">
        <v>0</v>
      </c>
      <c r="I509" s="28" t="s">
        <v>20</v>
      </c>
      <c r="J509" s="4">
        <f t="shared" si="28"/>
        <v>15</v>
      </c>
      <c r="K509" s="4">
        <f ca="1">IF(AND(F509&lt;&gt;"", L509&lt;&gt;""), NETWORKDAYS(TODAY(), L509-1, FESTIVOS!A$1:A$55), "")</f>
        <v>-43</v>
      </c>
      <c r="L509" s="9">
        <f>IF(AND(F509&lt;&gt;"", J509&lt;&gt;""), WORKDAY(F509, J509, FESTIVOS!A$1:A$55), "")</f>
        <v>46128</v>
      </c>
      <c r="M509" s="4" t="s">
        <v>21</v>
      </c>
      <c r="N509" s="4">
        <f t="shared" ca="1" si="29"/>
        <v>0</v>
      </c>
      <c r="O509" s="4" t="str">
        <f t="shared" ca="1" si="30"/>
        <v>Vencido</v>
      </c>
      <c r="P509" s="4" t="s">
        <v>907</v>
      </c>
      <c r="Q509" s="9">
        <v>46111</v>
      </c>
      <c r="R509" s="12" t="e">
        <f>IF(OR(Q509="", L509=""), "", NETWORKDAYS(L509, Q509,#REF!))</f>
        <v>#REF!</v>
      </c>
    </row>
    <row r="510" spans="1:18" ht="34.15" customHeight="1" x14ac:dyDescent="0.25">
      <c r="A510" s="8" t="s">
        <v>16</v>
      </c>
      <c r="B510" s="7" t="s">
        <v>68</v>
      </c>
      <c r="C510" s="4" t="s">
        <v>186</v>
      </c>
      <c r="D510" s="4" t="s">
        <v>908</v>
      </c>
      <c r="E510" s="4">
        <v>509</v>
      </c>
      <c r="F510" s="9">
        <v>46108</v>
      </c>
      <c r="G510" s="9" t="b">
        <v>0</v>
      </c>
      <c r="H510" s="4" t="b">
        <v>0</v>
      </c>
      <c r="I510" s="28" t="s">
        <v>20</v>
      </c>
      <c r="J510" s="4">
        <f t="shared" si="28"/>
        <v>15</v>
      </c>
      <c r="K510" s="4">
        <f ca="1">IF(AND(F510&lt;&gt;"", L510&lt;&gt;""), NETWORKDAYS(TODAY(), L510-1, FESTIVOS!A$1:A$55), "")</f>
        <v>-40</v>
      </c>
      <c r="L510" s="9">
        <f>IF(AND(F510&lt;&gt;"", J510&lt;&gt;""), WORKDAY(F510, J510, FESTIVOS!A$1:A$55), "")</f>
        <v>46133</v>
      </c>
      <c r="M510" s="4" t="s">
        <v>21</v>
      </c>
      <c r="N510" s="4">
        <f t="shared" ca="1" si="29"/>
        <v>0</v>
      </c>
      <c r="O510" s="4" t="str">
        <f t="shared" ca="1" si="30"/>
        <v>Vencido</v>
      </c>
      <c r="P510" s="4" t="s">
        <v>37</v>
      </c>
      <c r="Q510" s="4" t="b">
        <v>0</v>
      </c>
      <c r="R510" s="12" t="e">
        <f>IF(OR(Q510="", L510=""), "", NETWORKDAYS(L510, Q510,#REF!))</f>
        <v>#VALUE!</v>
      </c>
    </row>
    <row r="511" spans="1:18" x14ac:dyDescent="0.25">
      <c r="A511" s="8" t="s">
        <v>16</v>
      </c>
      <c r="B511" s="7" t="s">
        <v>909</v>
      </c>
      <c r="C511" s="4" t="s">
        <v>25</v>
      </c>
      <c r="D511" s="4" t="s">
        <v>910</v>
      </c>
      <c r="E511" s="4">
        <v>510</v>
      </c>
      <c r="F511" s="9">
        <v>46108</v>
      </c>
      <c r="G511" s="9" t="b">
        <v>0</v>
      </c>
      <c r="H511" s="4" t="b">
        <v>0</v>
      </c>
      <c r="I511" s="28" t="s">
        <v>20</v>
      </c>
      <c r="J511" s="4">
        <f t="shared" si="28"/>
        <v>15</v>
      </c>
      <c r="K511" s="4">
        <f ca="1">IF(AND(F511&lt;&gt;"", L511&lt;&gt;""), NETWORKDAYS(TODAY(), L511-1, FESTIVOS!A$1:A$55), "")</f>
        <v>-40</v>
      </c>
      <c r="L511" s="9">
        <f>IF(AND(F511&lt;&gt;"", J511&lt;&gt;""), WORKDAY(F511, J511, FESTIVOS!A$1:A$55), "")</f>
        <v>46133</v>
      </c>
      <c r="M511" s="4" t="s">
        <v>21</v>
      </c>
      <c r="N511" s="4">
        <f t="shared" ca="1" si="29"/>
        <v>0</v>
      </c>
      <c r="O511" s="4" t="str">
        <f t="shared" ca="1" si="30"/>
        <v>Vencido</v>
      </c>
      <c r="P511" s="4" t="s">
        <v>911</v>
      </c>
      <c r="Q511" s="9">
        <v>46113</v>
      </c>
      <c r="R511" s="12" t="e">
        <f>IF(OR(Q511="", L511=""), "", NETWORKDAYS(L511, Q511,#REF!))</f>
        <v>#REF!</v>
      </c>
    </row>
    <row r="512" spans="1:18" x14ac:dyDescent="0.25">
      <c r="A512" s="8" t="s">
        <v>16</v>
      </c>
      <c r="B512" s="7" t="s">
        <v>912</v>
      </c>
      <c r="C512" s="4" t="s">
        <v>25</v>
      </c>
      <c r="D512" s="4" t="s">
        <v>913</v>
      </c>
      <c r="E512" s="4">
        <v>511</v>
      </c>
      <c r="F512" s="9">
        <v>46108</v>
      </c>
      <c r="G512" s="9" t="b">
        <v>0</v>
      </c>
      <c r="H512" s="4" t="b">
        <v>0</v>
      </c>
      <c r="I512" s="28" t="s">
        <v>20</v>
      </c>
      <c r="J512" s="4">
        <f t="shared" si="28"/>
        <v>15</v>
      </c>
      <c r="K512" s="4">
        <f ca="1">IF(AND(F512&lt;&gt;"", L512&lt;&gt;""), NETWORKDAYS(TODAY(), L512-1, FESTIVOS!A$1:A$55), "")</f>
        <v>-40</v>
      </c>
      <c r="L512" s="9">
        <f>IF(AND(F512&lt;&gt;"", J512&lt;&gt;""), WORKDAY(F512, J512, FESTIVOS!A$1:A$55), "")</f>
        <v>46133</v>
      </c>
      <c r="M512" s="4" t="s">
        <v>21</v>
      </c>
      <c r="N512" s="4">
        <f t="shared" ca="1" si="29"/>
        <v>0</v>
      </c>
      <c r="O512" s="4" t="str">
        <f t="shared" ca="1" si="30"/>
        <v>Vencido</v>
      </c>
      <c r="P512" s="4" t="s">
        <v>914</v>
      </c>
      <c r="Q512" s="9">
        <v>46125</v>
      </c>
      <c r="R512" s="12" t="e">
        <f>IF(OR(Q512="", L512=""), "", NETWORKDAYS(L512, Q512,#REF!))</f>
        <v>#REF!</v>
      </c>
    </row>
    <row r="513" spans="1:18" x14ac:dyDescent="0.25">
      <c r="A513" s="8" t="s">
        <v>16</v>
      </c>
      <c r="B513" s="7" t="s">
        <v>915</v>
      </c>
      <c r="C513" s="4" t="s">
        <v>25</v>
      </c>
      <c r="D513" s="4" t="s">
        <v>61</v>
      </c>
      <c r="E513" s="4">
        <v>512</v>
      </c>
      <c r="F513" s="9">
        <v>46108</v>
      </c>
      <c r="G513" s="9" t="b">
        <v>0</v>
      </c>
      <c r="H513" s="4" t="b">
        <v>0</v>
      </c>
      <c r="I513" s="28" t="s">
        <v>20</v>
      </c>
      <c r="J513" s="4">
        <f t="shared" si="28"/>
        <v>15</v>
      </c>
      <c r="K513" s="4">
        <f ca="1">IF(AND(F513&lt;&gt;"", L513&lt;&gt;""), NETWORKDAYS(TODAY(), L513-1, FESTIVOS!A$1:A$55), "")</f>
        <v>-40</v>
      </c>
      <c r="L513" s="9">
        <f>IF(AND(F513&lt;&gt;"", J513&lt;&gt;""), WORKDAY(F513, J513, FESTIVOS!A$1:A$55), "")</f>
        <v>46133</v>
      </c>
      <c r="M513" s="4" t="s">
        <v>21</v>
      </c>
      <c r="N513" s="4">
        <f t="shared" ca="1" si="29"/>
        <v>0</v>
      </c>
      <c r="O513" s="4" t="str">
        <f t="shared" ca="1" si="30"/>
        <v>Vencido</v>
      </c>
      <c r="P513" s="4" t="s">
        <v>916</v>
      </c>
      <c r="Q513" s="9">
        <v>46120</v>
      </c>
      <c r="R513" s="12" t="e">
        <f>IF(OR(Q513="", L513=""), "", NETWORKDAYS(L513, Q513,#REF!))</f>
        <v>#REF!</v>
      </c>
    </row>
    <row r="514" spans="1:18" x14ac:dyDescent="0.25">
      <c r="A514" s="8" t="s">
        <v>16</v>
      </c>
      <c r="B514" s="7" t="s">
        <v>917</v>
      </c>
      <c r="C514" s="4" t="s">
        <v>25</v>
      </c>
      <c r="D514" s="4" t="s">
        <v>239</v>
      </c>
      <c r="E514" s="4">
        <v>513</v>
      </c>
      <c r="F514" s="9">
        <v>46108</v>
      </c>
      <c r="G514" s="9" t="b">
        <v>0</v>
      </c>
      <c r="H514" s="4" t="b">
        <v>0</v>
      </c>
      <c r="I514" s="28" t="s">
        <v>20</v>
      </c>
      <c r="J514" s="4">
        <f>IF(A514="INFORMACIÓN O DOCUMENTOS", 10, IF(A514="CONSULTA", 30, IF(A514="FACTURACIÓN Y COBROS", 15, IF(A514="VINCULACIÓN Y DESVINCULACIÓN", 15, IF(A514="NO ES DE NUESTRA COMPETENCIA", 5, IF(A514="OTRO", 15, ""))))))</f>
        <v>15</v>
      </c>
      <c r="K514" s="4">
        <f ca="1">IF(AND(F514&lt;&gt;"", L514&lt;&gt;""), NETWORKDAYS(TODAY(), L514-1, FESTIVOS!A$1:A$55), "")</f>
        <v>-40</v>
      </c>
      <c r="L514" s="9">
        <f>IF(AND(F514&lt;&gt;"", J514&lt;&gt;""), WORKDAY(F514, J514, FESTIVOS!A$1:A$55), "")</f>
        <v>46133</v>
      </c>
      <c r="M514" s="4" t="s">
        <v>21</v>
      </c>
      <c r="N514" s="4">
        <f t="shared" ca="1" si="29"/>
        <v>0</v>
      </c>
      <c r="O514" s="4" t="str">
        <f ca="1">IF(OR(K514="", J514=""), "", IF(K514&lt;0, "Vencido", IF(K514&gt;(J514/2), "Supere la mitad", "Bajo la mitad")))</f>
        <v>Vencido</v>
      </c>
      <c r="P514" s="4" t="s">
        <v>735</v>
      </c>
      <c r="Q514" s="9">
        <v>46120</v>
      </c>
      <c r="R514" s="12" t="e">
        <f>IF(OR(Q514="", L514=""), "", NETWORKDAYS(L514, Q514,#REF!))</f>
        <v>#REF!</v>
      </c>
    </row>
    <row r="515" spans="1:18" x14ac:dyDescent="0.25">
      <c r="A515" s="8" t="s">
        <v>16</v>
      </c>
      <c r="B515" s="7" t="s">
        <v>918</v>
      </c>
      <c r="C515" s="4" t="s">
        <v>84</v>
      </c>
      <c r="D515" s="4" t="s">
        <v>919</v>
      </c>
      <c r="E515" s="4">
        <v>514</v>
      </c>
      <c r="F515" s="9">
        <v>46101</v>
      </c>
      <c r="G515" s="9" t="b">
        <v>0</v>
      </c>
      <c r="H515" s="4" t="b">
        <v>0</v>
      </c>
      <c r="I515" s="28" t="s">
        <v>20</v>
      </c>
      <c r="J515" s="4">
        <f t="shared" si="28"/>
        <v>15</v>
      </c>
      <c r="K515" s="4">
        <f ca="1">IF(AND(F515&lt;&gt;"", L515&lt;&gt;""), NETWORKDAYS(TODAY(), L515-1, FESTIVOS!A$1:A$55), "")</f>
        <v>-44</v>
      </c>
      <c r="L515" s="9">
        <f>IF(AND(F515&lt;&gt;"", J515&lt;&gt;""), WORKDAY(F515, J515, FESTIVOS!A$1:A$55), "")</f>
        <v>46127</v>
      </c>
      <c r="M515" s="4" t="s">
        <v>21</v>
      </c>
      <c r="N515" s="4">
        <f t="shared" ca="1" si="29"/>
        <v>0</v>
      </c>
      <c r="O515" s="4" t="str">
        <f t="shared" ca="1" si="30"/>
        <v>Vencido</v>
      </c>
      <c r="P515" s="4" t="s">
        <v>37</v>
      </c>
      <c r="Q515" s="4" t="b">
        <v>0</v>
      </c>
      <c r="R515" s="12" t="e">
        <f>IF(OR(Q515="", L515=""), "", NETWORKDAYS(L515, Q515,#REF!))</f>
        <v>#VALUE!</v>
      </c>
    </row>
    <row r="516" spans="1:18" x14ac:dyDescent="0.25">
      <c r="A516" s="8" t="s">
        <v>16</v>
      </c>
      <c r="B516" s="7" t="s">
        <v>920</v>
      </c>
      <c r="C516" s="4" t="s">
        <v>25</v>
      </c>
      <c r="D516" s="4" t="s">
        <v>135</v>
      </c>
      <c r="E516" s="4">
        <v>515</v>
      </c>
      <c r="F516" s="9">
        <v>46111</v>
      </c>
      <c r="G516" s="9" t="b">
        <v>0</v>
      </c>
      <c r="H516" s="4" t="b">
        <v>0</v>
      </c>
      <c r="I516" s="28" t="s">
        <v>66</v>
      </c>
      <c r="J516" s="4">
        <f t="shared" si="28"/>
        <v>15</v>
      </c>
      <c r="K516" s="4">
        <f ca="1">IF(AND(F516&lt;&gt;"", L516&lt;&gt;""), NETWORKDAYS(TODAY(), L516-1, FESTIVOS!A$1:A$55), "")</f>
        <v>-39</v>
      </c>
      <c r="L516" s="9">
        <f>IF(AND(F516&lt;&gt;"", J516&lt;&gt;""), WORKDAY(F516, J516, FESTIVOS!A$1:A$55), "")</f>
        <v>46134</v>
      </c>
      <c r="M516" s="4" t="s">
        <v>21</v>
      </c>
      <c r="N516" s="4">
        <f t="shared" ca="1" si="29"/>
        <v>0</v>
      </c>
      <c r="O516" s="4" t="str">
        <f t="shared" ca="1" si="30"/>
        <v>Vencido</v>
      </c>
      <c r="P516" s="4" t="s">
        <v>921</v>
      </c>
      <c r="Q516" s="9">
        <v>46113</v>
      </c>
      <c r="R516" s="12" t="e">
        <f>IF(OR(Q516="", L516=""), "", NETWORKDAYS(L516, Q516,#REF!))</f>
        <v>#REF!</v>
      </c>
    </row>
    <row r="517" spans="1:18" x14ac:dyDescent="0.25">
      <c r="A517" s="8" t="s">
        <v>16</v>
      </c>
      <c r="B517" s="7" t="s">
        <v>922</v>
      </c>
      <c r="C517" s="4" t="s">
        <v>25</v>
      </c>
      <c r="D517" s="4" t="s">
        <v>923</v>
      </c>
      <c r="E517" s="4">
        <v>516</v>
      </c>
      <c r="F517" s="9">
        <v>46111</v>
      </c>
      <c r="G517" s="9" t="b">
        <v>0</v>
      </c>
      <c r="H517" s="4" t="b">
        <v>0</v>
      </c>
      <c r="I517" s="28" t="s">
        <v>20</v>
      </c>
      <c r="J517" s="4">
        <f t="shared" si="28"/>
        <v>15</v>
      </c>
      <c r="K517" s="4">
        <f ca="1">IF(AND(F517&lt;&gt;"", L517&lt;&gt;""), NETWORKDAYS(TODAY(), L517-1, FESTIVOS!A$1:A$55), "")</f>
        <v>-39</v>
      </c>
      <c r="L517" s="9">
        <f>IF(AND(F517&lt;&gt;"", J517&lt;&gt;""), WORKDAY(F517, J517, FESTIVOS!A$1:A$55), "")</f>
        <v>46134</v>
      </c>
      <c r="M517" s="4" t="s">
        <v>21</v>
      </c>
      <c r="N517" s="4">
        <f t="shared" ca="1" si="29"/>
        <v>0</v>
      </c>
      <c r="O517" s="4" t="str">
        <f t="shared" ca="1" si="30"/>
        <v>Vencido</v>
      </c>
      <c r="P517" s="4" t="s">
        <v>924</v>
      </c>
      <c r="Q517" s="9">
        <v>46119</v>
      </c>
      <c r="R517" s="12" t="e">
        <f>IF(OR(Q517="", L517=""), "", NETWORKDAYS(L517, Q517,#REF!))</f>
        <v>#REF!</v>
      </c>
    </row>
    <row r="518" spans="1:18" x14ac:dyDescent="0.25">
      <c r="A518" s="8" t="s">
        <v>16</v>
      </c>
      <c r="B518" s="7" t="s">
        <v>925</v>
      </c>
      <c r="C518" s="4" t="s">
        <v>25</v>
      </c>
      <c r="D518" s="4" t="s">
        <v>792</v>
      </c>
      <c r="E518" s="4">
        <v>517</v>
      </c>
      <c r="F518" s="9">
        <v>46111</v>
      </c>
      <c r="G518" s="9" t="b">
        <v>0</v>
      </c>
      <c r="H518" s="4" t="b">
        <v>0</v>
      </c>
      <c r="I518" s="28" t="s">
        <v>66</v>
      </c>
      <c r="J518" s="4">
        <f t="shared" si="28"/>
        <v>15</v>
      </c>
      <c r="K518" s="4">
        <f ca="1">IF(AND(F518&lt;&gt;"", L518&lt;&gt;""), NETWORKDAYS(TODAY(), L518-1, FESTIVOS!A$1:A$55), "")</f>
        <v>-39</v>
      </c>
      <c r="L518" s="9">
        <f>IF(AND(F518&lt;&gt;"", J518&lt;&gt;""), WORKDAY(F518, J518, FESTIVOS!A$1:A$55), "")</f>
        <v>46134</v>
      </c>
      <c r="M518" s="4" t="s">
        <v>21</v>
      </c>
      <c r="N518" s="4">
        <f t="shared" ca="1" si="29"/>
        <v>0</v>
      </c>
      <c r="O518" s="4" t="str">
        <f t="shared" ca="1" si="30"/>
        <v>Vencido</v>
      </c>
      <c r="P518" s="4" t="s">
        <v>926</v>
      </c>
      <c r="Q518" s="9">
        <v>46113</v>
      </c>
      <c r="R518" s="12" t="e">
        <f>IF(OR(Q518="", L518=""), "", NETWORKDAYS(L518, Q518,#REF!))</f>
        <v>#REF!</v>
      </c>
    </row>
    <row r="519" spans="1:18" x14ac:dyDescent="0.25">
      <c r="A519" s="8" t="s">
        <v>16</v>
      </c>
      <c r="B519" s="7" t="s">
        <v>927</v>
      </c>
      <c r="C519" s="4" t="s">
        <v>25</v>
      </c>
      <c r="D519" s="4" t="s">
        <v>61</v>
      </c>
      <c r="E519" s="4">
        <v>518</v>
      </c>
      <c r="F519" s="9">
        <v>46111</v>
      </c>
      <c r="G519" s="9" t="b">
        <v>0</v>
      </c>
      <c r="H519" s="4" t="b">
        <v>0</v>
      </c>
      <c r="I519" s="28" t="s">
        <v>20</v>
      </c>
      <c r="J519" s="4">
        <f t="shared" si="28"/>
        <v>15</v>
      </c>
      <c r="K519" s="4">
        <f ca="1">IF(AND(F519&lt;&gt;"", L519&lt;&gt;""), NETWORKDAYS(TODAY(), L519-1, FESTIVOS!A$1:A$55), "")</f>
        <v>-39</v>
      </c>
      <c r="L519" s="9">
        <f>IF(AND(F519&lt;&gt;"", J519&lt;&gt;""), WORKDAY(F519, J519, FESTIVOS!A$1:A$55), "")</f>
        <v>46134</v>
      </c>
      <c r="M519" s="4" t="s">
        <v>21</v>
      </c>
      <c r="N519" s="4">
        <f t="shared" ca="1" si="29"/>
        <v>0</v>
      </c>
      <c r="O519" s="4" t="str">
        <f t="shared" ca="1" si="30"/>
        <v>Vencido</v>
      </c>
      <c r="P519" s="4" t="s">
        <v>928</v>
      </c>
      <c r="Q519" s="9">
        <v>46120</v>
      </c>
      <c r="R519" s="12" t="e">
        <f>IF(OR(Q519="", L519=""), "", NETWORKDAYS(L519, Q519,#REF!))</f>
        <v>#REF!</v>
      </c>
    </row>
    <row r="520" spans="1:18" x14ac:dyDescent="0.25">
      <c r="A520" s="8" t="s">
        <v>16</v>
      </c>
      <c r="B520" s="7" t="s">
        <v>929</v>
      </c>
      <c r="C520" s="4" t="s">
        <v>25</v>
      </c>
      <c r="D520" s="4" t="s">
        <v>930</v>
      </c>
      <c r="E520" s="4">
        <v>519</v>
      </c>
      <c r="F520" s="9">
        <v>46111</v>
      </c>
      <c r="G520" s="9" t="b">
        <v>0</v>
      </c>
      <c r="H520" s="4" t="b">
        <v>0</v>
      </c>
      <c r="I520" s="28" t="s">
        <v>20</v>
      </c>
      <c r="J520" s="4">
        <f t="shared" si="28"/>
        <v>15</v>
      </c>
      <c r="K520" s="4">
        <f ca="1">IF(AND(F520&lt;&gt;"", L520&lt;&gt;""), NETWORKDAYS(TODAY(), L520-1, FESTIVOS!A$1:A$55), "")</f>
        <v>-39</v>
      </c>
      <c r="L520" s="9">
        <f>IF(AND(F520&lt;&gt;"", J520&lt;&gt;""), WORKDAY(F520, J520, FESTIVOS!A$1:A$55), "")</f>
        <v>46134</v>
      </c>
      <c r="M520" s="4" t="s">
        <v>21</v>
      </c>
      <c r="N520" s="4">
        <f t="shared" ca="1" si="29"/>
        <v>0</v>
      </c>
      <c r="O520" s="4" t="str">
        <f t="shared" ca="1" si="30"/>
        <v>Vencido</v>
      </c>
      <c r="P520" s="4" t="s">
        <v>931</v>
      </c>
      <c r="Q520" s="9">
        <v>46126</v>
      </c>
      <c r="R520" s="12" t="e">
        <f>IF(OR(Q520="", L520=""), "", NETWORKDAYS(L520, Q520,#REF!))</f>
        <v>#REF!</v>
      </c>
    </row>
    <row r="521" spans="1:18" x14ac:dyDescent="0.25">
      <c r="A521" s="8" t="s">
        <v>16</v>
      </c>
      <c r="B521" s="7" t="s">
        <v>932</v>
      </c>
      <c r="C521" s="4" t="s">
        <v>25</v>
      </c>
      <c r="D521" s="4" t="s">
        <v>933</v>
      </c>
      <c r="E521" s="4">
        <v>520</v>
      </c>
      <c r="F521" s="9">
        <v>46111</v>
      </c>
      <c r="G521" s="9" t="b">
        <v>0</v>
      </c>
      <c r="H521" s="4" t="b">
        <v>0</v>
      </c>
      <c r="I521" s="28" t="s">
        <v>20</v>
      </c>
      <c r="J521" s="4">
        <f t="shared" si="28"/>
        <v>15</v>
      </c>
      <c r="K521" s="4">
        <f ca="1">IF(AND(F521&lt;&gt;"", L521&lt;&gt;""), NETWORKDAYS(TODAY(), L521-1, FESTIVOS!A$1:A$55), "")</f>
        <v>-39</v>
      </c>
      <c r="L521" s="9">
        <f>IF(AND(F521&lt;&gt;"", J521&lt;&gt;""), WORKDAY(F521, J521, FESTIVOS!A$1:A$55), "")</f>
        <v>46134</v>
      </c>
      <c r="M521" s="4" t="s">
        <v>21</v>
      </c>
      <c r="N521" s="4">
        <f t="shared" ca="1" si="29"/>
        <v>0</v>
      </c>
      <c r="O521" s="4" t="str">
        <f t="shared" ca="1" si="30"/>
        <v>Vencido</v>
      </c>
      <c r="P521" s="4" t="s">
        <v>934</v>
      </c>
      <c r="Q521" s="9">
        <v>46120</v>
      </c>
      <c r="R521" s="12" t="e">
        <f>IF(OR(Q521="", L521=""), "", NETWORKDAYS(L521, Q521,#REF!))</f>
        <v>#REF!</v>
      </c>
    </row>
    <row r="522" spans="1:18" x14ac:dyDescent="0.25">
      <c r="A522" s="8" t="s">
        <v>16</v>
      </c>
      <c r="B522" s="7" t="s">
        <v>935</v>
      </c>
      <c r="C522" s="4" t="s">
        <v>25</v>
      </c>
      <c r="D522" s="4" t="s">
        <v>913</v>
      </c>
      <c r="E522" s="4">
        <v>521</v>
      </c>
      <c r="F522" s="9">
        <v>46111</v>
      </c>
      <c r="G522" s="9" t="b">
        <v>0</v>
      </c>
      <c r="H522" s="4" t="b">
        <v>0</v>
      </c>
      <c r="I522" s="28" t="s">
        <v>20</v>
      </c>
      <c r="J522" s="4">
        <f t="shared" si="28"/>
        <v>15</v>
      </c>
      <c r="K522" s="4">
        <f ca="1">IF(AND(F522&lt;&gt;"", L522&lt;&gt;""), NETWORKDAYS(TODAY(), L522-1, FESTIVOS!A$1:A$55), "")</f>
        <v>-39</v>
      </c>
      <c r="L522" s="9">
        <f>IF(AND(F522&lt;&gt;"", J522&lt;&gt;""), WORKDAY(F522, J522, FESTIVOS!A$1:A$55), "")</f>
        <v>46134</v>
      </c>
      <c r="M522" s="4" t="s">
        <v>21</v>
      </c>
      <c r="N522" s="4">
        <f t="shared" ca="1" si="29"/>
        <v>0</v>
      </c>
      <c r="O522" s="4" t="str">
        <f t="shared" ca="1" si="30"/>
        <v>Vencido</v>
      </c>
      <c r="P522" s="4" t="s">
        <v>936</v>
      </c>
      <c r="Q522" s="9">
        <v>46122</v>
      </c>
      <c r="R522" s="12" t="e">
        <f>IF(OR(Q522="", L522=""), "", NETWORKDAYS(L522, Q522,#REF!))</f>
        <v>#REF!</v>
      </c>
    </row>
    <row r="523" spans="1:18" x14ac:dyDescent="0.25">
      <c r="A523" s="8" t="s">
        <v>16</v>
      </c>
      <c r="B523" s="7" t="s">
        <v>937</v>
      </c>
      <c r="C523" s="4" t="s">
        <v>25</v>
      </c>
      <c r="D523" s="4" t="s">
        <v>938</v>
      </c>
      <c r="E523" s="4">
        <v>522</v>
      </c>
      <c r="F523" s="9">
        <v>46111</v>
      </c>
      <c r="G523" s="9" t="b">
        <v>0</v>
      </c>
      <c r="H523" s="4" t="b">
        <v>0</v>
      </c>
      <c r="I523" s="28" t="s">
        <v>20</v>
      </c>
      <c r="J523" s="4">
        <f t="shared" si="28"/>
        <v>15</v>
      </c>
      <c r="K523" s="4">
        <f ca="1">IF(AND(F523&lt;&gt;"", L523&lt;&gt;""), NETWORKDAYS(TODAY(), L523-1, FESTIVOS!A$1:A$55), "")</f>
        <v>-39</v>
      </c>
      <c r="L523" s="9">
        <f>IF(AND(F523&lt;&gt;"", J523&lt;&gt;""), WORKDAY(F523, J523, FESTIVOS!A$1:A$55), "")</f>
        <v>46134</v>
      </c>
      <c r="M523" s="4" t="s">
        <v>21</v>
      </c>
      <c r="N523" s="4">
        <f t="shared" ca="1" si="29"/>
        <v>0</v>
      </c>
      <c r="O523" s="4" t="str">
        <f t="shared" ca="1" si="30"/>
        <v>Vencido</v>
      </c>
      <c r="P523" s="4" t="s">
        <v>939</v>
      </c>
      <c r="Q523" s="9">
        <v>46132</v>
      </c>
      <c r="R523" s="12" t="e">
        <f>IF(OR(Q523="", L523=""), "", NETWORKDAYS(L523, Q523,#REF!))</f>
        <v>#REF!</v>
      </c>
    </row>
    <row r="524" spans="1:18" x14ac:dyDescent="0.25">
      <c r="A524" s="8" t="s">
        <v>16</v>
      </c>
      <c r="B524" s="7" t="s">
        <v>918</v>
      </c>
      <c r="C524" s="4" t="s">
        <v>84</v>
      </c>
      <c r="D524" s="4" t="s">
        <v>85</v>
      </c>
      <c r="E524" s="4">
        <v>523</v>
      </c>
      <c r="F524" s="9">
        <v>46111</v>
      </c>
      <c r="G524" s="9" t="b">
        <v>0</v>
      </c>
      <c r="H524" s="4" t="b">
        <v>0</v>
      </c>
      <c r="I524" s="28" t="s">
        <v>20</v>
      </c>
      <c r="J524" s="4">
        <f t="shared" si="28"/>
        <v>15</v>
      </c>
      <c r="K524" s="4">
        <f ca="1">IF(AND(F524&lt;&gt;"", L524&lt;&gt;""), NETWORKDAYS(TODAY(), L524-1, FESTIVOS!A$1:A$55), "")</f>
        <v>-39</v>
      </c>
      <c r="L524" s="9">
        <f>IF(AND(F524&lt;&gt;"", J524&lt;&gt;""), WORKDAY(F524, J524, FESTIVOS!A$1:A$55), "")</f>
        <v>46134</v>
      </c>
      <c r="M524" s="4" t="s">
        <v>21</v>
      </c>
      <c r="N524" s="4">
        <f t="shared" ca="1" si="29"/>
        <v>0</v>
      </c>
      <c r="O524" s="4" t="str">
        <f t="shared" ca="1" si="30"/>
        <v>Vencido</v>
      </c>
      <c r="P524" s="4" t="s">
        <v>37</v>
      </c>
      <c r="Q524" s="4" t="b">
        <v>0</v>
      </c>
      <c r="R524" s="12" t="e">
        <f>IF(OR(Q524="", L524=""), "", NETWORKDAYS(L524, Q524,#REF!))</f>
        <v>#VALUE!</v>
      </c>
    </row>
    <row r="525" spans="1:18" x14ac:dyDescent="0.25">
      <c r="A525" s="8" t="s">
        <v>16</v>
      </c>
      <c r="B525" s="7" t="s">
        <v>918</v>
      </c>
      <c r="C525" s="4" t="s">
        <v>84</v>
      </c>
      <c r="D525" s="4" t="s">
        <v>85</v>
      </c>
      <c r="E525" s="4">
        <v>524</v>
      </c>
      <c r="F525" s="9">
        <v>46111</v>
      </c>
      <c r="G525" s="9" t="b">
        <v>0</v>
      </c>
      <c r="H525" s="4" t="b">
        <v>0</v>
      </c>
      <c r="I525" s="28" t="s">
        <v>20</v>
      </c>
      <c r="J525" s="4">
        <f t="shared" si="28"/>
        <v>15</v>
      </c>
      <c r="K525" s="4">
        <f ca="1">IF(AND(F525&lt;&gt;"", L525&lt;&gt;""), NETWORKDAYS(TODAY(), L525-1, FESTIVOS!A$1:A$55), "")</f>
        <v>-39</v>
      </c>
      <c r="L525" s="9">
        <f>IF(AND(F525&lt;&gt;"", J525&lt;&gt;""), WORKDAY(F525, J525, FESTIVOS!A$1:A$55), "")</f>
        <v>46134</v>
      </c>
      <c r="M525" s="4" t="s">
        <v>21</v>
      </c>
      <c r="N525" s="4">
        <f t="shared" ca="1" si="29"/>
        <v>0</v>
      </c>
      <c r="O525" s="4" t="str">
        <f t="shared" ca="1" si="30"/>
        <v>Vencido</v>
      </c>
      <c r="P525" s="4" t="s">
        <v>37</v>
      </c>
      <c r="Q525" s="4" t="b">
        <v>0</v>
      </c>
      <c r="R525" s="12" t="e">
        <f>IF(OR(Q525="", L525=""), "", NETWORKDAYS(L525, Q525,#REF!))</f>
        <v>#VALUE!</v>
      </c>
    </row>
    <row r="526" spans="1:18" x14ac:dyDescent="0.25">
      <c r="A526" s="8" t="s">
        <v>16</v>
      </c>
      <c r="B526" s="7" t="s">
        <v>918</v>
      </c>
      <c r="C526" s="4" t="s">
        <v>84</v>
      </c>
      <c r="D526" s="4" t="s">
        <v>85</v>
      </c>
      <c r="E526" s="4">
        <v>525</v>
      </c>
      <c r="F526" s="9">
        <v>46111</v>
      </c>
      <c r="G526" s="9" t="b">
        <v>0</v>
      </c>
      <c r="H526" s="4" t="b">
        <v>0</v>
      </c>
      <c r="I526" s="28" t="s">
        <v>20</v>
      </c>
      <c r="J526" s="4">
        <f t="shared" si="28"/>
        <v>15</v>
      </c>
      <c r="K526" s="4">
        <f ca="1">IF(AND(F526&lt;&gt;"", L526&lt;&gt;""), NETWORKDAYS(TODAY(), L526-1, FESTIVOS!A$1:A$55), "")</f>
        <v>-39</v>
      </c>
      <c r="L526" s="9">
        <f>IF(AND(F526&lt;&gt;"", J526&lt;&gt;""), WORKDAY(F526, J526, FESTIVOS!A$1:A$55), "")</f>
        <v>46134</v>
      </c>
      <c r="M526" s="4" t="s">
        <v>21</v>
      </c>
      <c r="N526" s="4">
        <f t="shared" ca="1" si="29"/>
        <v>0</v>
      </c>
      <c r="O526" s="4" t="str">
        <f t="shared" ca="1" si="30"/>
        <v>Vencido</v>
      </c>
      <c r="P526" s="4" t="s">
        <v>37</v>
      </c>
      <c r="Q526" s="4" t="b">
        <v>0</v>
      </c>
      <c r="R526" s="12" t="e">
        <f>IF(OR(Q526="", L526=""), "", NETWORKDAYS(L526, Q526,#REF!))</f>
        <v>#VALUE!</v>
      </c>
    </row>
    <row r="527" spans="1:18" x14ac:dyDescent="0.25">
      <c r="A527" s="8" t="s">
        <v>16</v>
      </c>
      <c r="B527" s="7" t="s">
        <v>940</v>
      </c>
      <c r="C527" s="4" t="s">
        <v>25</v>
      </c>
      <c r="D527" s="4" t="s">
        <v>941</v>
      </c>
      <c r="E527" s="4">
        <v>526</v>
      </c>
      <c r="F527" s="9">
        <v>46111</v>
      </c>
      <c r="G527" s="9" t="b">
        <v>0</v>
      </c>
      <c r="H527" s="4" t="b">
        <v>0</v>
      </c>
      <c r="I527" s="28" t="s">
        <v>80</v>
      </c>
      <c r="J527" s="4">
        <f t="shared" si="28"/>
        <v>15</v>
      </c>
      <c r="K527" s="4">
        <f ca="1">IF(AND(F527&lt;&gt;"", L527&lt;&gt;""), NETWORKDAYS(TODAY(), L527-1, FESTIVOS!A$1:A$55), "")</f>
        <v>-39</v>
      </c>
      <c r="L527" s="9">
        <f>IF(AND(F527&lt;&gt;"", J527&lt;&gt;""), WORKDAY(F527, J527, FESTIVOS!A$1:A$55), "")</f>
        <v>46134</v>
      </c>
      <c r="M527" s="4" t="s">
        <v>21</v>
      </c>
      <c r="N527" s="4">
        <f t="shared" ca="1" si="29"/>
        <v>0</v>
      </c>
      <c r="O527" s="4" t="str">
        <f t="shared" ca="1" si="30"/>
        <v>Vencido</v>
      </c>
      <c r="P527" s="4" t="b">
        <v>0</v>
      </c>
      <c r="Q527" s="4" t="b">
        <v>0</v>
      </c>
      <c r="R527" s="12" t="e">
        <f>IF(OR(Q527="", L527=""), "", NETWORKDAYS(L527, Q527,#REF!))</f>
        <v>#VALUE!</v>
      </c>
    </row>
    <row r="528" spans="1:18" x14ac:dyDescent="0.25">
      <c r="A528" s="8" t="s">
        <v>16</v>
      </c>
      <c r="B528" s="7" t="s">
        <v>942</v>
      </c>
      <c r="C528" s="4" t="s">
        <v>25</v>
      </c>
      <c r="D528" s="4" t="s">
        <v>943</v>
      </c>
      <c r="E528" s="4">
        <v>527</v>
      </c>
      <c r="F528" s="9">
        <v>46111</v>
      </c>
      <c r="G528" s="9" t="b">
        <v>0</v>
      </c>
      <c r="H528" s="4" t="b">
        <v>0</v>
      </c>
      <c r="I528" s="28" t="s">
        <v>44</v>
      </c>
      <c r="J528" s="4">
        <f t="shared" si="28"/>
        <v>15</v>
      </c>
      <c r="K528" s="4">
        <f ca="1">IF(AND(F528&lt;&gt;"", L528&lt;&gt;""), NETWORKDAYS(TODAY(), L528-1, FESTIVOS!A$1:A$55), "")</f>
        <v>-39</v>
      </c>
      <c r="L528" s="9">
        <f>IF(AND(F528&lt;&gt;"", J528&lt;&gt;""), WORKDAY(F528, J528, FESTIVOS!A$1:A$55), "")</f>
        <v>46134</v>
      </c>
      <c r="M528" s="4" t="s">
        <v>21</v>
      </c>
      <c r="N528" s="4">
        <f t="shared" ca="1" si="29"/>
        <v>0</v>
      </c>
      <c r="O528" s="4" t="str">
        <f t="shared" ca="1" si="30"/>
        <v>Vencido</v>
      </c>
      <c r="P528" s="4" t="s">
        <v>944</v>
      </c>
      <c r="Q528" s="9">
        <v>46113</v>
      </c>
      <c r="R528" s="12" t="e">
        <f>IF(OR(Q528="", L528=""), "", NETWORKDAYS(L528, Q528,#REF!))</f>
        <v>#REF!</v>
      </c>
    </row>
    <row r="529" spans="1:18" x14ac:dyDescent="0.25">
      <c r="A529" s="8" t="s">
        <v>16</v>
      </c>
      <c r="B529" s="7" t="s">
        <v>945</v>
      </c>
      <c r="C529" s="4" t="s">
        <v>25</v>
      </c>
      <c r="D529" s="4" t="s">
        <v>946</v>
      </c>
      <c r="E529" s="4">
        <v>528</v>
      </c>
      <c r="F529" s="9">
        <v>46112</v>
      </c>
      <c r="G529" s="9" t="b">
        <v>0</v>
      </c>
      <c r="H529" s="4" t="b">
        <v>0</v>
      </c>
      <c r="I529" s="28" t="s">
        <v>66</v>
      </c>
      <c r="J529" s="4">
        <f t="shared" si="28"/>
        <v>15</v>
      </c>
      <c r="K529" s="4">
        <f ca="1">IF(AND(F529&lt;&gt;"", L529&lt;&gt;""), NETWORKDAYS(TODAY(), L529-1, FESTIVOS!A$1:A$55), "")</f>
        <v>-38</v>
      </c>
      <c r="L529" s="9">
        <f>IF(AND(F529&lt;&gt;"", J529&lt;&gt;""), WORKDAY(F529, J529, FESTIVOS!A$1:A$55), "")</f>
        <v>46135</v>
      </c>
      <c r="M529" s="4" t="s">
        <v>21</v>
      </c>
      <c r="N529" s="4">
        <f t="shared" ca="1" si="29"/>
        <v>0</v>
      </c>
      <c r="O529" s="4" t="str">
        <f t="shared" ca="1" si="30"/>
        <v>Vencido</v>
      </c>
      <c r="P529" s="4" t="s">
        <v>947</v>
      </c>
      <c r="Q529" s="9">
        <v>46113</v>
      </c>
      <c r="R529" s="12" t="e">
        <f>IF(OR(Q529="", L529=""), "", NETWORKDAYS(L529, Q529,#REF!))</f>
        <v>#REF!</v>
      </c>
    </row>
    <row r="530" spans="1:18" x14ac:dyDescent="0.25">
      <c r="A530" s="8" t="s">
        <v>16</v>
      </c>
      <c r="B530" s="7" t="s">
        <v>948</v>
      </c>
      <c r="C530" s="4" t="s">
        <v>25</v>
      </c>
      <c r="D530" s="4" t="s">
        <v>949</v>
      </c>
      <c r="E530" s="4">
        <v>529</v>
      </c>
      <c r="F530" s="9">
        <v>46112</v>
      </c>
      <c r="G530" s="9" t="b">
        <v>0</v>
      </c>
      <c r="H530" s="4" t="b">
        <v>0</v>
      </c>
      <c r="I530" s="28" t="s">
        <v>20</v>
      </c>
      <c r="J530" s="4">
        <f t="shared" si="28"/>
        <v>15</v>
      </c>
      <c r="K530" s="4">
        <f ca="1">IF(AND(F530&lt;&gt;"", L530&lt;&gt;""), NETWORKDAYS(TODAY(), L530-1, FESTIVOS!A$1:A$55), "")</f>
        <v>-38</v>
      </c>
      <c r="L530" s="9">
        <f>IF(AND(F530&lt;&gt;"", J530&lt;&gt;""), WORKDAY(F530, J530, FESTIVOS!A$1:A$55), "")</f>
        <v>46135</v>
      </c>
      <c r="M530" s="4" t="s">
        <v>21</v>
      </c>
      <c r="N530" s="4">
        <f t="shared" ca="1" si="29"/>
        <v>0</v>
      </c>
      <c r="O530" s="4" t="str">
        <f t="shared" ca="1" si="30"/>
        <v>Vencido</v>
      </c>
      <c r="P530" s="4" t="s">
        <v>950</v>
      </c>
      <c r="Q530" s="9">
        <v>46119</v>
      </c>
      <c r="R530" s="12" t="e">
        <f>IF(OR(Q530="", L530=""), "", NETWORKDAYS(L530, Q530,#REF!))</f>
        <v>#REF!</v>
      </c>
    </row>
    <row r="531" spans="1:18" x14ac:dyDescent="0.25">
      <c r="A531" s="8" t="s">
        <v>16</v>
      </c>
      <c r="B531" s="7" t="s">
        <v>951</v>
      </c>
      <c r="C531" s="4" t="s">
        <v>25</v>
      </c>
      <c r="D531" s="4" t="s">
        <v>120</v>
      </c>
      <c r="E531" s="4">
        <v>530</v>
      </c>
      <c r="F531" s="9">
        <v>46112</v>
      </c>
      <c r="G531" s="9" t="b">
        <v>0</v>
      </c>
      <c r="H531" s="4" t="b">
        <v>0</v>
      </c>
      <c r="I531" s="28" t="s">
        <v>20</v>
      </c>
      <c r="J531" s="4">
        <f t="shared" si="28"/>
        <v>15</v>
      </c>
      <c r="K531" s="4">
        <f ca="1">IF(AND(F531&lt;&gt;"", L531&lt;&gt;""), NETWORKDAYS(TODAY(), L531-1, FESTIVOS!A$1:A$55), "")</f>
        <v>-38</v>
      </c>
      <c r="L531" s="9">
        <f>IF(AND(F531&lt;&gt;"", J531&lt;&gt;""), WORKDAY(F531, J531, FESTIVOS!A$1:A$55), "")</f>
        <v>46135</v>
      </c>
      <c r="M531" s="4" t="s">
        <v>21</v>
      </c>
      <c r="N531" s="4">
        <f t="shared" ca="1" si="29"/>
        <v>0</v>
      </c>
      <c r="O531" s="4" t="str">
        <f t="shared" ca="1" si="30"/>
        <v>Vencido</v>
      </c>
      <c r="P531" s="4" t="s">
        <v>952</v>
      </c>
      <c r="Q531" s="9">
        <v>46120</v>
      </c>
      <c r="R531" s="12" t="e">
        <f>IF(OR(Q531="", L531=""), "", NETWORKDAYS(L531, Q531,#REF!))</f>
        <v>#REF!</v>
      </c>
    </row>
    <row r="532" spans="1:18" x14ac:dyDescent="0.25">
      <c r="A532" s="8" t="s">
        <v>16</v>
      </c>
      <c r="B532" s="7" t="s">
        <v>953</v>
      </c>
      <c r="C532" s="4" t="s">
        <v>25</v>
      </c>
      <c r="D532" s="4" t="s">
        <v>135</v>
      </c>
      <c r="E532" s="4">
        <v>531</v>
      </c>
      <c r="F532" s="9">
        <v>46112</v>
      </c>
      <c r="G532" s="9" t="b">
        <v>0</v>
      </c>
      <c r="H532" s="4" t="b">
        <v>0</v>
      </c>
      <c r="I532" s="28" t="s">
        <v>66</v>
      </c>
      <c r="J532" s="4">
        <f t="shared" si="28"/>
        <v>15</v>
      </c>
      <c r="K532" s="4">
        <f ca="1">IF(AND(F532&lt;&gt;"", L532&lt;&gt;""), NETWORKDAYS(TODAY(), L532-1, FESTIVOS!A$1:A$55), "")</f>
        <v>-38</v>
      </c>
      <c r="L532" s="9">
        <f>IF(AND(F532&lt;&gt;"", J532&lt;&gt;""), WORKDAY(F532, J532, FESTIVOS!A$1:A$55), "")</f>
        <v>46135</v>
      </c>
      <c r="M532" s="4" t="s">
        <v>21</v>
      </c>
      <c r="N532" s="4">
        <f t="shared" ca="1" si="29"/>
        <v>0</v>
      </c>
      <c r="O532" s="4" t="str">
        <f t="shared" ca="1" si="30"/>
        <v>Vencido</v>
      </c>
      <c r="P532" s="4" t="s">
        <v>954</v>
      </c>
      <c r="Q532" s="9">
        <v>46121</v>
      </c>
      <c r="R532" s="12" t="e">
        <f>IF(OR(Q532="", L532=""), "", NETWORKDAYS(L532, Q532,#REF!))</f>
        <v>#REF!</v>
      </c>
    </row>
    <row r="533" spans="1:18" x14ac:dyDescent="0.25">
      <c r="A533" s="8" t="s">
        <v>16</v>
      </c>
      <c r="B533" s="7" t="s">
        <v>376</v>
      </c>
      <c r="C533" s="4" t="s">
        <v>25</v>
      </c>
      <c r="D533" s="4" t="s">
        <v>955</v>
      </c>
      <c r="E533" s="4">
        <v>532</v>
      </c>
      <c r="F533" s="9">
        <v>46112</v>
      </c>
      <c r="G533" s="9" t="b">
        <v>0</v>
      </c>
      <c r="H533" s="4" t="b">
        <v>0</v>
      </c>
      <c r="I533" s="28" t="s">
        <v>20</v>
      </c>
      <c r="J533" s="4">
        <f t="shared" si="28"/>
        <v>15</v>
      </c>
      <c r="K533" s="4">
        <f ca="1">IF(AND(F533&lt;&gt;"", L533&lt;&gt;""), NETWORKDAYS(TODAY(), L533-1, FESTIVOS!A$1:A$55), "")</f>
        <v>-38</v>
      </c>
      <c r="L533" s="9">
        <f>IF(AND(F533&lt;&gt;"", J533&lt;&gt;""), WORKDAY(F533, J533, FESTIVOS!A$1:A$55), "")</f>
        <v>46135</v>
      </c>
      <c r="M533" s="4" t="s">
        <v>21</v>
      </c>
      <c r="N533" s="4">
        <f t="shared" ca="1" si="29"/>
        <v>0</v>
      </c>
      <c r="O533" s="4" t="str">
        <f t="shared" ca="1" si="30"/>
        <v>Vencido</v>
      </c>
      <c r="P533" s="4" t="s">
        <v>37</v>
      </c>
      <c r="Q533" s="4" t="b">
        <v>0</v>
      </c>
      <c r="R533" s="12" t="e">
        <f>IF(OR(Q533="", L533=""), "", NETWORKDAYS(L533, Q533,#REF!))</f>
        <v>#VALUE!</v>
      </c>
    </row>
    <row r="534" spans="1:18" x14ac:dyDescent="0.25">
      <c r="A534" s="8" t="s">
        <v>16</v>
      </c>
      <c r="B534" s="7" t="s">
        <v>956</v>
      </c>
      <c r="C534" s="4" t="s">
        <v>25</v>
      </c>
      <c r="D534" s="4" t="s">
        <v>61</v>
      </c>
      <c r="E534" s="4">
        <v>533</v>
      </c>
      <c r="F534" s="9">
        <v>46112</v>
      </c>
      <c r="G534" s="9" t="b">
        <v>0</v>
      </c>
      <c r="H534" s="4" t="b">
        <v>0</v>
      </c>
      <c r="I534" s="28" t="s">
        <v>20</v>
      </c>
      <c r="J534" s="4">
        <f t="shared" si="28"/>
        <v>15</v>
      </c>
      <c r="K534" s="4">
        <f ca="1">IF(AND(F534&lt;&gt;"", L534&lt;&gt;""), NETWORKDAYS(TODAY(), L534-1, FESTIVOS!A$1:A$55), "")</f>
        <v>-38</v>
      </c>
      <c r="L534" s="9">
        <f>IF(AND(F534&lt;&gt;"", J534&lt;&gt;""), WORKDAY(F534, J534, FESTIVOS!A$1:A$55), "")</f>
        <v>46135</v>
      </c>
      <c r="M534" s="4" t="s">
        <v>21</v>
      </c>
      <c r="N534" s="4">
        <f t="shared" ca="1" si="29"/>
        <v>0</v>
      </c>
      <c r="O534" s="4" t="str">
        <f t="shared" ca="1" si="30"/>
        <v>Vencido</v>
      </c>
      <c r="P534" s="4" t="s">
        <v>957</v>
      </c>
      <c r="Q534" s="9">
        <v>46121</v>
      </c>
      <c r="R534" s="12" t="e">
        <f>IF(OR(Q534="", L534=""), "", NETWORKDAYS(L534, Q534,#REF!))</f>
        <v>#REF!</v>
      </c>
    </row>
    <row r="535" spans="1:18" x14ac:dyDescent="0.25">
      <c r="A535" s="8" t="s">
        <v>16</v>
      </c>
      <c r="B535" s="7" t="s">
        <v>958</v>
      </c>
      <c r="C535" s="4" t="s">
        <v>25</v>
      </c>
      <c r="D535" s="4" t="s">
        <v>61</v>
      </c>
      <c r="E535" s="4">
        <v>534</v>
      </c>
      <c r="F535" s="9">
        <v>46112</v>
      </c>
      <c r="G535" s="9" t="b">
        <v>0</v>
      </c>
      <c r="H535" s="4" t="b">
        <v>0</v>
      </c>
      <c r="I535" s="28" t="s">
        <v>20</v>
      </c>
      <c r="J535" s="4">
        <f t="shared" si="28"/>
        <v>15</v>
      </c>
      <c r="K535" s="4">
        <f ca="1">IF(AND(F535&lt;&gt;"", L535&lt;&gt;""), NETWORKDAYS(TODAY(), L535-1, FESTIVOS!A$1:A$55), "")</f>
        <v>-38</v>
      </c>
      <c r="L535" s="9">
        <f>IF(AND(F535&lt;&gt;"", J535&lt;&gt;""), WORKDAY(F535, J535, FESTIVOS!A$1:A$55), "")</f>
        <v>46135</v>
      </c>
      <c r="M535" s="4" t="s">
        <v>21</v>
      </c>
      <c r="N535" s="4">
        <f t="shared" ca="1" si="29"/>
        <v>0</v>
      </c>
      <c r="O535" s="4" t="str">
        <f t="shared" ca="1" si="30"/>
        <v>Vencido</v>
      </c>
      <c r="P535" s="4" t="s">
        <v>959</v>
      </c>
      <c r="Q535" s="9">
        <v>46121</v>
      </c>
      <c r="R535" s="12" t="e">
        <f>IF(OR(Q535="", L535=""), "", NETWORKDAYS(L535, Q535,#REF!))</f>
        <v>#REF!</v>
      </c>
    </row>
    <row r="536" spans="1:18" x14ac:dyDescent="0.25">
      <c r="A536" s="8" t="s">
        <v>16</v>
      </c>
      <c r="B536" s="7" t="s">
        <v>960</v>
      </c>
      <c r="C536" s="4" t="s">
        <v>25</v>
      </c>
      <c r="D536" s="4" t="s">
        <v>961</v>
      </c>
      <c r="E536" s="4">
        <v>535</v>
      </c>
      <c r="F536" s="9">
        <v>46112</v>
      </c>
      <c r="G536" s="9" t="b">
        <v>0</v>
      </c>
      <c r="H536" s="4" t="b">
        <v>0</v>
      </c>
      <c r="I536" s="28" t="s">
        <v>20</v>
      </c>
      <c r="J536" s="4">
        <f t="shared" si="28"/>
        <v>15</v>
      </c>
      <c r="K536" s="4">
        <f ca="1">IF(AND(F536&lt;&gt;"", L536&lt;&gt;""), NETWORKDAYS(TODAY(), L536-1, FESTIVOS!A$1:A$55), "")</f>
        <v>-38</v>
      </c>
      <c r="L536" s="9">
        <f>IF(AND(F536&lt;&gt;"", J536&lt;&gt;""), WORKDAY(F536, J536, FESTIVOS!A$1:A$55), "")</f>
        <v>46135</v>
      </c>
      <c r="M536" s="4" t="s">
        <v>21</v>
      </c>
      <c r="N536" s="4">
        <f t="shared" ca="1" si="29"/>
        <v>0</v>
      </c>
      <c r="O536" s="4" t="str">
        <f t="shared" ca="1" si="30"/>
        <v>Vencido</v>
      </c>
      <c r="P536" s="4" t="s">
        <v>962</v>
      </c>
      <c r="Q536" s="9">
        <v>46120</v>
      </c>
      <c r="R536" s="12" t="e">
        <f>IF(OR(Q536="", L536=""), "", NETWORKDAYS(L536, Q536,#REF!))</f>
        <v>#REF!</v>
      </c>
    </row>
    <row r="537" spans="1:18" x14ac:dyDescent="0.25">
      <c r="A537" s="8" t="s">
        <v>16</v>
      </c>
      <c r="B537" s="7" t="s">
        <v>918</v>
      </c>
      <c r="C537" s="4" t="s">
        <v>84</v>
      </c>
      <c r="D537" s="4" t="s">
        <v>85</v>
      </c>
      <c r="E537" s="4">
        <v>536</v>
      </c>
      <c r="F537" s="9">
        <v>46112</v>
      </c>
      <c r="G537" s="9" t="b">
        <v>0</v>
      </c>
      <c r="H537" s="4" t="b">
        <v>0</v>
      </c>
      <c r="I537" s="28" t="s">
        <v>20</v>
      </c>
      <c r="J537" s="4">
        <f t="shared" si="28"/>
        <v>15</v>
      </c>
      <c r="K537" s="4">
        <f ca="1">IF(AND(F537&lt;&gt;"", L537&lt;&gt;""), NETWORKDAYS(TODAY(), L537-1, FESTIVOS!A$1:A$55), "")</f>
        <v>-38</v>
      </c>
      <c r="L537" s="9">
        <f>IF(AND(F537&lt;&gt;"", J537&lt;&gt;""), WORKDAY(F537, J537, FESTIVOS!A$1:A$55), "")</f>
        <v>46135</v>
      </c>
      <c r="M537" s="4" t="s">
        <v>21</v>
      </c>
      <c r="N537" s="4">
        <f t="shared" ca="1" si="29"/>
        <v>0</v>
      </c>
      <c r="O537" s="4" t="str">
        <f t="shared" ca="1" si="30"/>
        <v>Vencido</v>
      </c>
      <c r="P537" s="4" t="s">
        <v>37</v>
      </c>
      <c r="Q537" s="4" t="b">
        <v>0</v>
      </c>
      <c r="R537" s="12" t="e">
        <f>IF(OR(Q537="", L537=""), "", NETWORKDAYS(L537, Q537,#REF!))</f>
        <v>#VALUE!</v>
      </c>
    </row>
    <row r="538" spans="1:18" x14ac:dyDescent="0.25">
      <c r="A538" s="8" t="s">
        <v>16</v>
      </c>
      <c r="B538" s="7" t="s">
        <v>68</v>
      </c>
      <c r="C538" s="4" t="s">
        <v>186</v>
      </c>
      <c r="D538" s="4" t="s">
        <v>963</v>
      </c>
      <c r="E538" s="4">
        <v>537</v>
      </c>
      <c r="F538" s="9">
        <v>46112</v>
      </c>
      <c r="G538" s="9" t="b">
        <v>0</v>
      </c>
      <c r="H538" s="4" t="b">
        <v>0</v>
      </c>
      <c r="I538" s="28" t="s">
        <v>20</v>
      </c>
      <c r="J538" s="4">
        <f t="shared" si="28"/>
        <v>15</v>
      </c>
      <c r="K538" s="4">
        <f ca="1">IF(AND(F538&lt;&gt;"", L538&lt;&gt;""), NETWORKDAYS(TODAY(), L538-1, FESTIVOS!A$1:A$55), "")</f>
        <v>-38</v>
      </c>
      <c r="L538" s="9">
        <f>IF(AND(F538&lt;&gt;"", J538&lt;&gt;""), WORKDAY(F538, J538, FESTIVOS!A$1:A$55), "")</f>
        <v>46135</v>
      </c>
      <c r="M538" s="4" t="s">
        <v>21</v>
      </c>
      <c r="N538" s="4">
        <f t="shared" ca="1" si="29"/>
        <v>0</v>
      </c>
      <c r="O538" s="4" t="str">
        <f t="shared" ca="1" si="30"/>
        <v>Vencido</v>
      </c>
      <c r="P538" s="4" t="s">
        <v>37</v>
      </c>
      <c r="Q538" s="4" t="b">
        <v>0</v>
      </c>
      <c r="R538" s="12" t="e">
        <f>IF(OR(Q538="", L538=""), "", NETWORKDAYS(L538, Q538,#REF!))</f>
        <v>#VALUE!</v>
      </c>
    </row>
    <row r="539" spans="1:18" x14ac:dyDescent="0.25">
      <c r="A539" s="8" t="s">
        <v>16</v>
      </c>
      <c r="B539" s="7" t="s">
        <v>17</v>
      </c>
      <c r="C539" s="4" t="s">
        <v>84</v>
      </c>
      <c r="D539" s="4" t="s">
        <v>102</v>
      </c>
      <c r="E539" s="4">
        <v>538</v>
      </c>
      <c r="F539" s="9">
        <v>46112</v>
      </c>
      <c r="G539" s="9" t="b">
        <v>0</v>
      </c>
      <c r="H539" s="4" t="b">
        <v>0</v>
      </c>
      <c r="I539" s="28" t="s">
        <v>20</v>
      </c>
      <c r="J539" s="4">
        <f t="shared" si="28"/>
        <v>15</v>
      </c>
      <c r="K539" s="4">
        <f ca="1">IF(AND(F539&lt;&gt;"", L539&lt;&gt;""), NETWORKDAYS(TODAY(), L539-1, FESTIVOS!A$1:A$55), "")</f>
        <v>-38</v>
      </c>
      <c r="L539" s="9">
        <f>IF(AND(F539&lt;&gt;"", J539&lt;&gt;""), WORKDAY(F539, J539, FESTIVOS!A$1:A$55), "")</f>
        <v>46135</v>
      </c>
      <c r="M539" s="4" t="s">
        <v>21</v>
      </c>
      <c r="N539" s="4">
        <f t="shared" ca="1" si="29"/>
        <v>0</v>
      </c>
      <c r="O539" s="4" t="str">
        <f t="shared" ca="1" si="30"/>
        <v>Vencido</v>
      </c>
      <c r="P539" s="4" t="s">
        <v>964</v>
      </c>
      <c r="Q539" s="9">
        <v>46128</v>
      </c>
      <c r="R539" s="12" t="e">
        <f>IF(OR(Q539="", L539=""), "", NETWORKDAYS(L539, Q539,#REF!))</f>
        <v>#REF!</v>
      </c>
    </row>
    <row r="540" spans="1:18" x14ac:dyDescent="0.25">
      <c r="A540" s="8" t="s">
        <v>16</v>
      </c>
      <c r="B540" s="7" t="s">
        <v>965</v>
      </c>
      <c r="C540" s="4" t="s">
        <v>25</v>
      </c>
      <c r="D540" s="4" t="s">
        <v>39</v>
      </c>
      <c r="E540" s="4">
        <v>539</v>
      </c>
      <c r="F540" s="9">
        <v>46112</v>
      </c>
      <c r="G540" s="9" t="b">
        <v>0</v>
      </c>
      <c r="H540" s="4" t="b">
        <v>0</v>
      </c>
      <c r="I540" s="28" t="s">
        <v>80</v>
      </c>
      <c r="J540" s="4">
        <f t="shared" si="28"/>
        <v>15</v>
      </c>
      <c r="K540" s="4">
        <f ca="1">IF(AND(F540&lt;&gt;"", L540&lt;&gt;""), NETWORKDAYS(TODAY(), L540-1, FESTIVOS!A$1:A$55), "")</f>
        <v>-38</v>
      </c>
      <c r="L540" s="9">
        <f>IF(AND(F540&lt;&gt;"", J540&lt;&gt;""), WORKDAY(F540, J540, FESTIVOS!A$1:A$55), "")</f>
        <v>46135</v>
      </c>
      <c r="M540" s="4" t="s">
        <v>21</v>
      </c>
      <c r="N540" s="4">
        <f t="shared" ca="1" si="29"/>
        <v>0</v>
      </c>
      <c r="O540" s="4" t="str">
        <f t="shared" ca="1" si="30"/>
        <v>Vencido</v>
      </c>
      <c r="P540" s="4" t="s">
        <v>966</v>
      </c>
      <c r="Q540" s="9">
        <v>46120</v>
      </c>
      <c r="R540" s="12" t="e">
        <f>IF(OR(Q540="", L540=""), "", NETWORKDAYS(L540, Q540,#REF!))</f>
        <v>#REF!</v>
      </c>
    </row>
    <row r="541" spans="1:18" x14ac:dyDescent="0.25">
      <c r="A541" s="8" t="s">
        <v>16</v>
      </c>
      <c r="B541" s="7" t="s">
        <v>711</v>
      </c>
      <c r="C541" s="4" t="s">
        <v>32</v>
      </c>
      <c r="D541" s="4" t="s">
        <v>967</v>
      </c>
      <c r="E541" s="4">
        <v>540</v>
      </c>
      <c r="F541" s="9">
        <v>46113</v>
      </c>
      <c r="G541" s="9" t="b">
        <v>0</v>
      </c>
      <c r="H541" s="4" t="b">
        <v>0</v>
      </c>
      <c r="I541" s="28" t="s">
        <v>20</v>
      </c>
      <c r="J541" s="4">
        <f t="shared" si="28"/>
        <v>15</v>
      </c>
      <c r="K541" s="4">
        <f ca="1">IF(AND(F541&lt;&gt;"", L541&lt;&gt;""), NETWORKDAYS(TODAY(), L541-1, FESTIVOS!A$1:A$55), "")</f>
        <v>-37</v>
      </c>
      <c r="L541" s="9">
        <f>IF(AND(F541&lt;&gt;"", J541&lt;&gt;""), WORKDAY(F541, J541, FESTIVOS!A$1:A$55), "")</f>
        <v>46136</v>
      </c>
      <c r="M541" s="4" t="s">
        <v>21</v>
      </c>
      <c r="N541" s="4">
        <f t="shared" ca="1" si="29"/>
        <v>0</v>
      </c>
      <c r="O541" s="4" t="str">
        <f t="shared" ca="1" si="30"/>
        <v>Vencido</v>
      </c>
      <c r="P541" s="4" t="s">
        <v>968</v>
      </c>
      <c r="Q541" s="9">
        <v>46121</v>
      </c>
      <c r="R541" s="12" t="e">
        <f>IF(OR(Q541="", L541=""), "", NETWORKDAYS(L541, Q541,#REF!))</f>
        <v>#REF!</v>
      </c>
    </row>
    <row r="542" spans="1:18" x14ac:dyDescent="0.25">
      <c r="A542" s="8" t="s">
        <v>16</v>
      </c>
      <c r="B542" s="7" t="s">
        <v>969</v>
      </c>
      <c r="C542" s="4" t="s">
        <v>32</v>
      </c>
      <c r="D542" s="4" t="s">
        <v>970</v>
      </c>
      <c r="E542" s="4">
        <v>541</v>
      </c>
      <c r="F542" s="9">
        <v>46113</v>
      </c>
      <c r="G542" s="9" t="b">
        <v>0</v>
      </c>
      <c r="H542" s="4" t="b">
        <v>0</v>
      </c>
      <c r="I542" s="28" t="s">
        <v>20</v>
      </c>
      <c r="J542" s="4">
        <f t="shared" si="28"/>
        <v>15</v>
      </c>
      <c r="K542" s="4">
        <f ca="1">IF(AND(F542&lt;&gt;"", L542&lt;&gt;""), NETWORKDAYS(TODAY(), L542-1, FESTIVOS!A$1:A$55), "")</f>
        <v>-37</v>
      </c>
      <c r="L542" s="9">
        <f>IF(AND(F542&lt;&gt;"", J542&lt;&gt;""), WORKDAY(F542, J542, FESTIVOS!A$1:A$55), "")</f>
        <v>46136</v>
      </c>
      <c r="M542" s="4" t="s">
        <v>21</v>
      </c>
      <c r="N542" s="4">
        <f t="shared" ca="1" si="29"/>
        <v>0</v>
      </c>
      <c r="O542" s="4" t="str">
        <f t="shared" ca="1" si="30"/>
        <v>Vencido</v>
      </c>
      <c r="P542" s="4" t="s">
        <v>971</v>
      </c>
      <c r="Q542" s="9">
        <v>46126</v>
      </c>
      <c r="R542" s="12" t="e">
        <f>IF(OR(Q542="", L542=""), "", NETWORKDAYS(L542, Q542,#REF!))</f>
        <v>#REF!</v>
      </c>
    </row>
    <row r="543" spans="1:18" x14ac:dyDescent="0.25">
      <c r="A543" s="8" t="s">
        <v>16</v>
      </c>
      <c r="B543" s="7" t="s">
        <v>972</v>
      </c>
      <c r="C543" s="4" t="s">
        <v>973</v>
      </c>
      <c r="D543" s="4" t="s">
        <v>974</v>
      </c>
      <c r="E543" s="4">
        <v>542</v>
      </c>
      <c r="F543" s="9">
        <v>46113</v>
      </c>
      <c r="G543" s="9" t="b">
        <v>0</v>
      </c>
      <c r="H543" s="4" t="b">
        <v>0</v>
      </c>
      <c r="I543" s="28" t="s">
        <v>20</v>
      </c>
      <c r="J543" s="4">
        <f t="shared" si="28"/>
        <v>15</v>
      </c>
      <c r="K543" s="4">
        <f ca="1">IF(AND(F543&lt;&gt;"", L543&lt;&gt;""), NETWORKDAYS(TODAY(), L543-1, FESTIVOS!A$1:A$55), "")</f>
        <v>-37</v>
      </c>
      <c r="L543" s="9">
        <f>IF(AND(F543&lt;&gt;"", J543&lt;&gt;""), WORKDAY(F543, J543, FESTIVOS!A$1:A$55), "")</f>
        <v>46136</v>
      </c>
      <c r="M543" s="4" t="s">
        <v>21</v>
      </c>
      <c r="N543" s="4">
        <f t="shared" ca="1" si="29"/>
        <v>0</v>
      </c>
      <c r="O543" s="4" t="str">
        <f t="shared" ca="1" si="30"/>
        <v>Vencido</v>
      </c>
      <c r="P543" s="4" t="s">
        <v>975</v>
      </c>
      <c r="Q543" s="9">
        <v>46121</v>
      </c>
      <c r="R543" s="12" t="e">
        <f>IF(OR(Q543="", L543=""), "", NETWORKDAYS(L543, Q543,#REF!))</f>
        <v>#REF!</v>
      </c>
    </row>
    <row r="544" spans="1:18" x14ac:dyDescent="0.25">
      <c r="A544" s="8" t="s">
        <v>16</v>
      </c>
      <c r="B544" s="7" t="s">
        <v>208</v>
      </c>
      <c r="C544" s="4" t="s">
        <v>209</v>
      </c>
      <c r="D544" s="4" t="s">
        <v>976</v>
      </c>
      <c r="E544" s="4">
        <v>543</v>
      </c>
      <c r="F544" s="9">
        <v>46118</v>
      </c>
      <c r="G544" s="9" t="b">
        <v>0</v>
      </c>
      <c r="H544" s="4" t="b">
        <v>0</v>
      </c>
      <c r="I544" s="28" t="s">
        <v>44</v>
      </c>
      <c r="J544" s="4">
        <f t="shared" si="28"/>
        <v>15</v>
      </c>
      <c r="K544" s="4">
        <f ca="1">IF(AND(F544&lt;&gt;"", L544&lt;&gt;""), NETWORKDAYS(TODAY(), L544-1, FESTIVOS!A$1:A$55), "")</f>
        <v>-35</v>
      </c>
      <c r="L544" s="9">
        <f>IF(AND(F544&lt;&gt;"", J544&lt;&gt;""), WORKDAY(F544, J544, FESTIVOS!A$1:A$55), "")</f>
        <v>46139</v>
      </c>
      <c r="M544" s="4" t="s">
        <v>21</v>
      </c>
      <c r="N544" s="4">
        <f t="shared" ca="1" si="29"/>
        <v>0</v>
      </c>
      <c r="O544" s="4" t="str">
        <f t="shared" ca="1" si="30"/>
        <v>Vencido</v>
      </c>
      <c r="P544" s="4" t="b">
        <v>0</v>
      </c>
      <c r="Q544" s="4" t="b">
        <v>0</v>
      </c>
      <c r="R544" s="12" t="e">
        <f>IF(OR(Q544="", L544=""), "", NETWORKDAYS(L544, Q544,#REF!))</f>
        <v>#VALUE!</v>
      </c>
    </row>
    <row r="545" spans="1:18" x14ac:dyDescent="0.25">
      <c r="A545" s="8" t="s">
        <v>16</v>
      </c>
      <c r="B545" s="7" t="s">
        <v>977</v>
      </c>
      <c r="C545" s="4" t="s">
        <v>25</v>
      </c>
      <c r="D545" s="4" t="s">
        <v>39</v>
      </c>
      <c r="E545" s="4">
        <v>544</v>
      </c>
      <c r="F545" s="9">
        <v>46118</v>
      </c>
      <c r="G545" s="9" t="b">
        <v>0</v>
      </c>
      <c r="H545" s="4" t="b">
        <v>0</v>
      </c>
      <c r="I545" s="28" t="s">
        <v>66</v>
      </c>
      <c r="J545" s="4">
        <f t="shared" si="28"/>
        <v>15</v>
      </c>
      <c r="K545" s="4">
        <f ca="1">IF(AND(F545&lt;&gt;"", L545&lt;&gt;""), NETWORKDAYS(TODAY(), L545-1, FESTIVOS!A$1:A$55), "")</f>
        <v>-35</v>
      </c>
      <c r="L545" s="9">
        <f>IF(AND(F545&lt;&gt;"", J545&lt;&gt;""), WORKDAY(F545, J545, FESTIVOS!A$1:A$55), "")</f>
        <v>46139</v>
      </c>
      <c r="M545" s="4" t="s">
        <v>21</v>
      </c>
      <c r="N545" s="4">
        <f t="shared" ca="1" si="29"/>
        <v>0</v>
      </c>
      <c r="O545" s="4" t="str">
        <f t="shared" ca="1" si="30"/>
        <v>Vencido</v>
      </c>
      <c r="P545" s="4" t="s">
        <v>978</v>
      </c>
      <c r="Q545" s="9">
        <v>46121</v>
      </c>
      <c r="R545" s="12" t="e">
        <f>IF(OR(Q545="", L545=""), "", NETWORKDAYS(L545, Q545,#REF!))</f>
        <v>#REF!</v>
      </c>
    </row>
    <row r="546" spans="1:18" x14ac:dyDescent="0.25">
      <c r="A546" s="8" t="s">
        <v>16</v>
      </c>
      <c r="B546" s="7" t="s">
        <v>979</v>
      </c>
      <c r="C546" s="4" t="s">
        <v>25</v>
      </c>
      <c r="D546" s="4" t="s">
        <v>980</v>
      </c>
      <c r="E546" s="4">
        <v>545</v>
      </c>
      <c r="F546" s="9">
        <v>46118</v>
      </c>
      <c r="G546" s="9" t="b">
        <v>0</v>
      </c>
      <c r="H546" s="4" t="b">
        <v>0</v>
      </c>
      <c r="I546" s="28" t="s">
        <v>20</v>
      </c>
      <c r="J546" s="4">
        <f t="shared" si="28"/>
        <v>15</v>
      </c>
      <c r="K546" s="4">
        <f ca="1">IF(AND(F546&lt;&gt;"", L546&lt;&gt;""), NETWORKDAYS(TODAY(), L546-1, FESTIVOS!A$1:A$55), "")</f>
        <v>-35</v>
      </c>
      <c r="L546" s="9">
        <f>IF(AND(F546&lt;&gt;"", J546&lt;&gt;""), WORKDAY(F546, J546, FESTIVOS!A$1:A$55), "")</f>
        <v>46139</v>
      </c>
      <c r="M546" s="4" t="s">
        <v>21</v>
      </c>
      <c r="N546" s="4">
        <f t="shared" ca="1" si="29"/>
        <v>0</v>
      </c>
      <c r="O546" s="4" t="str">
        <f t="shared" ca="1" si="30"/>
        <v>Vencido</v>
      </c>
      <c r="P546" s="4" t="s">
        <v>981</v>
      </c>
      <c r="Q546" s="9">
        <v>46126</v>
      </c>
      <c r="R546" s="12" t="e">
        <f>IF(OR(Q546="", L546=""), "", NETWORKDAYS(L546, Q546,#REF!))</f>
        <v>#REF!</v>
      </c>
    </row>
    <row r="547" spans="1:18" x14ac:dyDescent="0.25">
      <c r="A547" s="8" t="s">
        <v>16</v>
      </c>
      <c r="B547" s="7" t="s">
        <v>982</v>
      </c>
      <c r="C547" s="4" t="s">
        <v>25</v>
      </c>
      <c r="D547" s="4" t="s">
        <v>789</v>
      </c>
      <c r="E547" s="4">
        <v>546</v>
      </c>
      <c r="F547" s="9">
        <v>46118</v>
      </c>
      <c r="G547" s="9" t="b">
        <v>0</v>
      </c>
      <c r="H547" s="4" t="b">
        <v>0</v>
      </c>
      <c r="I547" s="28" t="s">
        <v>20</v>
      </c>
      <c r="J547" s="4">
        <f t="shared" si="28"/>
        <v>15</v>
      </c>
      <c r="K547" s="4">
        <f ca="1">IF(AND(F547&lt;&gt;"", L547&lt;&gt;""), NETWORKDAYS(TODAY(), L547-1, FESTIVOS!A$1:A$55), "")</f>
        <v>-35</v>
      </c>
      <c r="L547" s="9">
        <f>IF(AND(F547&lt;&gt;"", J547&lt;&gt;""), WORKDAY(F547, J547, FESTIVOS!A$1:A$55), "")</f>
        <v>46139</v>
      </c>
      <c r="M547" s="4" t="s">
        <v>21</v>
      </c>
      <c r="N547" s="4">
        <f t="shared" ca="1" si="29"/>
        <v>0</v>
      </c>
      <c r="O547" s="4" t="str">
        <f t="shared" ca="1" si="30"/>
        <v>Vencido</v>
      </c>
      <c r="P547" s="4" t="s">
        <v>983</v>
      </c>
      <c r="Q547" s="9">
        <v>46134</v>
      </c>
      <c r="R547" s="12" t="e">
        <f>IF(OR(Q547="", L547=""), "", NETWORKDAYS(L547, Q547,#REF!))</f>
        <v>#REF!</v>
      </c>
    </row>
    <row r="548" spans="1:18" x14ac:dyDescent="0.25">
      <c r="A548" s="8" t="s">
        <v>16</v>
      </c>
      <c r="B548" s="7" t="s">
        <v>984</v>
      </c>
      <c r="C548" s="4" t="s">
        <v>25</v>
      </c>
      <c r="D548" s="4" t="s">
        <v>985</v>
      </c>
      <c r="E548" s="4">
        <v>547</v>
      </c>
      <c r="F548" s="9">
        <v>46118</v>
      </c>
      <c r="G548" s="9" t="b">
        <v>0</v>
      </c>
      <c r="H548" s="4" t="b">
        <v>0</v>
      </c>
      <c r="I548" s="28" t="s">
        <v>20</v>
      </c>
      <c r="J548" s="4">
        <f t="shared" si="28"/>
        <v>15</v>
      </c>
      <c r="K548" s="4">
        <f ca="1">IF(AND(F548&lt;&gt;"", L548&lt;&gt;""), NETWORKDAYS(TODAY(), L548-1, FESTIVOS!A$1:A$55), "")</f>
        <v>-35</v>
      </c>
      <c r="L548" s="9">
        <f>IF(AND(F548&lt;&gt;"", J548&lt;&gt;""), WORKDAY(F548, J548, FESTIVOS!A$1:A$55), "")</f>
        <v>46139</v>
      </c>
      <c r="M548" s="4" t="s">
        <v>21</v>
      </c>
      <c r="N548" s="4">
        <f t="shared" ca="1" si="29"/>
        <v>0</v>
      </c>
      <c r="O548" s="4" t="str">
        <f t="shared" ca="1" si="30"/>
        <v>Vencido</v>
      </c>
      <c r="P548" s="4" t="s">
        <v>986</v>
      </c>
      <c r="Q548" s="9">
        <v>46125</v>
      </c>
      <c r="R548" s="13" t="e">
        <f>IF(OR(Q548="", L548=""), "", NETWORKDAYS(L548, Q548,#REF!))</f>
        <v>#REF!</v>
      </c>
    </row>
    <row r="549" spans="1:18" x14ac:dyDescent="0.25">
      <c r="A549" s="8" t="s">
        <v>16</v>
      </c>
      <c r="B549" s="7" t="s">
        <v>270</v>
      </c>
      <c r="C549" s="4" t="s">
        <v>25</v>
      </c>
      <c r="D549" s="4" t="s">
        <v>772</v>
      </c>
      <c r="E549" s="4">
        <v>548</v>
      </c>
      <c r="F549" s="9">
        <v>46118</v>
      </c>
      <c r="G549" s="9" t="b">
        <v>0</v>
      </c>
      <c r="H549" s="4" t="b">
        <v>0</v>
      </c>
      <c r="I549" s="28" t="s">
        <v>20</v>
      </c>
      <c r="J549" s="4">
        <f t="shared" si="28"/>
        <v>15</v>
      </c>
      <c r="K549" s="4">
        <f ca="1">IF(AND(F549&lt;&gt;"", L549&lt;&gt;""), NETWORKDAYS(TODAY(), L549-1, FESTIVOS!A$1:A$55), "")</f>
        <v>-35</v>
      </c>
      <c r="L549" s="9">
        <f>IF(AND(F549&lt;&gt;"", J549&lt;&gt;""), WORKDAY(F549, J549, FESTIVOS!A$1:A$55), "")</f>
        <v>46139</v>
      </c>
      <c r="M549" s="4" t="s">
        <v>21</v>
      </c>
      <c r="N549" s="4">
        <f t="shared" ca="1" si="29"/>
        <v>0</v>
      </c>
      <c r="O549" s="4" t="str">
        <f t="shared" ca="1" si="30"/>
        <v>Vencido</v>
      </c>
      <c r="P549" s="4" t="s">
        <v>987</v>
      </c>
      <c r="Q549" s="9">
        <v>46135</v>
      </c>
      <c r="R549" s="12" t="e">
        <f>IF(OR(Q549="", L549=""), "", NETWORKDAYS(L549, Q549,#REF!))</f>
        <v>#REF!</v>
      </c>
    </row>
    <row r="550" spans="1:18" x14ac:dyDescent="0.25">
      <c r="A550" s="8" t="s">
        <v>16</v>
      </c>
      <c r="B550" s="7" t="s">
        <v>988</v>
      </c>
      <c r="C550" s="4" t="s">
        <v>25</v>
      </c>
      <c r="D550" s="4" t="s">
        <v>989</v>
      </c>
      <c r="E550" s="4">
        <v>549</v>
      </c>
      <c r="F550" s="9">
        <v>46118</v>
      </c>
      <c r="G550" s="9" t="b">
        <v>0</v>
      </c>
      <c r="H550" s="4" t="b">
        <v>0</v>
      </c>
      <c r="I550" s="28" t="s">
        <v>20</v>
      </c>
      <c r="J550" s="4">
        <f t="shared" si="28"/>
        <v>15</v>
      </c>
      <c r="K550" s="4">
        <f ca="1">IF(AND(F550&lt;&gt;"", L550&lt;&gt;""), NETWORKDAYS(TODAY(), L550-1, FESTIVOS!A$1:A$55), "")</f>
        <v>-35</v>
      </c>
      <c r="L550" s="9">
        <f>IF(AND(F550&lt;&gt;"", J550&lt;&gt;""), WORKDAY(F550, J550, FESTIVOS!A$1:A$55), "")</f>
        <v>46139</v>
      </c>
      <c r="M550" s="4" t="s">
        <v>21</v>
      </c>
      <c r="N550" s="4">
        <f t="shared" ca="1" si="29"/>
        <v>0</v>
      </c>
      <c r="O550" s="4" t="str">
        <f t="shared" ca="1" si="30"/>
        <v>Vencido</v>
      </c>
      <c r="P550" s="4" t="s">
        <v>990</v>
      </c>
      <c r="Q550" s="9">
        <v>46128</v>
      </c>
      <c r="R550" s="12" t="e">
        <f>IF(OR(Q550="", L550=""), "", NETWORKDAYS(L550, Q550,#REF!))</f>
        <v>#REF!</v>
      </c>
    </row>
    <row r="551" spans="1:18" x14ac:dyDescent="0.25">
      <c r="A551" s="8" t="s">
        <v>16</v>
      </c>
      <c r="B551" s="7" t="s">
        <v>991</v>
      </c>
      <c r="C551" s="4" t="s">
        <v>25</v>
      </c>
      <c r="D551" s="4" t="s">
        <v>992</v>
      </c>
      <c r="E551" s="4">
        <v>550</v>
      </c>
      <c r="F551" s="9">
        <v>46118</v>
      </c>
      <c r="G551" s="9" t="b">
        <v>0</v>
      </c>
      <c r="H551" s="4" t="b">
        <v>0</v>
      </c>
      <c r="I551" s="28" t="s">
        <v>20</v>
      </c>
      <c r="J551" s="4">
        <f t="shared" si="28"/>
        <v>15</v>
      </c>
      <c r="K551" s="4">
        <f ca="1">IF(AND(F551&lt;&gt;"", L551&lt;&gt;""), NETWORKDAYS(TODAY(), L551-1, FESTIVOS!A$1:A$55), "")</f>
        <v>-35</v>
      </c>
      <c r="L551" s="9">
        <f>IF(AND(F551&lt;&gt;"", J551&lt;&gt;""), WORKDAY(F551, J551, FESTIVOS!A$1:A$55), "")</f>
        <v>46139</v>
      </c>
      <c r="M551" s="4" t="s">
        <v>21</v>
      </c>
      <c r="N551" s="4">
        <f t="shared" ca="1" si="29"/>
        <v>0</v>
      </c>
      <c r="O551" s="4" t="str">
        <f t="shared" ca="1" si="30"/>
        <v>Vencido</v>
      </c>
      <c r="P551" s="4" t="s">
        <v>993</v>
      </c>
      <c r="Q551" s="9">
        <v>46135</v>
      </c>
      <c r="R551" s="12" t="e">
        <f>IF(OR(Q551="", L551=""), "", NETWORKDAYS(L551, Q551,#REF!))</f>
        <v>#REF!</v>
      </c>
    </row>
    <row r="552" spans="1:18" x14ac:dyDescent="0.25">
      <c r="A552" s="8" t="s">
        <v>16</v>
      </c>
      <c r="B552" s="7" t="s">
        <v>994</v>
      </c>
      <c r="C552" s="4" t="s">
        <v>25</v>
      </c>
      <c r="D552" s="4" t="s">
        <v>882</v>
      </c>
      <c r="E552" s="4">
        <v>551</v>
      </c>
      <c r="F552" s="9">
        <v>46118</v>
      </c>
      <c r="G552" s="9" t="b">
        <v>0</v>
      </c>
      <c r="H552" s="4" t="b">
        <v>0</v>
      </c>
      <c r="I552" s="28" t="s">
        <v>20</v>
      </c>
      <c r="J552" s="4">
        <f t="shared" si="28"/>
        <v>15</v>
      </c>
      <c r="K552" s="4">
        <f ca="1">IF(AND(F552&lt;&gt;"", L552&lt;&gt;""), NETWORKDAYS(TODAY(), L552-1, FESTIVOS!A$1:A$55), "")</f>
        <v>-35</v>
      </c>
      <c r="L552" s="9">
        <f>IF(AND(F552&lt;&gt;"", J552&lt;&gt;""), WORKDAY(F552, J552, FESTIVOS!A$1:A$55), "")</f>
        <v>46139</v>
      </c>
      <c r="M552" s="4" t="s">
        <v>21</v>
      </c>
      <c r="N552" s="4">
        <f t="shared" ca="1" si="29"/>
        <v>0</v>
      </c>
      <c r="O552" s="4" t="str">
        <f t="shared" ca="1" si="30"/>
        <v>Vencido</v>
      </c>
      <c r="P552" s="4" t="s">
        <v>995</v>
      </c>
      <c r="Q552" s="9">
        <v>46128</v>
      </c>
      <c r="R552" s="12" t="e">
        <f>IF(OR(Q552="", L552=""), "", NETWORKDAYS(L552, Q552,#REF!))</f>
        <v>#REF!</v>
      </c>
    </row>
    <row r="553" spans="1:18" x14ac:dyDescent="0.25">
      <c r="A553" s="8" t="s">
        <v>16</v>
      </c>
      <c r="B553" s="7" t="s">
        <v>996</v>
      </c>
      <c r="C553" s="4" t="s">
        <v>25</v>
      </c>
      <c r="D553" s="4" t="s">
        <v>997</v>
      </c>
      <c r="E553" s="4">
        <v>552</v>
      </c>
      <c r="F553" s="9">
        <v>46118</v>
      </c>
      <c r="G553" s="9" t="b">
        <v>0</v>
      </c>
      <c r="H553" s="4" t="b">
        <v>0</v>
      </c>
      <c r="I553" s="28" t="s">
        <v>20</v>
      </c>
      <c r="J553" s="4">
        <f t="shared" si="28"/>
        <v>15</v>
      </c>
      <c r="K553" s="4">
        <f ca="1">IF(AND(F553&lt;&gt;"", L553&lt;&gt;""), NETWORKDAYS(TODAY(), L553-1, FESTIVOS!A$1:A$55), "")</f>
        <v>-35</v>
      </c>
      <c r="L553" s="9">
        <f>IF(AND(F553&lt;&gt;"", J553&lt;&gt;""), WORKDAY(F553, J553, FESTIVOS!A$1:A$55), "")</f>
        <v>46139</v>
      </c>
      <c r="M553" s="4" t="s">
        <v>21</v>
      </c>
      <c r="N553" s="4">
        <f t="shared" ca="1" si="29"/>
        <v>0</v>
      </c>
      <c r="O553" s="4" t="str">
        <f t="shared" ca="1" si="30"/>
        <v>Vencido</v>
      </c>
      <c r="P553" s="4" t="s">
        <v>998</v>
      </c>
      <c r="Q553" s="4" t="b">
        <v>0</v>
      </c>
      <c r="R553" s="12" t="e">
        <f>IF(OR(Q553="", L553=""), "", NETWORKDAYS(L553, Q553,#REF!))</f>
        <v>#VALUE!</v>
      </c>
    </row>
    <row r="554" spans="1:18" x14ac:dyDescent="0.25">
      <c r="A554" s="8" t="s">
        <v>16</v>
      </c>
      <c r="B554" s="7" t="s">
        <v>999</v>
      </c>
      <c r="C554" s="4" t="s">
        <v>25</v>
      </c>
      <c r="D554" s="4" t="s">
        <v>1000</v>
      </c>
      <c r="E554" s="4">
        <v>553</v>
      </c>
      <c r="F554" s="9">
        <v>46118</v>
      </c>
      <c r="G554" s="9" t="b">
        <v>0</v>
      </c>
      <c r="H554" s="4" t="b">
        <v>0</v>
      </c>
      <c r="I554" s="28" t="s">
        <v>66</v>
      </c>
      <c r="J554" s="4">
        <f t="shared" si="28"/>
        <v>15</v>
      </c>
      <c r="K554" s="4">
        <f ca="1">IF(AND(F554&lt;&gt;"", L554&lt;&gt;""), NETWORKDAYS(TODAY(), L554-1, FESTIVOS!A$1:A$55), "")</f>
        <v>-35</v>
      </c>
      <c r="L554" s="9">
        <f>IF(AND(F554&lt;&gt;"", J554&lt;&gt;""), WORKDAY(F554, J554, FESTIVOS!A$1:A$55), "")</f>
        <v>46139</v>
      </c>
      <c r="M554" s="4" t="s">
        <v>21</v>
      </c>
      <c r="N554" s="4">
        <f t="shared" ca="1" si="29"/>
        <v>0</v>
      </c>
      <c r="O554" s="4" t="str">
        <f t="shared" ca="1" si="30"/>
        <v>Vencido</v>
      </c>
      <c r="P554" s="4" t="s">
        <v>1001</v>
      </c>
      <c r="Q554" s="9">
        <v>46139</v>
      </c>
      <c r="R554" s="12" t="e">
        <f>IF(OR(Q554="", L554=""), "", NETWORKDAYS(L554, Q554,#REF!))</f>
        <v>#REF!</v>
      </c>
    </row>
    <row r="555" spans="1:18" x14ac:dyDescent="0.25">
      <c r="A555" s="8" t="s">
        <v>16</v>
      </c>
      <c r="B555" s="7" t="s">
        <v>1002</v>
      </c>
      <c r="C555" s="4" t="s">
        <v>25</v>
      </c>
      <c r="D555" s="4" t="s">
        <v>1003</v>
      </c>
      <c r="E555" s="4">
        <v>554</v>
      </c>
      <c r="F555" s="9">
        <v>46118</v>
      </c>
      <c r="G555" s="9" t="b">
        <v>0</v>
      </c>
      <c r="H555" s="4" t="b">
        <v>0</v>
      </c>
      <c r="I555" s="28" t="s">
        <v>20</v>
      </c>
      <c r="J555" s="4">
        <f t="shared" si="28"/>
        <v>15</v>
      </c>
      <c r="K555" s="4">
        <f ca="1">IF(AND(F555&lt;&gt;"", L555&lt;&gt;""), NETWORKDAYS(TODAY(), L555-1, FESTIVOS!A$1:A$55), "")</f>
        <v>-35</v>
      </c>
      <c r="L555" s="9">
        <f>IF(AND(F555&lt;&gt;"", J555&lt;&gt;""), WORKDAY(F555, J555, FESTIVOS!A$1:A$55), "")</f>
        <v>46139</v>
      </c>
      <c r="M555" s="4" t="s">
        <v>21</v>
      </c>
      <c r="N555" s="4">
        <f t="shared" ca="1" si="29"/>
        <v>0</v>
      </c>
      <c r="O555" s="4" t="str">
        <f t="shared" ca="1" si="30"/>
        <v>Vencido</v>
      </c>
      <c r="P555" s="4" t="s">
        <v>1004</v>
      </c>
      <c r="Q555" s="9">
        <v>46134</v>
      </c>
      <c r="R555" s="12" t="e">
        <f>IF(OR(Q555="", L555=""), "", NETWORKDAYS(L555, Q555,#REF!))</f>
        <v>#REF!</v>
      </c>
    </row>
    <row r="556" spans="1:18" x14ac:dyDescent="0.25">
      <c r="A556" s="8" t="s">
        <v>16</v>
      </c>
      <c r="B556" s="7" t="s">
        <v>1005</v>
      </c>
      <c r="C556" s="4" t="s">
        <v>32</v>
      </c>
      <c r="D556" s="4" t="s">
        <v>1006</v>
      </c>
      <c r="E556" s="4">
        <v>555</v>
      </c>
      <c r="F556" s="9">
        <v>46119</v>
      </c>
      <c r="G556" s="9" t="b">
        <v>0</v>
      </c>
      <c r="H556" s="4" t="b">
        <v>0</v>
      </c>
      <c r="I556" s="28" t="s">
        <v>66</v>
      </c>
      <c r="J556" s="4">
        <f t="shared" si="28"/>
        <v>15</v>
      </c>
      <c r="K556" s="4">
        <f ca="1">IF(AND(F556&lt;&gt;"", L556&lt;&gt;""), NETWORKDAYS(TODAY(), L556-1, FESTIVOS!A$1:A$55), "")</f>
        <v>-35</v>
      </c>
      <c r="L556" s="9">
        <f>IF(AND(F556&lt;&gt;"", J556&lt;&gt;""), WORKDAY(F556, J556, FESTIVOS!A$1:A$55), "")</f>
        <v>46140</v>
      </c>
      <c r="M556" s="4" t="s">
        <v>21</v>
      </c>
      <c r="N556" s="4">
        <f t="shared" ca="1" si="29"/>
        <v>0</v>
      </c>
      <c r="O556" s="4" t="str">
        <f t="shared" ca="1" si="30"/>
        <v>Vencido</v>
      </c>
      <c r="P556" s="4" t="b">
        <v>1</v>
      </c>
      <c r="Q556" s="4" t="b">
        <v>0</v>
      </c>
      <c r="R556" s="12" t="e">
        <f>IF(OR(Q556="", L556=""), "", NETWORKDAYS(L556, Q556,#REF!))</f>
        <v>#VALUE!</v>
      </c>
    </row>
    <row r="557" spans="1:18" x14ac:dyDescent="0.25">
      <c r="A557" s="8" t="s">
        <v>16</v>
      </c>
      <c r="B557" s="7" t="s">
        <v>1007</v>
      </c>
      <c r="C557" s="4" t="s">
        <v>25</v>
      </c>
      <c r="D557" s="4" t="s">
        <v>980</v>
      </c>
      <c r="E557" s="4">
        <v>556</v>
      </c>
      <c r="F557" s="9">
        <v>46119</v>
      </c>
      <c r="G557" s="9" t="b">
        <v>0</v>
      </c>
      <c r="H557" s="4" t="b">
        <v>0</v>
      </c>
      <c r="I557" s="28" t="s">
        <v>20</v>
      </c>
      <c r="J557" s="4">
        <f t="shared" si="28"/>
        <v>15</v>
      </c>
      <c r="K557" s="4">
        <f ca="1">IF(AND(F557&lt;&gt;"", L557&lt;&gt;""), NETWORKDAYS(TODAY(), L557-1, FESTIVOS!A$1:A$55), "")</f>
        <v>-35</v>
      </c>
      <c r="L557" s="9">
        <f>IF(AND(F557&lt;&gt;"", J557&lt;&gt;""), WORKDAY(F557, J557, FESTIVOS!A$1:A$55), "")</f>
        <v>46140</v>
      </c>
      <c r="M557" s="4" t="s">
        <v>21</v>
      </c>
      <c r="N557" s="4">
        <f t="shared" ca="1" si="29"/>
        <v>0</v>
      </c>
      <c r="O557" s="4" t="str">
        <f t="shared" ca="1" si="30"/>
        <v>Vencido</v>
      </c>
      <c r="P557" s="4" t="s">
        <v>1008</v>
      </c>
      <c r="Q557" s="9">
        <v>46135</v>
      </c>
      <c r="R557" s="12" t="e">
        <f>IF(OR(Q557="", L557=""), "", NETWORKDAYS(L557, Q557,#REF!))</f>
        <v>#REF!</v>
      </c>
    </row>
    <row r="558" spans="1:18" x14ac:dyDescent="0.25">
      <c r="A558" s="8" t="s">
        <v>16</v>
      </c>
      <c r="B558" s="7" t="s">
        <v>1009</v>
      </c>
      <c r="C558" s="4" t="s">
        <v>25</v>
      </c>
      <c r="D558" s="4" t="s">
        <v>789</v>
      </c>
      <c r="E558" s="4">
        <v>557</v>
      </c>
      <c r="F558" s="9">
        <v>46119</v>
      </c>
      <c r="G558" s="9" t="b">
        <v>0</v>
      </c>
      <c r="H558" s="4" t="b">
        <v>0</v>
      </c>
      <c r="I558" s="28" t="s">
        <v>66</v>
      </c>
      <c r="J558" s="4">
        <f t="shared" si="28"/>
        <v>15</v>
      </c>
      <c r="K558" s="4">
        <f ca="1">IF(AND(F558&lt;&gt;"", L558&lt;&gt;""), NETWORKDAYS(TODAY(), L558-1, FESTIVOS!A$1:A$55), "")</f>
        <v>-35</v>
      </c>
      <c r="L558" s="9">
        <f>IF(AND(F558&lt;&gt;"", J558&lt;&gt;""), WORKDAY(F558, J558, FESTIVOS!A$1:A$55), "")</f>
        <v>46140</v>
      </c>
      <c r="M558" s="4" t="s">
        <v>21</v>
      </c>
      <c r="N558" s="4">
        <f t="shared" ca="1" si="29"/>
        <v>0</v>
      </c>
      <c r="O558" s="4" t="str">
        <f t="shared" ca="1" si="30"/>
        <v>Vencido</v>
      </c>
      <c r="P558" s="4" t="s">
        <v>1010</v>
      </c>
      <c r="Q558" s="9">
        <v>46121</v>
      </c>
      <c r="R558" s="12" t="e">
        <f>IF(OR(Q558="", L558=""), "", NETWORKDAYS(L558, Q558,#REF!))</f>
        <v>#REF!</v>
      </c>
    </row>
    <row r="559" spans="1:18" x14ac:dyDescent="0.25">
      <c r="A559" s="8" t="s">
        <v>16</v>
      </c>
      <c r="B559" s="7" t="s">
        <v>1011</v>
      </c>
      <c r="C559" s="4" t="s">
        <v>25</v>
      </c>
      <c r="D559" s="4" t="s">
        <v>61</v>
      </c>
      <c r="E559" s="4">
        <v>558</v>
      </c>
      <c r="F559" s="9">
        <v>46119</v>
      </c>
      <c r="G559" s="9" t="b">
        <v>0</v>
      </c>
      <c r="H559" s="4" t="b">
        <v>0</v>
      </c>
      <c r="I559" s="28" t="s">
        <v>20</v>
      </c>
      <c r="J559" s="4">
        <f t="shared" si="28"/>
        <v>15</v>
      </c>
      <c r="K559" s="4">
        <f ca="1">IF(AND(F559&lt;&gt;"", L559&lt;&gt;""), NETWORKDAYS(TODAY(), L559-1, FESTIVOS!A$1:A$55), "")</f>
        <v>-35</v>
      </c>
      <c r="L559" s="9">
        <f>IF(AND(F559&lt;&gt;"", J559&lt;&gt;""), WORKDAY(F559, J559, FESTIVOS!A$1:A$55), "")</f>
        <v>46140</v>
      </c>
      <c r="M559" s="4" t="s">
        <v>21</v>
      </c>
      <c r="N559" s="4">
        <f t="shared" ca="1" si="29"/>
        <v>0</v>
      </c>
      <c r="O559" s="4" t="str">
        <f t="shared" ca="1" si="30"/>
        <v>Vencido</v>
      </c>
      <c r="P559" s="4" t="s">
        <v>1012</v>
      </c>
      <c r="Q559" s="4" t="b">
        <v>0</v>
      </c>
      <c r="R559" s="12" t="e">
        <f>IF(OR(Q559="", L559=""), "", NETWORKDAYS(L559, Q559,#REF!))</f>
        <v>#VALUE!</v>
      </c>
    </row>
    <row r="560" spans="1:18" x14ac:dyDescent="0.25">
      <c r="A560" s="8" t="s">
        <v>16</v>
      </c>
      <c r="B560" s="7" t="s">
        <v>1013</v>
      </c>
      <c r="C560" s="4" t="s">
        <v>25</v>
      </c>
      <c r="D560" s="4" t="s">
        <v>1014</v>
      </c>
      <c r="E560" s="4">
        <v>559</v>
      </c>
      <c r="F560" s="9">
        <v>46119</v>
      </c>
      <c r="G560" s="9" t="b">
        <v>0</v>
      </c>
      <c r="H560" s="4" t="b">
        <v>0</v>
      </c>
      <c r="I560" s="28" t="s">
        <v>20</v>
      </c>
      <c r="J560" s="4">
        <f t="shared" si="28"/>
        <v>15</v>
      </c>
      <c r="K560" s="4">
        <f ca="1">IF(AND(F560&lt;&gt;"", L560&lt;&gt;""), NETWORKDAYS(TODAY(), L560-1, FESTIVOS!A$1:A$55), "")</f>
        <v>-35</v>
      </c>
      <c r="L560" s="9">
        <f>IF(AND(F560&lt;&gt;"", J560&lt;&gt;""), WORKDAY(F560, J560, FESTIVOS!A$1:A$55), "")</f>
        <v>46140</v>
      </c>
      <c r="M560" s="4" t="s">
        <v>21</v>
      </c>
      <c r="N560" s="4">
        <f t="shared" ca="1" si="29"/>
        <v>0</v>
      </c>
      <c r="O560" s="4" t="str">
        <f t="shared" ca="1" si="30"/>
        <v>Vencido</v>
      </c>
      <c r="P560" s="4" t="s">
        <v>1012</v>
      </c>
      <c r="Q560" s="4" t="b">
        <v>0</v>
      </c>
      <c r="R560" s="12" t="e">
        <f>IF(OR(Q560="", L560=""), "", NETWORKDAYS(L560, Q560,#REF!))</f>
        <v>#VALUE!</v>
      </c>
    </row>
    <row r="561" spans="1:18" x14ac:dyDescent="0.25">
      <c r="A561" s="8" t="s">
        <v>16</v>
      </c>
      <c r="B561" s="7" t="s">
        <v>1015</v>
      </c>
      <c r="C561" s="4" t="s">
        <v>25</v>
      </c>
      <c r="D561" s="4" t="s">
        <v>1016</v>
      </c>
      <c r="E561" s="4">
        <v>560</v>
      </c>
      <c r="F561" s="9">
        <v>46119</v>
      </c>
      <c r="G561" s="9" t="b">
        <v>0</v>
      </c>
      <c r="H561" s="4" t="b">
        <v>0</v>
      </c>
      <c r="I561" s="28" t="s">
        <v>20</v>
      </c>
      <c r="J561" s="4">
        <f t="shared" si="28"/>
        <v>15</v>
      </c>
      <c r="K561" s="4">
        <f ca="1">IF(AND(F561&lt;&gt;"", L561&lt;&gt;""), NETWORKDAYS(TODAY(), L561-1, FESTIVOS!A$1:A$55), "")</f>
        <v>-35</v>
      </c>
      <c r="L561" s="9">
        <f>IF(AND(F561&lt;&gt;"", J561&lt;&gt;""), WORKDAY(F561, J561, FESTIVOS!A$1:A$55), "")</f>
        <v>46140</v>
      </c>
      <c r="M561" s="4" t="s">
        <v>21</v>
      </c>
      <c r="N561" s="4">
        <f t="shared" ca="1" si="29"/>
        <v>0</v>
      </c>
      <c r="O561" s="4" t="str">
        <f t="shared" ca="1" si="30"/>
        <v>Vencido</v>
      </c>
      <c r="P561" s="4" t="s">
        <v>1017</v>
      </c>
      <c r="Q561" s="9">
        <v>46136</v>
      </c>
      <c r="R561" s="12" t="e">
        <f>IF(OR(Q561="", L561=""), "", NETWORKDAYS(L561, Q561,#REF!))</f>
        <v>#REF!</v>
      </c>
    </row>
    <row r="562" spans="1:18" x14ac:dyDescent="0.25">
      <c r="A562" s="8" t="s">
        <v>16</v>
      </c>
      <c r="B562" s="7" t="s">
        <v>918</v>
      </c>
      <c r="C562" s="4" t="s">
        <v>84</v>
      </c>
      <c r="D562" s="4" t="s">
        <v>85</v>
      </c>
      <c r="E562" s="4">
        <v>561</v>
      </c>
      <c r="F562" s="9">
        <v>46119</v>
      </c>
      <c r="G562" s="9" t="b">
        <v>0</v>
      </c>
      <c r="H562" s="4" t="b">
        <v>0</v>
      </c>
      <c r="I562" s="28" t="s">
        <v>20</v>
      </c>
      <c r="J562" s="4">
        <f t="shared" si="28"/>
        <v>15</v>
      </c>
      <c r="K562" s="4">
        <f ca="1">IF(AND(F562&lt;&gt;"", L562&lt;&gt;""), NETWORKDAYS(TODAY(), L562-1, FESTIVOS!A$1:A$55), "")</f>
        <v>-35</v>
      </c>
      <c r="L562" s="9">
        <f>IF(AND(F562&lt;&gt;"", J562&lt;&gt;""), WORKDAY(F562, J562, FESTIVOS!A$1:A$55), "")</f>
        <v>46140</v>
      </c>
      <c r="M562" s="4" t="s">
        <v>21</v>
      </c>
      <c r="N562" s="4">
        <f t="shared" ca="1" si="29"/>
        <v>0</v>
      </c>
      <c r="O562" s="4" t="str">
        <f t="shared" ca="1" si="30"/>
        <v>Vencido</v>
      </c>
      <c r="P562" s="4" t="s">
        <v>37</v>
      </c>
      <c r="Q562" s="4" t="b">
        <v>0</v>
      </c>
      <c r="R562" s="12" t="e">
        <f>IF(OR(Q562="", L562=""), "", NETWORKDAYS(L562, Q562,#REF!))</f>
        <v>#VALUE!</v>
      </c>
    </row>
    <row r="563" spans="1:18" x14ac:dyDescent="0.25">
      <c r="A563" s="8" t="s">
        <v>16</v>
      </c>
      <c r="B563" s="7" t="s">
        <v>918</v>
      </c>
      <c r="C563" s="4" t="s">
        <v>84</v>
      </c>
      <c r="D563" s="4" t="s">
        <v>85</v>
      </c>
      <c r="E563" s="4">
        <v>562</v>
      </c>
      <c r="F563" s="9">
        <v>46119</v>
      </c>
      <c r="G563" s="9" t="b">
        <v>0</v>
      </c>
      <c r="H563" s="4" t="b">
        <v>0</v>
      </c>
      <c r="I563" s="28" t="s">
        <v>20</v>
      </c>
      <c r="J563" s="4">
        <f t="shared" si="28"/>
        <v>15</v>
      </c>
      <c r="K563" s="4">
        <f ca="1">IF(AND(F563&lt;&gt;"", L563&lt;&gt;""), NETWORKDAYS(TODAY(), L563-1, FESTIVOS!A$1:A$55), "")</f>
        <v>-35</v>
      </c>
      <c r="L563" s="9">
        <f>IF(AND(F563&lt;&gt;"", J563&lt;&gt;""), WORKDAY(F563, J563, FESTIVOS!A$1:A$55), "")</f>
        <v>46140</v>
      </c>
      <c r="M563" s="4" t="s">
        <v>21</v>
      </c>
      <c r="N563" s="4">
        <f t="shared" ca="1" si="29"/>
        <v>0</v>
      </c>
      <c r="O563" s="4" t="str">
        <f t="shared" ca="1" si="30"/>
        <v>Vencido</v>
      </c>
      <c r="P563" s="4" t="s">
        <v>37</v>
      </c>
      <c r="Q563" s="4" t="b">
        <v>0</v>
      </c>
      <c r="R563" s="12" t="e">
        <f>IF(OR(Q563="", L563=""), "", NETWORKDAYS(L563, Q563,#REF!))</f>
        <v>#VALUE!</v>
      </c>
    </row>
    <row r="564" spans="1:18" x14ac:dyDescent="0.25">
      <c r="A564" s="8" t="s">
        <v>16</v>
      </c>
      <c r="B564" s="7" t="s">
        <v>711</v>
      </c>
      <c r="C564" s="4" t="s">
        <v>32</v>
      </c>
      <c r="D564" s="4" t="s">
        <v>1018</v>
      </c>
      <c r="E564" s="4">
        <v>563</v>
      </c>
      <c r="F564" s="9">
        <v>46119</v>
      </c>
      <c r="G564" s="9" t="b">
        <v>0</v>
      </c>
      <c r="H564" s="4" t="b">
        <v>0</v>
      </c>
      <c r="I564" s="28" t="s">
        <v>20</v>
      </c>
      <c r="J564" s="4">
        <f t="shared" si="28"/>
        <v>15</v>
      </c>
      <c r="K564" s="4">
        <f ca="1">IF(AND(F564&lt;&gt;"", L564&lt;&gt;""), NETWORKDAYS(TODAY(), L564-1, FESTIVOS!A$1:A$55), "")</f>
        <v>-35</v>
      </c>
      <c r="L564" s="9">
        <f>IF(AND(F564&lt;&gt;"", J564&lt;&gt;""), WORKDAY(F564, J564, FESTIVOS!A$1:A$55), "")</f>
        <v>46140</v>
      </c>
      <c r="M564" s="4" t="s">
        <v>21</v>
      </c>
      <c r="N564" s="4">
        <f t="shared" ca="1" si="29"/>
        <v>0</v>
      </c>
      <c r="O564" s="4" t="str">
        <f t="shared" ca="1" si="30"/>
        <v>Vencido</v>
      </c>
      <c r="P564" s="4" t="s">
        <v>968</v>
      </c>
      <c r="Q564" s="9">
        <v>46121</v>
      </c>
      <c r="R564" s="12" t="e">
        <f>IF(OR(Q564="", L564=""), "", NETWORKDAYS(L564, Q564,#REF!))</f>
        <v>#REF!</v>
      </c>
    </row>
    <row r="565" spans="1:18" x14ac:dyDescent="0.25">
      <c r="A565" s="8" t="s">
        <v>16</v>
      </c>
      <c r="B565" s="7" t="s">
        <v>1019</v>
      </c>
      <c r="C565" s="4" t="s">
        <v>25</v>
      </c>
      <c r="D565" s="4" t="s">
        <v>1020</v>
      </c>
      <c r="E565" s="4">
        <v>564</v>
      </c>
      <c r="F565" s="9">
        <v>46119</v>
      </c>
      <c r="G565" s="9" t="b">
        <v>0</v>
      </c>
      <c r="H565" s="4" t="b">
        <v>0</v>
      </c>
      <c r="I565" s="28" t="s">
        <v>20</v>
      </c>
      <c r="J565" s="4">
        <f t="shared" si="28"/>
        <v>15</v>
      </c>
      <c r="K565" s="4">
        <f ca="1">IF(AND(F565&lt;&gt;"", L565&lt;&gt;""), NETWORKDAYS(TODAY(), L565-1, FESTIVOS!A$1:A$55), "")</f>
        <v>-35</v>
      </c>
      <c r="L565" s="9">
        <f>IF(AND(F565&lt;&gt;"", J565&lt;&gt;""), WORKDAY(F565, J565, FESTIVOS!A$1:A$55), "")</f>
        <v>46140</v>
      </c>
      <c r="M565" s="4" t="s">
        <v>21</v>
      </c>
      <c r="N565" s="4">
        <f t="shared" ca="1" si="29"/>
        <v>0</v>
      </c>
      <c r="O565" s="4" t="str">
        <f t="shared" ca="1" si="30"/>
        <v>Vencido</v>
      </c>
      <c r="P565" s="4" t="s">
        <v>1021</v>
      </c>
      <c r="Q565" s="4" t="b">
        <v>0</v>
      </c>
      <c r="R565" s="12" t="e">
        <f>IF(OR(Q565="", L565=""), "", NETWORKDAYS(L565, Q565,#REF!))</f>
        <v>#VALUE!</v>
      </c>
    </row>
    <row r="566" spans="1:18" x14ac:dyDescent="0.25">
      <c r="A566" s="8" t="s">
        <v>16</v>
      </c>
      <c r="B566" s="7" t="s">
        <v>1022</v>
      </c>
      <c r="C566" s="4" t="s">
        <v>25</v>
      </c>
      <c r="D566" s="4" t="s">
        <v>39</v>
      </c>
      <c r="E566" s="4">
        <v>565</v>
      </c>
      <c r="F566" s="9">
        <v>46119</v>
      </c>
      <c r="G566" s="9" t="b">
        <v>0</v>
      </c>
      <c r="H566" s="4" t="b">
        <v>0</v>
      </c>
      <c r="I566" s="28" t="s">
        <v>20</v>
      </c>
      <c r="J566" s="4">
        <f t="shared" ref="J566:J629" si="31">IF(A566="INFORMACIÓN O DOCUMENTOS", 10, IF(A566="CONSULTA", 30, IF(A566="FACTURACIÓN Y COBROS", 15, IF(A566="VINCULACIÓN Y DESVINCULACIÓN", 15, IF(A566="NO ES DE NUESTRA COMPETENCIA", 5, IF(A566="OTRO", 15, ""))))))</f>
        <v>15</v>
      </c>
      <c r="K566" s="4">
        <f ca="1">IF(AND(F566&lt;&gt;"", L566&lt;&gt;""), NETWORKDAYS(TODAY(), L566-1, FESTIVOS!A$1:A$55), "")</f>
        <v>-35</v>
      </c>
      <c r="L566" s="9">
        <f>IF(AND(F566&lt;&gt;"", J566&lt;&gt;""), WORKDAY(F566, J566, FESTIVOS!A$1:A$55), "")</f>
        <v>46140</v>
      </c>
      <c r="M566" s="4" t="s">
        <v>21</v>
      </c>
      <c r="N566" s="4">
        <f t="shared" ref="N566:N629" ca="1" si="32">IF(K566="", "", MAX(0, K566 - (TODAY() - TODAY())))</f>
        <v>0</v>
      </c>
      <c r="O566" s="4" t="str">
        <f t="shared" ref="O566:O629" ca="1" si="33">IF(OR(K566="", J566=""), "", IF(K566&lt;0, "Vencido", IF(K566&gt;(J566/2), "Supere la mitad", "Bajo la mitad")))</f>
        <v>Vencido</v>
      </c>
      <c r="P566" s="4" t="s">
        <v>1023</v>
      </c>
      <c r="Q566" s="4" t="b">
        <v>0</v>
      </c>
      <c r="R566" s="12" t="e">
        <f>IF(OR(Q566="", L566=""), "", NETWORKDAYS(L566, Q566,#REF!))</f>
        <v>#VALUE!</v>
      </c>
    </row>
    <row r="567" spans="1:18" x14ac:dyDescent="0.25">
      <c r="A567" s="8" t="s">
        <v>16</v>
      </c>
      <c r="B567" s="7" t="s">
        <v>1024</v>
      </c>
      <c r="C567" s="4" t="s">
        <v>25</v>
      </c>
      <c r="D567" s="4" t="s">
        <v>1025</v>
      </c>
      <c r="E567" s="4">
        <v>566</v>
      </c>
      <c r="F567" s="9">
        <v>46119</v>
      </c>
      <c r="G567" s="9" t="b">
        <v>0</v>
      </c>
      <c r="H567" s="4" t="b">
        <v>0</v>
      </c>
      <c r="I567" s="28" t="s">
        <v>20</v>
      </c>
      <c r="J567" s="4">
        <f t="shared" si="31"/>
        <v>15</v>
      </c>
      <c r="K567" s="4">
        <f ca="1">IF(AND(F567&lt;&gt;"", L567&lt;&gt;""), NETWORKDAYS(TODAY(), L567-1, FESTIVOS!A$1:A$55), "")</f>
        <v>-35</v>
      </c>
      <c r="L567" s="9">
        <f>IF(AND(F567&lt;&gt;"", J567&lt;&gt;""), WORKDAY(F567, J567, FESTIVOS!A$1:A$55), "")</f>
        <v>46140</v>
      </c>
      <c r="M567" s="4" t="s">
        <v>21</v>
      </c>
      <c r="N567" s="4">
        <f t="shared" ca="1" si="32"/>
        <v>0</v>
      </c>
      <c r="O567" s="4" t="str">
        <f t="shared" ca="1" si="33"/>
        <v>Vencido</v>
      </c>
      <c r="P567" s="4" t="s">
        <v>1026</v>
      </c>
      <c r="Q567" s="4" t="b">
        <v>0</v>
      </c>
      <c r="R567" s="12" t="e">
        <f>IF(OR(Q567="", L567=""), "", NETWORKDAYS(L567, Q567,#REF!))</f>
        <v>#VALUE!</v>
      </c>
    </row>
    <row r="568" spans="1:18" x14ac:dyDescent="0.25">
      <c r="A568" s="8" t="s">
        <v>16</v>
      </c>
      <c r="B568" s="7" t="s">
        <v>17</v>
      </c>
      <c r="C568" s="4" t="s">
        <v>84</v>
      </c>
      <c r="D568" s="4" t="s">
        <v>102</v>
      </c>
      <c r="E568" s="4">
        <v>567</v>
      </c>
      <c r="F568" s="9">
        <v>46119</v>
      </c>
      <c r="G568" s="9" t="b">
        <v>0</v>
      </c>
      <c r="H568" s="4" t="b">
        <v>0</v>
      </c>
      <c r="I568" s="28" t="s">
        <v>20</v>
      </c>
      <c r="J568" s="4">
        <f t="shared" si="31"/>
        <v>15</v>
      </c>
      <c r="K568" s="4">
        <f ca="1">IF(AND(F568&lt;&gt;"", L568&lt;&gt;""), NETWORKDAYS(TODAY(), L568-1, FESTIVOS!A$1:A$55), "")</f>
        <v>-35</v>
      </c>
      <c r="L568" s="9">
        <f>IF(AND(F568&lt;&gt;"", J568&lt;&gt;""), WORKDAY(F568, J568, FESTIVOS!A$1:A$55), "")</f>
        <v>46140</v>
      </c>
      <c r="M568" s="4" t="s">
        <v>21</v>
      </c>
      <c r="N568" s="4">
        <f t="shared" ca="1" si="32"/>
        <v>0</v>
      </c>
      <c r="O568" s="4" t="str">
        <f t="shared" ca="1" si="33"/>
        <v>Vencido</v>
      </c>
      <c r="P568" s="4" t="s">
        <v>1027</v>
      </c>
      <c r="Q568" s="9">
        <v>46128</v>
      </c>
      <c r="R568" s="12" t="e">
        <f>IF(OR(Q568="", L568=""), "", NETWORKDAYS(L568, Q568,#REF!))</f>
        <v>#REF!</v>
      </c>
    </row>
    <row r="569" spans="1:18" x14ac:dyDescent="0.25">
      <c r="A569" s="8" t="s">
        <v>16</v>
      </c>
      <c r="B569" s="7" t="s">
        <v>1022</v>
      </c>
      <c r="C569" s="4" t="s">
        <v>25</v>
      </c>
      <c r="D569" s="4" t="s">
        <v>39</v>
      </c>
      <c r="E569" s="4">
        <v>568</v>
      </c>
      <c r="F569" s="9">
        <v>46120</v>
      </c>
      <c r="G569" s="9" t="b">
        <v>0</v>
      </c>
      <c r="H569" s="4" t="b">
        <v>0</v>
      </c>
      <c r="I569" s="28" t="s">
        <v>20</v>
      </c>
      <c r="J569" s="4">
        <f t="shared" si="31"/>
        <v>15</v>
      </c>
      <c r="K569" s="4">
        <f ca="1">IF(AND(F569&lt;&gt;"", L569&lt;&gt;""), NETWORKDAYS(TODAY(), L569-1, FESTIVOS!A$1:A$55), "")</f>
        <v>-34</v>
      </c>
      <c r="L569" s="9">
        <f>IF(AND(F569&lt;&gt;"", J569&lt;&gt;""), WORKDAY(F569, J569, FESTIVOS!A$1:A$55), "")</f>
        <v>46141</v>
      </c>
      <c r="M569" s="4" t="s">
        <v>21</v>
      </c>
      <c r="N569" s="4">
        <f t="shared" ca="1" si="32"/>
        <v>0</v>
      </c>
      <c r="O569" s="4" t="str">
        <f t="shared" ca="1" si="33"/>
        <v>Vencido</v>
      </c>
      <c r="P569" s="4" t="s">
        <v>1028</v>
      </c>
      <c r="Q569" s="4" t="b">
        <v>0</v>
      </c>
      <c r="R569" s="12" t="e">
        <f>IF(OR(Q569="", L569=""), "", NETWORKDAYS(L569, Q569,#REF!))</f>
        <v>#VALUE!</v>
      </c>
    </row>
    <row r="570" spans="1:18" x14ac:dyDescent="0.25">
      <c r="A570" s="8" t="s">
        <v>16</v>
      </c>
      <c r="B570" s="7" t="s">
        <v>1029</v>
      </c>
      <c r="C570" s="4" t="s">
        <v>25</v>
      </c>
      <c r="D570" s="4" t="s">
        <v>1030</v>
      </c>
      <c r="E570" s="4">
        <v>569</v>
      </c>
      <c r="F570" s="9">
        <v>46120</v>
      </c>
      <c r="G570" s="9" t="b">
        <v>0</v>
      </c>
      <c r="H570" s="4" t="b">
        <v>0</v>
      </c>
      <c r="I570" s="28" t="s">
        <v>66</v>
      </c>
      <c r="J570" s="4">
        <f t="shared" si="31"/>
        <v>15</v>
      </c>
      <c r="K570" s="4">
        <f ca="1">IF(AND(F570&lt;&gt;"", L570&lt;&gt;""), NETWORKDAYS(TODAY(), L570-1, FESTIVOS!A$1:A$55), "")</f>
        <v>-34</v>
      </c>
      <c r="L570" s="9">
        <f>IF(AND(F570&lt;&gt;"", J570&lt;&gt;""), WORKDAY(F570, J570, FESTIVOS!A$1:A$55), "")</f>
        <v>46141</v>
      </c>
      <c r="M570" s="4" t="s">
        <v>21</v>
      </c>
      <c r="N570" s="4">
        <f t="shared" ca="1" si="32"/>
        <v>0</v>
      </c>
      <c r="O570" s="4" t="str">
        <f t="shared" ca="1" si="33"/>
        <v>Vencido</v>
      </c>
      <c r="P570" s="4" t="s">
        <v>1031</v>
      </c>
      <c r="Q570" s="9">
        <v>46121</v>
      </c>
      <c r="R570" s="12" t="e">
        <f>IF(OR(Q570="", L570=""), "", NETWORKDAYS(L570, Q570,#REF!))</f>
        <v>#REF!</v>
      </c>
    </row>
    <row r="571" spans="1:18" x14ac:dyDescent="0.25">
      <c r="A571" s="8" t="s">
        <v>16</v>
      </c>
      <c r="B571" s="7" t="s">
        <v>1032</v>
      </c>
      <c r="C571" s="4" t="s">
        <v>25</v>
      </c>
      <c r="D571" s="4" t="s">
        <v>1016</v>
      </c>
      <c r="E571" s="4">
        <v>570</v>
      </c>
      <c r="F571" s="9">
        <v>46120</v>
      </c>
      <c r="G571" s="9" t="b">
        <v>0</v>
      </c>
      <c r="H571" s="4" t="b">
        <v>0</v>
      </c>
      <c r="I571" s="28" t="s">
        <v>20</v>
      </c>
      <c r="J571" s="4">
        <f t="shared" si="31"/>
        <v>15</v>
      </c>
      <c r="K571" s="4">
        <f ca="1">IF(AND(F571&lt;&gt;"", L571&lt;&gt;""), NETWORKDAYS(TODAY(), L571-1, FESTIVOS!A$1:A$55), "")</f>
        <v>-34</v>
      </c>
      <c r="L571" s="9">
        <f>IF(AND(F571&lt;&gt;"", J571&lt;&gt;""), WORKDAY(F571, J571, FESTIVOS!A$1:A$55), "")</f>
        <v>46141</v>
      </c>
      <c r="M571" s="4" t="s">
        <v>21</v>
      </c>
      <c r="N571" s="4">
        <f t="shared" ca="1" si="32"/>
        <v>0</v>
      </c>
      <c r="O571" s="4" t="str">
        <f t="shared" ca="1" si="33"/>
        <v>Vencido</v>
      </c>
      <c r="P571" s="4" t="s">
        <v>1033</v>
      </c>
      <c r="Q571" s="9">
        <v>46135</v>
      </c>
      <c r="R571" s="12" t="e">
        <f>IF(OR(Q571="", L571=""), "", NETWORKDAYS(L571, Q571,#REF!))</f>
        <v>#REF!</v>
      </c>
    </row>
    <row r="572" spans="1:18" x14ac:dyDescent="0.25">
      <c r="A572" s="8" t="s">
        <v>636</v>
      </c>
      <c r="B572" s="7" t="s">
        <v>1034</v>
      </c>
      <c r="C572" s="4" t="s">
        <v>25</v>
      </c>
      <c r="D572" s="4" t="s">
        <v>943</v>
      </c>
      <c r="E572" s="4">
        <v>571</v>
      </c>
      <c r="F572" s="9">
        <v>46120</v>
      </c>
      <c r="G572" s="9" t="b">
        <v>0</v>
      </c>
      <c r="H572" s="4" t="b">
        <v>0</v>
      </c>
      <c r="I572" s="28" t="s">
        <v>44</v>
      </c>
      <c r="J572" s="4">
        <f t="shared" si="31"/>
        <v>10</v>
      </c>
      <c r="K572" s="4">
        <f ca="1">IF(AND(F572&lt;&gt;"", L572&lt;&gt;""), NETWORKDAYS(TODAY(), L572-1, FESTIVOS!A$1:A$55), "")</f>
        <v>-39</v>
      </c>
      <c r="L572" s="9">
        <f>IF(AND(F572&lt;&gt;"", J572&lt;&gt;""), WORKDAY(F572, J572, FESTIVOS!A$1:A$55), "")</f>
        <v>46134</v>
      </c>
      <c r="M572" s="4" t="s">
        <v>21</v>
      </c>
      <c r="N572" s="4">
        <f t="shared" ca="1" si="32"/>
        <v>0</v>
      </c>
      <c r="O572" s="4" t="str">
        <f t="shared" ca="1" si="33"/>
        <v>Vencido</v>
      </c>
      <c r="P572" s="23" t="s">
        <v>1035</v>
      </c>
      <c r="Q572" s="9">
        <v>46133</v>
      </c>
      <c r="R572" s="12" t="e">
        <f>IF(OR(Q572="", L572=""), "", NETWORKDAYS(L572, Q572,#REF!))</f>
        <v>#REF!</v>
      </c>
    </row>
    <row r="573" spans="1:18" x14ac:dyDescent="0.25">
      <c r="A573" s="8" t="s">
        <v>16</v>
      </c>
      <c r="B573" s="7" t="s">
        <v>1036</v>
      </c>
      <c r="C573" s="4" t="s">
        <v>25</v>
      </c>
      <c r="D573" s="4" t="s">
        <v>39</v>
      </c>
      <c r="E573" s="4">
        <v>572</v>
      </c>
      <c r="F573" s="9">
        <v>46120</v>
      </c>
      <c r="G573" s="9" t="b">
        <v>0</v>
      </c>
      <c r="H573" s="4" t="b">
        <v>0</v>
      </c>
      <c r="I573" s="28" t="s">
        <v>20</v>
      </c>
      <c r="J573" s="4">
        <f t="shared" si="31"/>
        <v>15</v>
      </c>
      <c r="K573" s="4">
        <f ca="1">IF(AND(F573&lt;&gt;"", L573&lt;&gt;""), NETWORKDAYS(TODAY(), L573-1, FESTIVOS!A$1:A$55), "")</f>
        <v>-34</v>
      </c>
      <c r="L573" s="9">
        <f>IF(AND(F573&lt;&gt;"", J573&lt;&gt;""), WORKDAY(F573, J573, FESTIVOS!A$1:A$55), "")</f>
        <v>46141</v>
      </c>
      <c r="M573" s="4" t="s">
        <v>21</v>
      </c>
      <c r="N573" s="4">
        <f t="shared" ca="1" si="32"/>
        <v>0</v>
      </c>
      <c r="O573" s="4" t="str">
        <f t="shared" ca="1" si="33"/>
        <v>Vencido</v>
      </c>
      <c r="P573" s="4" t="s">
        <v>1037</v>
      </c>
      <c r="Q573" s="9">
        <v>46141</v>
      </c>
      <c r="R573" s="12" t="e">
        <f>IF(OR(Q573="", L573=""), "", NETWORKDAYS(L573, Q573,#REF!))</f>
        <v>#REF!</v>
      </c>
    </row>
    <row r="574" spans="1:18" x14ac:dyDescent="0.25">
      <c r="A574" s="8" t="s">
        <v>16</v>
      </c>
      <c r="B574" s="7" t="s">
        <v>1038</v>
      </c>
      <c r="C574" s="4" t="s">
        <v>25</v>
      </c>
      <c r="D574" s="4" t="s">
        <v>1039</v>
      </c>
      <c r="E574" s="4">
        <v>573</v>
      </c>
      <c r="F574" s="9">
        <v>46120</v>
      </c>
      <c r="G574" s="9" t="b">
        <v>0</v>
      </c>
      <c r="H574" s="4" t="b">
        <v>0</v>
      </c>
      <c r="I574" s="28" t="s">
        <v>20</v>
      </c>
      <c r="J574" s="4">
        <f t="shared" si="31"/>
        <v>15</v>
      </c>
      <c r="K574" s="4">
        <f ca="1">IF(AND(F574&lt;&gt;"", L574&lt;&gt;""), NETWORKDAYS(TODAY(), L574-1, FESTIVOS!A$1:A$55), "")</f>
        <v>-34</v>
      </c>
      <c r="L574" s="9">
        <f>IF(AND(F574&lt;&gt;"", J574&lt;&gt;""), WORKDAY(F574, J574, FESTIVOS!A$1:A$55), "")</f>
        <v>46141</v>
      </c>
      <c r="M574" s="4" t="s">
        <v>21</v>
      </c>
      <c r="N574" s="4">
        <f t="shared" ca="1" si="32"/>
        <v>0</v>
      </c>
      <c r="O574" s="4" t="str">
        <f t="shared" ca="1" si="33"/>
        <v>Vencido</v>
      </c>
      <c r="P574" s="4" t="s">
        <v>1040</v>
      </c>
      <c r="Q574" s="9">
        <v>46128</v>
      </c>
      <c r="R574" s="12" t="e">
        <f>IF(OR(Q574="", L574=""), "", NETWORKDAYS(L574, Q574,#REF!))</f>
        <v>#REF!</v>
      </c>
    </row>
    <row r="575" spans="1:18" x14ac:dyDescent="0.25">
      <c r="A575" s="8" t="s">
        <v>16</v>
      </c>
      <c r="B575" s="7" t="s">
        <v>1041</v>
      </c>
      <c r="C575" s="4" t="s">
        <v>186</v>
      </c>
      <c r="D575" s="4" t="s">
        <v>1042</v>
      </c>
      <c r="E575" s="4">
        <v>574</v>
      </c>
      <c r="F575" s="9">
        <v>46121</v>
      </c>
      <c r="G575" s="9" t="b">
        <v>0</v>
      </c>
      <c r="H575" s="4" t="b">
        <v>0</v>
      </c>
      <c r="I575" s="28" t="s">
        <v>20</v>
      </c>
      <c r="J575" s="4">
        <f t="shared" si="31"/>
        <v>15</v>
      </c>
      <c r="K575" s="4">
        <f ca="1">IF(AND(F575&lt;&gt;"", L575&lt;&gt;""), NETWORKDAYS(TODAY(), L575-1, FESTIVOS!A$1:A$55), "")</f>
        <v>-33</v>
      </c>
      <c r="L575" s="9">
        <f>IF(AND(F575&lt;&gt;"", J575&lt;&gt;""), WORKDAY(F575, J575, FESTIVOS!A$1:A$55), "")</f>
        <v>46142</v>
      </c>
      <c r="M575" s="4" t="s">
        <v>21</v>
      </c>
      <c r="N575" s="4">
        <f t="shared" ca="1" si="32"/>
        <v>0</v>
      </c>
      <c r="O575" s="4" t="str">
        <f t="shared" ca="1" si="33"/>
        <v>Vencido</v>
      </c>
      <c r="P575" s="4" t="s">
        <v>37</v>
      </c>
      <c r="Q575" s="4" t="b">
        <v>0</v>
      </c>
      <c r="R575" s="12" t="e">
        <f>IF(OR(Q575="", L575=""), "", NETWORKDAYS(L575, Q575,#REF!))</f>
        <v>#VALUE!</v>
      </c>
    </row>
    <row r="576" spans="1:18" x14ac:dyDescent="0.25">
      <c r="A576" s="8" t="s">
        <v>16</v>
      </c>
      <c r="B576" s="7" t="s">
        <v>1043</v>
      </c>
      <c r="C576" s="4" t="s">
        <v>25</v>
      </c>
      <c r="D576" s="4" t="s">
        <v>1000</v>
      </c>
      <c r="E576" s="4">
        <v>575</v>
      </c>
      <c r="F576" s="9">
        <v>46121</v>
      </c>
      <c r="G576" s="9" t="b">
        <v>0</v>
      </c>
      <c r="H576" s="4" t="b">
        <v>0</v>
      </c>
      <c r="I576" s="28" t="s">
        <v>44</v>
      </c>
      <c r="J576" s="4">
        <f t="shared" si="31"/>
        <v>15</v>
      </c>
      <c r="K576" s="4">
        <f ca="1">IF(AND(F576&lt;&gt;"", L576&lt;&gt;""), NETWORKDAYS(TODAY(), L576-1, FESTIVOS!A$1:A$55), "")</f>
        <v>-33</v>
      </c>
      <c r="L576" s="9">
        <f>IF(AND(F576&lt;&gt;"", J576&lt;&gt;""), WORKDAY(F576, J576, FESTIVOS!A$1:A$55), "")</f>
        <v>46142</v>
      </c>
      <c r="M576" s="4" t="s">
        <v>21</v>
      </c>
      <c r="N576" s="4">
        <f t="shared" ca="1" si="32"/>
        <v>0</v>
      </c>
      <c r="O576" s="4" t="str">
        <f t="shared" ca="1" si="33"/>
        <v>Vencido</v>
      </c>
      <c r="P576" s="4" t="s">
        <v>1044</v>
      </c>
      <c r="Q576" s="9">
        <v>46133</v>
      </c>
      <c r="R576" s="12" t="e">
        <f>IF(OR(Q576="", L576=""), "", NETWORKDAYS(L576, Q576,#REF!))</f>
        <v>#REF!</v>
      </c>
    </row>
    <row r="577" spans="1:18" x14ac:dyDescent="0.25">
      <c r="A577" s="8" t="s">
        <v>16</v>
      </c>
      <c r="B577" s="7" t="s">
        <v>1045</v>
      </c>
      <c r="C577" s="4" t="s">
        <v>25</v>
      </c>
      <c r="D577" s="4" t="s">
        <v>1046</v>
      </c>
      <c r="E577" s="4">
        <v>576</v>
      </c>
      <c r="F577" s="9">
        <v>46121</v>
      </c>
      <c r="G577" s="9" t="b">
        <v>0</v>
      </c>
      <c r="H577" s="4" t="b">
        <v>0</v>
      </c>
      <c r="I577" s="28" t="s">
        <v>20</v>
      </c>
      <c r="J577" s="4">
        <f t="shared" si="31"/>
        <v>15</v>
      </c>
      <c r="K577" s="4">
        <f ca="1">IF(AND(F577&lt;&gt;"", L577&lt;&gt;""), NETWORKDAYS(TODAY(), L577-1, FESTIVOS!A$1:A$55), "")</f>
        <v>-33</v>
      </c>
      <c r="L577" s="9">
        <f>IF(AND(F577&lt;&gt;"", J577&lt;&gt;""), WORKDAY(F577, J577, FESTIVOS!A$1:A$55), "")</f>
        <v>46142</v>
      </c>
      <c r="M577" s="4" t="s">
        <v>21</v>
      </c>
      <c r="N577" s="4">
        <f t="shared" ca="1" si="32"/>
        <v>0</v>
      </c>
      <c r="O577" s="4" t="str">
        <f t="shared" ca="1" si="33"/>
        <v>Vencido</v>
      </c>
      <c r="P577" s="4" t="s">
        <v>1047</v>
      </c>
      <c r="Q577" s="9">
        <v>46140</v>
      </c>
      <c r="R577" s="12" t="e">
        <f>IF(OR(Q577="", L577=""), "", NETWORKDAYS(L577, Q577,#REF!))</f>
        <v>#REF!</v>
      </c>
    </row>
    <row r="578" spans="1:18" x14ac:dyDescent="0.25">
      <c r="A578" s="8" t="s">
        <v>16</v>
      </c>
      <c r="B578" s="7" t="s">
        <v>68</v>
      </c>
      <c r="C578" s="4" t="s">
        <v>186</v>
      </c>
      <c r="D578" s="4" t="s">
        <v>1048</v>
      </c>
      <c r="E578" s="4">
        <v>577</v>
      </c>
      <c r="F578" s="9">
        <v>46121</v>
      </c>
      <c r="G578" s="9" t="b">
        <v>0</v>
      </c>
      <c r="H578" s="4" t="b">
        <v>0</v>
      </c>
      <c r="I578" s="28" t="s">
        <v>20</v>
      </c>
      <c r="J578" s="4">
        <f t="shared" si="31"/>
        <v>15</v>
      </c>
      <c r="K578" s="4">
        <f ca="1">IF(AND(F578&lt;&gt;"", L578&lt;&gt;""), NETWORKDAYS(TODAY(), L578-1, FESTIVOS!A$1:A$55), "")</f>
        <v>-33</v>
      </c>
      <c r="L578" s="9">
        <f>IF(AND(F578&lt;&gt;"", J578&lt;&gt;""), WORKDAY(F578, J578, FESTIVOS!A$1:A$55), "")</f>
        <v>46142</v>
      </c>
      <c r="M578" s="4" t="s">
        <v>21</v>
      </c>
      <c r="N578" s="4">
        <f t="shared" ca="1" si="32"/>
        <v>0</v>
      </c>
      <c r="O578" s="4" t="str">
        <f t="shared" ca="1" si="33"/>
        <v>Vencido</v>
      </c>
      <c r="P578" s="4" t="s">
        <v>37</v>
      </c>
      <c r="Q578" s="4" t="b">
        <v>0</v>
      </c>
      <c r="R578" s="12" t="e">
        <f>IF(OR(Q578="", L578=""), "", NETWORKDAYS(L578, Q578,#REF!))</f>
        <v>#VALUE!</v>
      </c>
    </row>
    <row r="579" spans="1:18" x14ac:dyDescent="0.25">
      <c r="A579" s="8" t="s">
        <v>16</v>
      </c>
      <c r="B579" s="7" t="s">
        <v>979</v>
      </c>
      <c r="C579" s="4" t="s">
        <v>25</v>
      </c>
      <c r="D579" s="4" t="s">
        <v>1049</v>
      </c>
      <c r="E579" s="4">
        <v>578</v>
      </c>
      <c r="F579" s="9">
        <v>46121</v>
      </c>
      <c r="G579" s="9" t="b">
        <v>0</v>
      </c>
      <c r="H579" s="4" t="b">
        <v>0</v>
      </c>
      <c r="I579" s="28" t="s">
        <v>20</v>
      </c>
      <c r="J579" s="4">
        <f t="shared" si="31"/>
        <v>15</v>
      </c>
      <c r="K579" s="4">
        <f ca="1">IF(AND(F579&lt;&gt;"", L579&lt;&gt;""), NETWORKDAYS(TODAY(), L579-1, FESTIVOS!A$1:A$55), "")</f>
        <v>-33</v>
      </c>
      <c r="L579" s="9">
        <f>IF(AND(F579&lt;&gt;"", J579&lt;&gt;""), WORKDAY(F579, J579, FESTIVOS!A$1:A$55), "")</f>
        <v>46142</v>
      </c>
      <c r="M579" s="4" t="s">
        <v>21</v>
      </c>
      <c r="N579" s="4">
        <f t="shared" ca="1" si="32"/>
        <v>0</v>
      </c>
      <c r="O579" s="4" t="str">
        <f t="shared" ca="1" si="33"/>
        <v>Vencido</v>
      </c>
      <c r="P579" s="4" t="s">
        <v>1050</v>
      </c>
      <c r="Q579" s="9">
        <v>46140</v>
      </c>
      <c r="R579" s="12" t="e">
        <f>IF(OR(Q579="", L579=""), "", NETWORKDAYS(L579, Q579,#REF!))</f>
        <v>#REF!</v>
      </c>
    </row>
    <row r="580" spans="1:18" x14ac:dyDescent="0.25">
      <c r="A580" s="8" t="s">
        <v>16</v>
      </c>
      <c r="B580" s="7" t="s">
        <v>1051</v>
      </c>
      <c r="C580" s="4" t="s">
        <v>186</v>
      </c>
      <c r="D580" s="4" t="s">
        <v>1052</v>
      </c>
      <c r="E580" s="4">
        <v>579</v>
      </c>
      <c r="F580" s="9">
        <v>46121</v>
      </c>
      <c r="G580" s="9" t="b">
        <v>0</v>
      </c>
      <c r="H580" s="4" t="b">
        <v>0</v>
      </c>
      <c r="I580" s="28" t="s">
        <v>20</v>
      </c>
      <c r="J580" s="4">
        <f t="shared" si="31"/>
        <v>15</v>
      </c>
      <c r="K580" s="4">
        <f ca="1">IF(AND(F580&lt;&gt;"", L580&lt;&gt;""), NETWORKDAYS(TODAY(), L580-1, FESTIVOS!A$1:A$55), "")</f>
        <v>-33</v>
      </c>
      <c r="L580" s="9">
        <f>IF(AND(F580&lt;&gt;"", J580&lt;&gt;""), WORKDAY(F580, J580, FESTIVOS!A$1:A$55), "")</f>
        <v>46142</v>
      </c>
      <c r="M580" s="4" t="s">
        <v>21</v>
      </c>
      <c r="N580" s="4">
        <f t="shared" ca="1" si="32"/>
        <v>0</v>
      </c>
      <c r="O580" s="4" t="str">
        <f t="shared" ca="1" si="33"/>
        <v>Vencido</v>
      </c>
      <c r="P580" s="4" t="s">
        <v>1053</v>
      </c>
      <c r="Q580" s="9">
        <v>46134</v>
      </c>
      <c r="R580" s="12" t="e">
        <f>IF(OR(Q580="", L580=""), "", NETWORKDAYS(L580, Q580,#REF!))</f>
        <v>#REF!</v>
      </c>
    </row>
    <row r="581" spans="1:18" x14ac:dyDescent="0.25">
      <c r="A581" s="8" t="s">
        <v>16</v>
      </c>
      <c r="B581" s="7" t="s">
        <v>1054</v>
      </c>
      <c r="C581" s="4" t="s">
        <v>25</v>
      </c>
      <c r="D581" s="4" t="s">
        <v>1055</v>
      </c>
      <c r="E581" s="4">
        <v>580</v>
      </c>
      <c r="F581" s="9">
        <v>46122</v>
      </c>
      <c r="G581" s="9" t="b">
        <v>0</v>
      </c>
      <c r="H581" s="4" t="b">
        <v>0</v>
      </c>
      <c r="I581" s="28" t="s">
        <v>20</v>
      </c>
      <c r="J581" s="4">
        <f t="shared" si="31"/>
        <v>15</v>
      </c>
      <c r="K581" s="4">
        <f ca="1">IF(AND(F581&lt;&gt;"", L581&lt;&gt;""), NETWORKDAYS(TODAY(), L581-1, FESTIVOS!A$1:A$55), "")</f>
        <v>-31</v>
      </c>
      <c r="L581" s="9">
        <f>IF(AND(F581&lt;&gt;"", J581&lt;&gt;""), WORKDAY(F581, J581, FESTIVOS!A$1:A$55), "")</f>
        <v>46146</v>
      </c>
      <c r="M581" s="4" t="s">
        <v>21</v>
      </c>
      <c r="N581" s="4">
        <f t="shared" ca="1" si="32"/>
        <v>0</v>
      </c>
      <c r="O581" s="4" t="str">
        <f t="shared" ca="1" si="33"/>
        <v>Vencido</v>
      </c>
      <c r="P581" s="4" t="s">
        <v>1056</v>
      </c>
      <c r="Q581" s="9">
        <v>46141</v>
      </c>
      <c r="R581" s="12" t="e">
        <f>IF(OR(Q581="", L581=""), "", NETWORKDAYS(L581, Q581,#REF!))</f>
        <v>#REF!</v>
      </c>
    </row>
    <row r="582" spans="1:18" x14ac:dyDescent="0.25">
      <c r="A582" s="8" t="s">
        <v>16</v>
      </c>
      <c r="B582" s="7" t="s">
        <v>68</v>
      </c>
      <c r="C582" s="4" t="s">
        <v>186</v>
      </c>
      <c r="D582" s="4" t="s">
        <v>1057</v>
      </c>
      <c r="E582" s="4">
        <v>581</v>
      </c>
      <c r="F582" s="9">
        <v>46122</v>
      </c>
      <c r="G582" s="9" t="b">
        <v>0</v>
      </c>
      <c r="H582" s="4" t="b">
        <v>0</v>
      </c>
      <c r="I582" s="28" t="s">
        <v>20</v>
      </c>
      <c r="J582" s="4">
        <f t="shared" si="31"/>
        <v>15</v>
      </c>
      <c r="K582" s="4">
        <f ca="1">IF(AND(F582&lt;&gt;"", L582&lt;&gt;""), NETWORKDAYS(TODAY(), L582-1, FESTIVOS!A$1:A$55), "")</f>
        <v>-31</v>
      </c>
      <c r="L582" s="9">
        <f>IF(AND(F582&lt;&gt;"", J582&lt;&gt;""), WORKDAY(F582, J582, FESTIVOS!A$1:A$55), "")</f>
        <v>46146</v>
      </c>
      <c r="M582" s="4" t="s">
        <v>21</v>
      </c>
      <c r="N582" s="4">
        <f t="shared" ca="1" si="32"/>
        <v>0</v>
      </c>
      <c r="O582" s="4" t="str">
        <f t="shared" ca="1" si="33"/>
        <v>Vencido</v>
      </c>
      <c r="P582" s="4" t="s">
        <v>37</v>
      </c>
      <c r="Q582" s="4" t="b">
        <v>0</v>
      </c>
      <c r="R582" s="12" t="e">
        <f>IF(OR(Q582="", L582=""), "", NETWORKDAYS(L582, Q582,#REF!))</f>
        <v>#VALUE!</v>
      </c>
    </row>
    <row r="583" spans="1:18" x14ac:dyDescent="0.25">
      <c r="A583" s="8" t="s">
        <v>16</v>
      </c>
      <c r="B583" s="7" t="s">
        <v>1058</v>
      </c>
      <c r="C583" s="4" t="s">
        <v>25</v>
      </c>
      <c r="D583" s="4" t="s">
        <v>61</v>
      </c>
      <c r="E583" s="4">
        <v>582</v>
      </c>
      <c r="F583" s="9">
        <v>46122</v>
      </c>
      <c r="G583" s="9" t="b">
        <v>0</v>
      </c>
      <c r="H583" s="4" t="b">
        <v>0</v>
      </c>
      <c r="I583" s="28" t="s">
        <v>20</v>
      </c>
      <c r="J583" s="4">
        <f t="shared" si="31"/>
        <v>15</v>
      </c>
      <c r="K583" s="4">
        <f ca="1">IF(AND(F583&lt;&gt;"", L583&lt;&gt;""), NETWORKDAYS(TODAY(), L583-1, FESTIVOS!A$1:A$55), "")</f>
        <v>-31</v>
      </c>
      <c r="L583" s="9">
        <f>IF(AND(F583&lt;&gt;"", J583&lt;&gt;""), WORKDAY(F583, J583, FESTIVOS!A$1:A$55), "")</f>
        <v>46146</v>
      </c>
      <c r="M583" s="4" t="s">
        <v>21</v>
      </c>
      <c r="N583" s="4">
        <f t="shared" ca="1" si="32"/>
        <v>0</v>
      </c>
      <c r="O583" s="4" t="str">
        <f t="shared" ca="1" si="33"/>
        <v>Vencido</v>
      </c>
      <c r="P583" s="4" t="s">
        <v>1059</v>
      </c>
      <c r="Q583" s="9">
        <v>46126</v>
      </c>
      <c r="R583" s="12" t="e">
        <f>IF(OR(Q583="", L583=""), "", NETWORKDAYS(L583, Q583,#REF!))</f>
        <v>#REF!</v>
      </c>
    </row>
    <row r="584" spans="1:18" x14ac:dyDescent="0.25">
      <c r="A584" s="8" t="s">
        <v>16</v>
      </c>
      <c r="B584" s="7" t="s">
        <v>17</v>
      </c>
      <c r="C584" s="4" t="s">
        <v>84</v>
      </c>
      <c r="D584" s="4" t="s">
        <v>102</v>
      </c>
      <c r="E584" s="4">
        <v>583</v>
      </c>
      <c r="F584" s="9">
        <v>46122</v>
      </c>
      <c r="G584" s="9" t="b">
        <v>0</v>
      </c>
      <c r="H584" s="4" t="b">
        <v>0</v>
      </c>
      <c r="I584" s="28" t="s">
        <v>20</v>
      </c>
      <c r="J584" s="4">
        <f t="shared" si="31"/>
        <v>15</v>
      </c>
      <c r="K584" s="4">
        <f ca="1">IF(AND(F584&lt;&gt;"", L584&lt;&gt;""), NETWORKDAYS(TODAY(), L584-1, FESTIVOS!A$1:A$55), "")</f>
        <v>-31</v>
      </c>
      <c r="L584" s="9">
        <f>IF(AND(F584&lt;&gt;"", J584&lt;&gt;""), WORKDAY(F584, J584, FESTIVOS!A$1:A$55), "")</f>
        <v>46146</v>
      </c>
      <c r="M584" s="4" t="s">
        <v>21</v>
      </c>
      <c r="N584" s="4">
        <f t="shared" ca="1" si="32"/>
        <v>0</v>
      </c>
      <c r="O584" s="4" t="str">
        <f t="shared" ca="1" si="33"/>
        <v>Vencido</v>
      </c>
      <c r="P584" s="4" t="s">
        <v>1060</v>
      </c>
      <c r="Q584" s="9">
        <v>46142</v>
      </c>
      <c r="R584" s="12" t="e">
        <f>IF(OR(Q584="", L584=""), "", NETWORKDAYS(L584, Q584,#REF!))</f>
        <v>#REF!</v>
      </c>
    </row>
    <row r="585" spans="1:18" x14ac:dyDescent="0.25">
      <c r="A585" s="8" t="s">
        <v>16</v>
      </c>
      <c r="B585" s="7" t="s">
        <v>17</v>
      </c>
      <c r="C585" s="4" t="s">
        <v>84</v>
      </c>
      <c r="D585" s="4" t="s">
        <v>102</v>
      </c>
      <c r="E585" s="4">
        <v>584</v>
      </c>
      <c r="F585" s="9">
        <v>46122</v>
      </c>
      <c r="G585" s="9" t="b">
        <v>0</v>
      </c>
      <c r="H585" s="4" t="b">
        <v>0</v>
      </c>
      <c r="I585" s="28" t="s">
        <v>20</v>
      </c>
      <c r="J585" s="4">
        <f t="shared" si="31"/>
        <v>15</v>
      </c>
      <c r="K585" s="4">
        <f ca="1">IF(AND(F585&lt;&gt;"", L585&lt;&gt;""), NETWORKDAYS(TODAY(), L585-1, FESTIVOS!A$1:A$55), "")</f>
        <v>-31</v>
      </c>
      <c r="L585" s="9">
        <f>IF(AND(F585&lt;&gt;"", J585&lt;&gt;""), WORKDAY(F585, J585, FESTIVOS!A$1:A$55), "")</f>
        <v>46146</v>
      </c>
      <c r="M585" s="4" t="s">
        <v>21</v>
      </c>
      <c r="N585" s="4">
        <f t="shared" ca="1" si="32"/>
        <v>0</v>
      </c>
      <c r="O585" s="4" t="str">
        <f t="shared" ca="1" si="33"/>
        <v>Vencido</v>
      </c>
      <c r="P585" s="4" t="s">
        <v>1060</v>
      </c>
      <c r="Q585" s="9">
        <v>46142</v>
      </c>
      <c r="R585" s="12" t="e">
        <f>IF(OR(Q585="", L585=""), "", NETWORKDAYS(L585, Q585,#REF!))</f>
        <v>#REF!</v>
      </c>
    </row>
    <row r="586" spans="1:18" x14ac:dyDescent="0.25">
      <c r="A586" s="8" t="s">
        <v>16</v>
      </c>
      <c r="B586" s="7" t="s">
        <v>17</v>
      </c>
      <c r="C586" s="4" t="s">
        <v>84</v>
      </c>
      <c r="D586" s="4" t="s">
        <v>102</v>
      </c>
      <c r="E586" s="4">
        <v>585</v>
      </c>
      <c r="F586" s="9">
        <v>46122</v>
      </c>
      <c r="G586" s="9" t="b">
        <v>0</v>
      </c>
      <c r="H586" s="4" t="b">
        <v>0</v>
      </c>
      <c r="I586" s="28" t="s">
        <v>20</v>
      </c>
      <c r="J586" s="4">
        <f t="shared" si="31"/>
        <v>15</v>
      </c>
      <c r="K586" s="4">
        <f ca="1">IF(AND(F586&lt;&gt;"", L586&lt;&gt;""), NETWORKDAYS(TODAY(), L586-1, FESTIVOS!A$1:A$55), "")</f>
        <v>-31</v>
      </c>
      <c r="L586" s="9">
        <f>IF(AND(F586&lt;&gt;"", J586&lt;&gt;""), WORKDAY(F586, J586, FESTIVOS!A$1:A$55), "")</f>
        <v>46146</v>
      </c>
      <c r="M586" s="4" t="s">
        <v>21</v>
      </c>
      <c r="N586" s="4">
        <f t="shared" ca="1" si="32"/>
        <v>0</v>
      </c>
      <c r="O586" s="4" t="str">
        <f t="shared" ca="1" si="33"/>
        <v>Vencido</v>
      </c>
      <c r="P586" s="4" t="s">
        <v>1060</v>
      </c>
      <c r="Q586" s="9">
        <v>46142</v>
      </c>
      <c r="R586" s="12" t="e">
        <f>IF(OR(Q586="", L586=""), "", NETWORKDAYS(L586, Q586,#REF!))</f>
        <v>#REF!</v>
      </c>
    </row>
    <row r="587" spans="1:18" x14ac:dyDescent="0.25">
      <c r="A587" s="8" t="s">
        <v>16</v>
      </c>
      <c r="B587" s="7" t="s">
        <v>17</v>
      </c>
      <c r="C587" s="4" t="s">
        <v>84</v>
      </c>
      <c r="D587" s="4" t="s">
        <v>102</v>
      </c>
      <c r="E587" s="4">
        <v>586</v>
      </c>
      <c r="F587" s="9">
        <v>46122</v>
      </c>
      <c r="G587" s="9" t="b">
        <v>0</v>
      </c>
      <c r="H587" s="4" t="b">
        <v>0</v>
      </c>
      <c r="I587" s="28" t="s">
        <v>20</v>
      </c>
      <c r="J587" s="4">
        <f t="shared" si="31"/>
        <v>15</v>
      </c>
      <c r="K587" s="4">
        <f ca="1">IF(AND(F587&lt;&gt;"", L587&lt;&gt;""), NETWORKDAYS(TODAY(), L587-1, FESTIVOS!A$1:A$55), "")</f>
        <v>-31</v>
      </c>
      <c r="L587" s="9">
        <f>IF(AND(F587&lt;&gt;"", J587&lt;&gt;""), WORKDAY(F587, J587, FESTIVOS!A$1:A$55), "")</f>
        <v>46146</v>
      </c>
      <c r="M587" s="4" t="s">
        <v>21</v>
      </c>
      <c r="N587" s="4">
        <f t="shared" ca="1" si="32"/>
        <v>0</v>
      </c>
      <c r="O587" s="4" t="str">
        <f t="shared" ca="1" si="33"/>
        <v>Vencido</v>
      </c>
      <c r="P587" s="4" t="s">
        <v>1060</v>
      </c>
      <c r="Q587" s="9">
        <v>46142</v>
      </c>
      <c r="R587" s="12" t="e">
        <f>IF(OR(Q587="", L587=""), "", NETWORKDAYS(L587, Q587,#REF!))</f>
        <v>#REF!</v>
      </c>
    </row>
    <row r="588" spans="1:18" x14ac:dyDescent="0.25">
      <c r="A588" s="8" t="s">
        <v>16</v>
      </c>
      <c r="B588" s="7" t="s">
        <v>17</v>
      </c>
      <c r="C588" s="4" t="s">
        <v>84</v>
      </c>
      <c r="D588" s="4" t="s">
        <v>102</v>
      </c>
      <c r="E588" s="4">
        <v>587</v>
      </c>
      <c r="F588" s="9">
        <v>46122</v>
      </c>
      <c r="G588" s="9" t="b">
        <v>0</v>
      </c>
      <c r="H588" s="4" t="b">
        <v>0</v>
      </c>
      <c r="I588" s="28" t="s">
        <v>20</v>
      </c>
      <c r="J588" s="4">
        <f t="shared" si="31"/>
        <v>15</v>
      </c>
      <c r="K588" s="4">
        <f ca="1">IF(AND(F588&lt;&gt;"", L588&lt;&gt;""), NETWORKDAYS(TODAY(), L588-1, FESTIVOS!A$1:A$55), "")</f>
        <v>-31</v>
      </c>
      <c r="L588" s="9">
        <f>IF(AND(F588&lt;&gt;"", J588&lt;&gt;""), WORKDAY(F588, J588, FESTIVOS!A$1:A$55), "")</f>
        <v>46146</v>
      </c>
      <c r="M588" s="4" t="s">
        <v>21</v>
      </c>
      <c r="N588" s="4">
        <f t="shared" ca="1" si="32"/>
        <v>0</v>
      </c>
      <c r="O588" s="4" t="str">
        <f t="shared" ca="1" si="33"/>
        <v>Vencido</v>
      </c>
      <c r="P588" s="4" t="s">
        <v>1060</v>
      </c>
      <c r="Q588" s="9">
        <v>46142</v>
      </c>
      <c r="R588" s="12" t="e">
        <f>IF(OR(Q588="", L588=""), "", NETWORKDAYS(L588, Q588,#REF!))</f>
        <v>#REF!</v>
      </c>
    </row>
    <row r="589" spans="1:18" x14ac:dyDescent="0.25">
      <c r="A589" s="8" t="s">
        <v>16</v>
      </c>
      <c r="B589" s="7" t="s">
        <v>17</v>
      </c>
      <c r="C589" s="4" t="s">
        <v>84</v>
      </c>
      <c r="D589" s="4" t="s">
        <v>102</v>
      </c>
      <c r="E589" s="4">
        <v>588</v>
      </c>
      <c r="F589" s="9">
        <v>46122</v>
      </c>
      <c r="G589" s="9" t="b">
        <v>0</v>
      </c>
      <c r="H589" s="4" t="b">
        <v>0</v>
      </c>
      <c r="I589" s="28" t="s">
        <v>20</v>
      </c>
      <c r="J589" s="4">
        <f t="shared" si="31"/>
        <v>15</v>
      </c>
      <c r="K589" s="4">
        <f ca="1">IF(AND(F589&lt;&gt;"", L589&lt;&gt;""), NETWORKDAYS(TODAY(), L589-1, FESTIVOS!A$1:A$55), "")</f>
        <v>-31</v>
      </c>
      <c r="L589" s="9">
        <f>IF(AND(F589&lt;&gt;"", J589&lt;&gt;""), WORKDAY(F589, J589, FESTIVOS!A$1:A$55), "")</f>
        <v>46146</v>
      </c>
      <c r="M589" s="4" t="s">
        <v>21</v>
      </c>
      <c r="N589" s="4">
        <f t="shared" ca="1" si="32"/>
        <v>0</v>
      </c>
      <c r="O589" s="4" t="str">
        <f t="shared" ca="1" si="33"/>
        <v>Vencido</v>
      </c>
      <c r="P589" s="4" t="s">
        <v>1060</v>
      </c>
      <c r="Q589" s="9">
        <v>46142</v>
      </c>
      <c r="R589" s="12" t="e">
        <f>IF(OR(Q589="", L589=""), "", NETWORKDAYS(L589, Q589,#REF!))</f>
        <v>#REF!</v>
      </c>
    </row>
    <row r="590" spans="1:18" x14ac:dyDescent="0.25">
      <c r="A590" s="8" t="s">
        <v>16</v>
      </c>
      <c r="B590" s="7" t="s">
        <v>17</v>
      </c>
      <c r="C590" s="4" t="s">
        <v>84</v>
      </c>
      <c r="D590" s="4" t="s">
        <v>102</v>
      </c>
      <c r="E590" s="4">
        <v>589</v>
      </c>
      <c r="F590" s="9">
        <v>46122</v>
      </c>
      <c r="G590" s="9" t="b">
        <v>0</v>
      </c>
      <c r="H590" s="4" t="b">
        <v>0</v>
      </c>
      <c r="I590" s="28" t="s">
        <v>20</v>
      </c>
      <c r="J590" s="4">
        <f t="shared" si="31"/>
        <v>15</v>
      </c>
      <c r="K590" s="4">
        <f ca="1">IF(AND(F590&lt;&gt;"", L590&lt;&gt;""), NETWORKDAYS(TODAY(), L590-1, FESTIVOS!A$1:A$55), "")</f>
        <v>-31</v>
      </c>
      <c r="L590" s="9">
        <f>IF(AND(F590&lt;&gt;"", J590&lt;&gt;""), WORKDAY(F590, J590, FESTIVOS!A$1:A$55), "")</f>
        <v>46146</v>
      </c>
      <c r="M590" s="4" t="s">
        <v>21</v>
      </c>
      <c r="N590" s="4">
        <f t="shared" ca="1" si="32"/>
        <v>0</v>
      </c>
      <c r="O590" s="4" t="str">
        <f t="shared" ca="1" si="33"/>
        <v>Vencido</v>
      </c>
      <c r="P590" s="4" t="s">
        <v>1060</v>
      </c>
      <c r="Q590" s="9">
        <v>46142</v>
      </c>
      <c r="R590" s="12" t="e">
        <f>IF(OR(Q590="", L590=""), "", NETWORKDAYS(L590, Q590,#REF!))</f>
        <v>#REF!</v>
      </c>
    </row>
    <row r="591" spans="1:18" x14ac:dyDescent="0.25">
      <c r="A591" s="8" t="s">
        <v>16</v>
      </c>
      <c r="B591" s="7" t="s">
        <v>1051</v>
      </c>
      <c r="C591" s="4" t="s">
        <v>186</v>
      </c>
      <c r="D591" s="4" t="s">
        <v>88</v>
      </c>
      <c r="E591" s="4">
        <v>590</v>
      </c>
      <c r="F591" s="9">
        <v>46125</v>
      </c>
      <c r="G591" s="9" t="b">
        <v>0</v>
      </c>
      <c r="H591" s="4" t="b">
        <v>0</v>
      </c>
      <c r="I591" s="28" t="s">
        <v>20</v>
      </c>
      <c r="J591" s="4">
        <f t="shared" si="31"/>
        <v>15</v>
      </c>
      <c r="K591" s="4">
        <f ca="1">IF(AND(F591&lt;&gt;"", L591&lt;&gt;""), NETWORKDAYS(TODAY(), L591-1, FESTIVOS!A$1:A$55), "")</f>
        <v>-31</v>
      </c>
      <c r="L591" s="9">
        <f>IF(AND(F591&lt;&gt;"", J591&lt;&gt;""), WORKDAY(F591, J591, FESTIVOS!A$1:A$55), "")</f>
        <v>46147</v>
      </c>
      <c r="M591" s="4" t="s">
        <v>21</v>
      </c>
      <c r="N591" s="4">
        <f t="shared" ca="1" si="32"/>
        <v>0</v>
      </c>
      <c r="O591" s="4" t="str">
        <f t="shared" ca="1" si="33"/>
        <v>Vencido</v>
      </c>
      <c r="P591" s="4" t="s">
        <v>1061</v>
      </c>
      <c r="Q591" s="9">
        <v>46135</v>
      </c>
      <c r="R591" s="12" t="e">
        <f>IF(OR(Q591="", L591=""), "", NETWORKDAYS(L591, Q591,#REF!))</f>
        <v>#REF!</v>
      </c>
    </row>
    <row r="592" spans="1:18" x14ac:dyDescent="0.25">
      <c r="A592" s="8" t="s">
        <v>16</v>
      </c>
      <c r="B592" s="7" t="s">
        <v>1062</v>
      </c>
      <c r="C592" s="4" t="s">
        <v>209</v>
      </c>
      <c r="D592" s="4" t="s">
        <v>1063</v>
      </c>
      <c r="E592" s="4">
        <v>591</v>
      </c>
      <c r="F592" s="9">
        <v>46125</v>
      </c>
      <c r="G592" s="9" t="b">
        <v>0</v>
      </c>
      <c r="H592" s="4" t="b">
        <v>0</v>
      </c>
      <c r="I592" s="28" t="s">
        <v>1064</v>
      </c>
      <c r="J592" s="4">
        <f t="shared" si="31"/>
        <v>15</v>
      </c>
      <c r="K592" s="4">
        <f ca="1">IF(AND(F592&lt;&gt;"", L592&lt;&gt;""), NETWORKDAYS(TODAY(), L592-1, FESTIVOS!A$1:A$55), "")</f>
        <v>-31</v>
      </c>
      <c r="L592" s="9">
        <f>IF(AND(F592&lt;&gt;"", J592&lt;&gt;""), WORKDAY(F592, J592, FESTIVOS!A$1:A$55), "")</f>
        <v>46147</v>
      </c>
      <c r="M592" s="4" t="s">
        <v>21</v>
      </c>
      <c r="N592" s="4">
        <f t="shared" ca="1" si="32"/>
        <v>0</v>
      </c>
      <c r="O592" s="4" t="str">
        <f t="shared" ca="1" si="33"/>
        <v>Vencido</v>
      </c>
      <c r="P592" s="4" t="s">
        <v>37</v>
      </c>
      <c r="Q592" s="4" t="b">
        <v>0</v>
      </c>
      <c r="R592" s="12" t="e">
        <f>IF(OR(Q592="", L592=""), "", NETWORKDAYS(L592, Q592,#REF!))</f>
        <v>#VALUE!</v>
      </c>
    </row>
    <row r="593" spans="1:18" x14ac:dyDescent="0.25">
      <c r="A593" s="8" t="s">
        <v>16</v>
      </c>
      <c r="B593" s="7" t="s">
        <v>1062</v>
      </c>
      <c r="C593" s="4" t="s">
        <v>209</v>
      </c>
      <c r="D593" s="4" t="s">
        <v>1063</v>
      </c>
      <c r="E593" s="4">
        <v>592</v>
      </c>
      <c r="F593" s="9">
        <v>46125</v>
      </c>
      <c r="G593" s="9" t="b">
        <v>0</v>
      </c>
      <c r="H593" s="4" t="b">
        <v>0</v>
      </c>
      <c r="I593" s="28" t="s">
        <v>1064</v>
      </c>
      <c r="J593" s="4">
        <f t="shared" si="31"/>
        <v>15</v>
      </c>
      <c r="K593" s="4">
        <f ca="1">IF(AND(F593&lt;&gt;"", L593&lt;&gt;""), NETWORKDAYS(TODAY(), L593-1, FESTIVOS!A$1:A$55), "")</f>
        <v>-31</v>
      </c>
      <c r="L593" s="9">
        <f>IF(AND(F593&lt;&gt;"", J593&lt;&gt;""), WORKDAY(F593, J593, FESTIVOS!A$1:A$55), "")</f>
        <v>46147</v>
      </c>
      <c r="M593" s="4" t="s">
        <v>21</v>
      </c>
      <c r="N593" s="4">
        <f t="shared" ca="1" si="32"/>
        <v>0</v>
      </c>
      <c r="O593" s="4" t="str">
        <f t="shared" ca="1" si="33"/>
        <v>Vencido</v>
      </c>
      <c r="P593" s="4" t="s">
        <v>37</v>
      </c>
      <c r="Q593" s="4" t="b">
        <v>0</v>
      </c>
      <c r="R593" s="12" t="e">
        <f>IF(OR(Q593="", L593=""), "", NETWORKDAYS(L593, Q593,#REF!))</f>
        <v>#VALUE!</v>
      </c>
    </row>
    <row r="594" spans="1:18" x14ac:dyDescent="0.25">
      <c r="A594" s="8" t="s">
        <v>16</v>
      </c>
      <c r="B594" s="7" t="s">
        <v>1062</v>
      </c>
      <c r="C594" s="4" t="s">
        <v>209</v>
      </c>
      <c r="D594" s="4" t="s">
        <v>1063</v>
      </c>
      <c r="E594" s="4">
        <v>593</v>
      </c>
      <c r="F594" s="9">
        <v>46125</v>
      </c>
      <c r="G594" s="9" t="b">
        <v>0</v>
      </c>
      <c r="H594" s="4" t="b">
        <v>0</v>
      </c>
      <c r="I594" s="28" t="s">
        <v>1064</v>
      </c>
      <c r="J594" s="4">
        <f t="shared" si="31"/>
        <v>15</v>
      </c>
      <c r="K594" s="4">
        <f ca="1">IF(AND(F594&lt;&gt;"", L594&lt;&gt;""), NETWORKDAYS(TODAY(), L594-1, FESTIVOS!A$1:A$55), "")</f>
        <v>-31</v>
      </c>
      <c r="L594" s="9">
        <f>IF(AND(F594&lt;&gt;"", J594&lt;&gt;""), WORKDAY(F594, J594, FESTIVOS!A$1:A$55), "")</f>
        <v>46147</v>
      </c>
      <c r="M594" s="4" t="s">
        <v>21</v>
      </c>
      <c r="N594" s="4">
        <f t="shared" ca="1" si="32"/>
        <v>0</v>
      </c>
      <c r="O594" s="4" t="str">
        <f t="shared" ca="1" si="33"/>
        <v>Vencido</v>
      </c>
      <c r="P594" s="4" t="s">
        <v>37</v>
      </c>
      <c r="Q594" s="4" t="b">
        <v>0</v>
      </c>
      <c r="R594" s="12" t="e">
        <f>IF(OR(Q594="", L594=""), "", NETWORKDAYS(L594, Q594,#REF!))</f>
        <v>#VALUE!</v>
      </c>
    </row>
    <row r="595" spans="1:18" x14ac:dyDescent="0.25">
      <c r="A595" s="8" t="s">
        <v>16</v>
      </c>
      <c r="B595" s="7" t="s">
        <v>1062</v>
      </c>
      <c r="C595" s="4" t="s">
        <v>209</v>
      </c>
      <c r="D595" s="4" t="s">
        <v>1063</v>
      </c>
      <c r="E595" s="4">
        <v>594</v>
      </c>
      <c r="F595" s="9">
        <v>46125</v>
      </c>
      <c r="G595" s="9" t="b">
        <v>0</v>
      </c>
      <c r="H595" s="4" t="b">
        <v>0</v>
      </c>
      <c r="I595" s="28" t="s">
        <v>1064</v>
      </c>
      <c r="J595" s="4">
        <f t="shared" si="31"/>
        <v>15</v>
      </c>
      <c r="K595" s="4">
        <f ca="1">IF(AND(F595&lt;&gt;"", L595&lt;&gt;""), NETWORKDAYS(TODAY(), L595-1, FESTIVOS!A$1:A$55), "")</f>
        <v>-31</v>
      </c>
      <c r="L595" s="9">
        <f>IF(AND(F595&lt;&gt;"", J595&lt;&gt;""), WORKDAY(F595, J595, FESTIVOS!A$1:A$55), "")</f>
        <v>46147</v>
      </c>
      <c r="M595" s="4" t="s">
        <v>21</v>
      </c>
      <c r="N595" s="4">
        <f t="shared" ca="1" si="32"/>
        <v>0</v>
      </c>
      <c r="O595" s="4" t="str">
        <f t="shared" ca="1" si="33"/>
        <v>Vencido</v>
      </c>
      <c r="P595" s="4" t="s">
        <v>37</v>
      </c>
      <c r="Q595" s="4" t="b">
        <v>0</v>
      </c>
      <c r="R595" s="12" t="e">
        <f>IF(OR(Q595="", L595=""), "", NETWORKDAYS(L595, Q595,#REF!))</f>
        <v>#VALUE!</v>
      </c>
    </row>
    <row r="596" spans="1:18" x14ac:dyDescent="0.25">
      <c r="A596" s="8" t="s">
        <v>16</v>
      </c>
      <c r="B596" s="7" t="s">
        <v>1062</v>
      </c>
      <c r="C596" s="4" t="s">
        <v>209</v>
      </c>
      <c r="D596" s="4" t="s">
        <v>1063</v>
      </c>
      <c r="E596" s="4">
        <v>595</v>
      </c>
      <c r="F596" s="9">
        <v>46125</v>
      </c>
      <c r="G596" s="9" t="b">
        <v>0</v>
      </c>
      <c r="H596" s="4" t="b">
        <v>0</v>
      </c>
      <c r="I596" s="28" t="s">
        <v>1064</v>
      </c>
      <c r="J596" s="4">
        <f t="shared" si="31"/>
        <v>15</v>
      </c>
      <c r="K596" s="4">
        <f ca="1">IF(AND(F596&lt;&gt;"", L596&lt;&gt;""), NETWORKDAYS(TODAY(), L596-1, FESTIVOS!A$1:A$55), "")</f>
        <v>-31</v>
      </c>
      <c r="L596" s="9">
        <f>IF(AND(F596&lt;&gt;"", J596&lt;&gt;""), WORKDAY(F596, J596, FESTIVOS!A$1:A$55), "")</f>
        <v>46147</v>
      </c>
      <c r="M596" s="4" t="s">
        <v>21</v>
      </c>
      <c r="N596" s="4">
        <f t="shared" ca="1" si="32"/>
        <v>0</v>
      </c>
      <c r="O596" s="4" t="str">
        <f t="shared" ca="1" si="33"/>
        <v>Vencido</v>
      </c>
      <c r="P596" s="4" t="s">
        <v>37</v>
      </c>
      <c r="Q596" s="4" t="b">
        <v>0</v>
      </c>
      <c r="R596" s="12" t="e">
        <f>IF(OR(Q596="", L596=""), "", NETWORKDAYS(L596, Q596,#REF!))</f>
        <v>#VALUE!</v>
      </c>
    </row>
    <row r="597" spans="1:18" x14ac:dyDescent="0.25">
      <c r="A597" s="8" t="s">
        <v>16</v>
      </c>
      <c r="B597" s="7" t="s">
        <v>1062</v>
      </c>
      <c r="C597" s="4" t="s">
        <v>209</v>
      </c>
      <c r="D597" s="4" t="s">
        <v>1063</v>
      </c>
      <c r="E597" s="4">
        <v>596</v>
      </c>
      <c r="F597" s="9">
        <v>46125</v>
      </c>
      <c r="G597" s="9" t="b">
        <v>0</v>
      </c>
      <c r="H597" s="4" t="b">
        <v>0</v>
      </c>
      <c r="I597" s="28" t="s">
        <v>1064</v>
      </c>
      <c r="J597" s="4">
        <f t="shared" si="31"/>
        <v>15</v>
      </c>
      <c r="K597" s="4">
        <f ca="1">IF(AND(F597&lt;&gt;"", L597&lt;&gt;""), NETWORKDAYS(TODAY(), L597-1, FESTIVOS!A$1:A$55), "")</f>
        <v>-31</v>
      </c>
      <c r="L597" s="9">
        <f>IF(AND(F597&lt;&gt;"", J597&lt;&gt;""), WORKDAY(F597, J597, FESTIVOS!A$1:A$55), "")</f>
        <v>46147</v>
      </c>
      <c r="M597" s="4" t="s">
        <v>21</v>
      </c>
      <c r="N597" s="4">
        <f t="shared" ca="1" si="32"/>
        <v>0</v>
      </c>
      <c r="O597" s="4" t="str">
        <f t="shared" ca="1" si="33"/>
        <v>Vencido</v>
      </c>
      <c r="P597" s="4" t="s">
        <v>37</v>
      </c>
      <c r="Q597" s="4" t="b">
        <v>0</v>
      </c>
      <c r="R597" s="12" t="e">
        <f>IF(OR(Q597="", L597=""), "", NETWORKDAYS(L597, Q597,#REF!))</f>
        <v>#VALUE!</v>
      </c>
    </row>
    <row r="598" spans="1:18" x14ac:dyDescent="0.25">
      <c r="A598" s="8" t="s">
        <v>16</v>
      </c>
      <c r="B598" s="7" t="s">
        <v>1062</v>
      </c>
      <c r="C598" s="4" t="s">
        <v>209</v>
      </c>
      <c r="D598" s="4" t="s">
        <v>1063</v>
      </c>
      <c r="E598" s="4">
        <v>597</v>
      </c>
      <c r="F598" s="9">
        <v>46125</v>
      </c>
      <c r="G598" s="9" t="b">
        <v>0</v>
      </c>
      <c r="H598" s="4" t="b">
        <v>0</v>
      </c>
      <c r="I598" s="28" t="s">
        <v>1064</v>
      </c>
      <c r="J598" s="4">
        <f t="shared" si="31"/>
        <v>15</v>
      </c>
      <c r="K598" s="4">
        <f ca="1">IF(AND(F598&lt;&gt;"", L598&lt;&gt;""), NETWORKDAYS(TODAY(), L598-1, FESTIVOS!A$1:A$55), "")</f>
        <v>-31</v>
      </c>
      <c r="L598" s="9">
        <f>IF(AND(F598&lt;&gt;"", J598&lt;&gt;""), WORKDAY(F598, J598, FESTIVOS!A$1:A$55), "")</f>
        <v>46147</v>
      </c>
      <c r="M598" s="4" t="s">
        <v>21</v>
      </c>
      <c r="N598" s="4">
        <f t="shared" ca="1" si="32"/>
        <v>0</v>
      </c>
      <c r="O598" s="4" t="str">
        <f t="shared" ca="1" si="33"/>
        <v>Vencido</v>
      </c>
      <c r="P598" s="4" t="s">
        <v>37</v>
      </c>
      <c r="Q598" s="4" t="b">
        <v>0</v>
      </c>
      <c r="R598" s="12" t="e">
        <f>IF(OR(Q598="", L598=""), "", NETWORKDAYS(L598, Q598,#REF!))</f>
        <v>#VALUE!</v>
      </c>
    </row>
    <row r="599" spans="1:18" x14ac:dyDescent="0.25">
      <c r="A599" s="8" t="s">
        <v>16</v>
      </c>
      <c r="B599" s="7" t="s">
        <v>1062</v>
      </c>
      <c r="C599" s="4" t="s">
        <v>209</v>
      </c>
      <c r="D599" s="4" t="s">
        <v>1063</v>
      </c>
      <c r="E599" s="4">
        <v>598</v>
      </c>
      <c r="F599" s="9">
        <v>46125</v>
      </c>
      <c r="G599" s="9" t="b">
        <v>0</v>
      </c>
      <c r="H599" s="4" t="b">
        <v>0</v>
      </c>
      <c r="I599" s="28" t="s">
        <v>1064</v>
      </c>
      <c r="J599" s="4">
        <f t="shared" si="31"/>
        <v>15</v>
      </c>
      <c r="K599" s="4">
        <f ca="1">IF(AND(F599&lt;&gt;"", L599&lt;&gt;""), NETWORKDAYS(TODAY(), L599-1, FESTIVOS!A$1:A$55), "")</f>
        <v>-31</v>
      </c>
      <c r="L599" s="9">
        <f>IF(AND(F599&lt;&gt;"", J599&lt;&gt;""), WORKDAY(F599, J599, FESTIVOS!A$1:A$55), "")</f>
        <v>46147</v>
      </c>
      <c r="M599" s="4" t="s">
        <v>21</v>
      </c>
      <c r="N599" s="4">
        <f t="shared" ca="1" si="32"/>
        <v>0</v>
      </c>
      <c r="O599" s="4" t="str">
        <f t="shared" ca="1" si="33"/>
        <v>Vencido</v>
      </c>
      <c r="P599" s="4" t="s">
        <v>37</v>
      </c>
      <c r="Q599" s="4" t="b">
        <v>0</v>
      </c>
      <c r="R599" s="12" t="e">
        <f>IF(OR(Q599="", L599=""), "", NETWORKDAYS(L599, Q599,#REF!))</f>
        <v>#VALUE!</v>
      </c>
    </row>
    <row r="600" spans="1:18" x14ac:dyDescent="0.25">
      <c r="A600" s="8" t="s">
        <v>16</v>
      </c>
      <c r="B600" s="7" t="s">
        <v>1062</v>
      </c>
      <c r="C600" s="4" t="s">
        <v>209</v>
      </c>
      <c r="D600" s="4" t="s">
        <v>1063</v>
      </c>
      <c r="E600" s="4">
        <v>599</v>
      </c>
      <c r="F600" s="9">
        <v>46125</v>
      </c>
      <c r="G600" s="9" t="b">
        <v>0</v>
      </c>
      <c r="H600" s="4" t="b">
        <v>0</v>
      </c>
      <c r="I600" s="28" t="s">
        <v>1064</v>
      </c>
      <c r="J600" s="4">
        <f t="shared" si="31"/>
        <v>15</v>
      </c>
      <c r="K600" s="4">
        <f ca="1">IF(AND(F600&lt;&gt;"", L600&lt;&gt;""), NETWORKDAYS(TODAY(), L600-1, FESTIVOS!A$1:A$55), "")</f>
        <v>-31</v>
      </c>
      <c r="L600" s="9">
        <f>IF(AND(F600&lt;&gt;"", J600&lt;&gt;""), WORKDAY(F600, J600, FESTIVOS!A$1:A$55), "")</f>
        <v>46147</v>
      </c>
      <c r="M600" s="4" t="s">
        <v>21</v>
      </c>
      <c r="N600" s="4">
        <f t="shared" ca="1" si="32"/>
        <v>0</v>
      </c>
      <c r="O600" s="4" t="str">
        <f t="shared" ca="1" si="33"/>
        <v>Vencido</v>
      </c>
      <c r="P600" s="4" t="s">
        <v>37</v>
      </c>
      <c r="Q600" s="4" t="b">
        <v>0</v>
      </c>
      <c r="R600" s="12" t="e">
        <f>IF(OR(Q600="", L600=""), "", NETWORKDAYS(L600, Q600,#REF!))</f>
        <v>#VALUE!</v>
      </c>
    </row>
    <row r="601" spans="1:18" x14ac:dyDescent="0.25">
      <c r="A601" s="8" t="s">
        <v>16</v>
      </c>
      <c r="B601" s="7" t="s">
        <v>1062</v>
      </c>
      <c r="C601" s="4" t="s">
        <v>209</v>
      </c>
      <c r="D601" s="4" t="s">
        <v>1063</v>
      </c>
      <c r="E601" s="4">
        <v>600</v>
      </c>
      <c r="F601" s="9">
        <v>46125</v>
      </c>
      <c r="G601" s="9" t="b">
        <v>0</v>
      </c>
      <c r="H601" s="4" t="b">
        <v>0</v>
      </c>
      <c r="I601" s="28" t="s">
        <v>1064</v>
      </c>
      <c r="J601" s="4">
        <f t="shared" si="31"/>
        <v>15</v>
      </c>
      <c r="K601" s="4">
        <f ca="1">IF(AND(F601&lt;&gt;"", L601&lt;&gt;""), NETWORKDAYS(TODAY(), L601-1, FESTIVOS!A$1:A$55), "")</f>
        <v>-31</v>
      </c>
      <c r="L601" s="9">
        <f>IF(AND(F601&lt;&gt;"", J601&lt;&gt;""), WORKDAY(F601, J601, FESTIVOS!A$1:A$55), "")</f>
        <v>46147</v>
      </c>
      <c r="M601" s="4" t="s">
        <v>21</v>
      </c>
      <c r="N601" s="4">
        <f t="shared" ca="1" si="32"/>
        <v>0</v>
      </c>
      <c r="O601" s="4" t="str">
        <f t="shared" ca="1" si="33"/>
        <v>Vencido</v>
      </c>
      <c r="P601" s="4" t="s">
        <v>37</v>
      </c>
      <c r="Q601" s="4" t="b">
        <v>0</v>
      </c>
      <c r="R601" s="12" t="e">
        <f>IF(OR(Q601="", L601=""), "", NETWORKDAYS(L601, Q601,#REF!))</f>
        <v>#VALUE!</v>
      </c>
    </row>
    <row r="602" spans="1:18" x14ac:dyDescent="0.25">
      <c r="A602" s="8" t="s">
        <v>16</v>
      </c>
      <c r="B602" s="7" t="s">
        <v>1062</v>
      </c>
      <c r="C602" s="4" t="b">
        <v>0</v>
      </c>
      <c r="D602" s="4" t="s">
        <v>1063</v>
      </c>
      <c r="E602" s="4">
        <v>601</v>
      </c>
      <c r="F602" s="9">
        <v>46125</v>
      </c>
      <c r="G602" s="9" t="b">
        <v>0</v>
      </c>
      <c r="H602" s="4" t="b">
        <v>0</v>
      </c>
      <c r="I602" s="28" t="s">
        <v>1064</v>
      </c>
      <c r="J602" s="4">
        <f t="shared" si="31"/>
        <v>15</v>
      </c>
      <c r="K602" s="4">
        <f ca="1">IF(AND(F602&lt;&gt;"", L602&lt;&gt;""), NETWORKDAYS(TODAY(), L602-1, FESTIVOS!A$1:A$55), "")</f>
        <v>-31</v>
      </c>
      <c r="L602" s="9">
        <f>IF(AND(F602&lt;&gt;"", J602&lt;&gt;""), WORKDAY(F602, J602, FESTIVOS!A$1:A$55), "")</f>
        <v>46147</v>
      </c>
      <c r="M602" s="4" t="s">
        <v>21</v>
      </c>
      <c r="N602" s="4">
        <f t="shared" ca="1" si="32"/>
        <v>0</v>
      </c>
      <c r="O602" s="4" t="str">
        <f t="shared" ca="1" si="33"/>
        <v>Vencido</v>
      </c>
      <c r="P602" s="4" t="s">
        <v>37</v>
      </c>
      <c r="Q602" s="4" t="b">
        <v>0</v>
      </c>
      <c r="R602" s="12" t="e">
        <f>IF(OR(Q602="", L602=""), "", NETWORKDAYS(L602, Q602,#REF!))</f>
        <v>#VALUE!</v>
      </c>
    </row>
    <row r="603" spans="1:18" x14ac:dyDescent="0.25">
      <c r="A603" s="8" t="s">
        <v>16</v>
      </c>
      <c r="B603" s="7" t="s">
        <v>1065</v>
      </c>
      <c r="C603" s="4" t="s">
        <v>32</v>
      </c>
      <c r="D603" s="4" t="s">
        <v>1066</v>
      </c>
      <c r="E603" s="4">
        <v>602</v>
      </c>
      <c r="F603" s="9">
        <v>46125</v>
      </c>
      <c r="G603" s="9" t="b">
        <v>0</v>
      </c>
      <c r="H603" s="4" t="b">
        <v>0</v>
      </c>
      <c r="I603" s="28" t="s">
        <v>44</v>
      </c>
      <c r="J603" s="4">
        <f t="shared" si="31"/>
        <v>15</v>
      </c>
      <c r="K603" s="4">
        <f ca="1">IF(AND(F603&lt;&gt;"", L603&lt;&gt;""), NETWORKDAYS(TODAY(), L603-1, FESTIVOS!A$1:A$55), "")</f>
        <v>-31</v>
      </c>
      <c r="L603" s="9">
        <f>IF(AND(F603&lt;&gt;"", J603&lt;&gt;""), WORKDAY(F603, J603, FESTIVOS!A$1:A$55), "")</f>
        <v>46147</v>
      </c>
      <c r="M603" s="4" t="s">
        <v>21</v>
      </c>
      <c r="N603" s="4">
        <f t="shared" ca="1" si="32"/>
        <v>0</v>
      </c>
      <c r="O603" s="4" t="str">
        <f t="shared" ca="1" si="33"/>
        <v>Vencido</v>
      </c>
      <c r="P603" s="4" t="s">
        <v>37</v>
      </c>
      <c r="Q603" s="4" t="b">
        <v>0</v>
      </c>
      <c r="R603" s="12" t="e">
        <f>IF(OR(Q603="", L603=""), "", NETWORKDAYS(L603, Q603,#REF!))</f>
        <v>#VALUE!</v>
      </c>
    </row>
    <row r="604" spans="1:18" x14ac:dyDescent="0.25">
      <c r="A604" s="8" t="s">
        <v>16</v>
      </c>
      <c r="B604" s="7" t="s">
        <v>68</v>
      </c>
      <c r="C604" s="4" t="s">
        <v>186</v>
      </c>
      <c r="D604" s="4" t="s">
        <v>1067</v>
      </c>
      <c r="E604" s="4">
        <v>603</v>
      </c>
      <c r="F604" s="9">
        <v>46125</v>
      </c>
      <c r="G604" s="9" t="b">
        <v>0</v>
      </c>
      <c r="H604" s="4" t="b">
        <v>0</v>
      </c>
      <c r="I604" s="28" t="s">
        <v>20</v>
      </c>
      <c r="J604" s="4">
        <f t="shared" si="31"/>
        <v>15</v>
      </c>
      <c r="K604" s="4">
        <f ca="1">IF(AND(F604&lt;&gt;"", L604&lt;&gt;""), NETWORKDAYS(TODAY(), L604-1, FESTIVOS!A$1:A$55), "")</f>
        <v>-31</v>
      </c>
      <c r="L604" s="9">
        <f>IF(AND(F604&lt;&gt;"", J604&lt;&gt;""), WORKDAY(F604, J604, FESTIVOS!A$1:A$55), "")</f>
        <v>46147</v>
      </c>
      <c r="M604" s="4" t="s">
        <v>21</v>
      </c>
      <c r="N604" s="4">
        <f t="shared" ca="1" si="32"/>
        <v>0</v>
      </c>
      <c r="O604" s="4" t="str">
        <f t="shared" ca="1" si="33"/>
        <v>Vencido</v>
      </c>
      <c r="P604" s="4" t="s">
        <v>1068</v>
      </c>
      <c r="Q604" s="9">
        <v>46147</v>
      </c>
      <c r="R604" s="12" t="e">
        <f>IF(OR(Q604="", L604=""), "", NETWORKDAYS(L604, Q604,#REF!))</f>
        <v>#REF!</v>
      </c>
    </row>
    <row r="605" spans="1:18" x14ac:dyDescent="0.25">
      <c r="A605" s="8" t="s">
        <v>16</v>
      </c>
      <c r="B605" s="7" t="s">
        <v>1069</v>
      </c>
      <c r="C605" s="4" t="s">
        <v>32</v>
      </c>
      <c r="D605" s="4" t="s">
        <v>1070</v>
      </c>
      <c r="E605" s="4">
        <v>604</v>
      </c>
      <c r="F605" s="9">
        <v>46125</v>
      </c>
      <c r="G605" s="9" t="b">
        <v>0</v>
      </c>
      <c r="H605" s="4" t="b">
        <v>0</v>
      </c>
      <c r="I605" s="28" t="s">
        <v>20</v>
      </c>
      <c r="J605" s="4">
        <f t="shared" si="31"/>
        <v>15</v>
      </c>
      <c r="K605" s="4">
        <f ca="1">IF(AND(F605&lt;&gt;"", L605&lt;&gt;""), NETWORKDAYS(TODAY(), L605-1, FESTIVOS!A$1:A$55), "")</f>
        <v>-31</v>
      </c>
      <c r="L605" s="9">
        <f>IF(AND(F605&lt;&gt;"", J605&lt;&gt;""), WORKDAY(F605, J605, FESTIVOS!A$1:A$55), "")</f>
        <v>46147</v>
      </c>
      <c r="M605" s="4" t="s">
        <v>21</v>
      </c>
      <c r="N605" s="4">
        <f t="shared" ca="1" si="32"/>
        <v>0</v>
      </c>
      <c r="O605" s="4" t="str">
        <f t="shared" ca="1" si="33"/>
        <v>Vencido</v>
      </c>
      <c r="P605" s="4" t="s">
        <v>1071</v>
      </c>
      <c r="Q605" s="4" t="b">
        <v>0</v>
      </c>
      <c r="R605" s="12" t="e">
        <f>IF(OR(Q605="", L605=""), "", NETWORKDAYS(L605, Q605,#REF!))</f>
        <v>#VALUE!</v>
      </c>
    </row>
    <row r="606" spans="1:18" x14ac:dyDescent="0.25">
      <c r="A606" s="8" t="s">
        <v>16</v>
      </c>
      <c r="B606" s="7" t="s">
        <v>1072</v>
      </c>
      <c r="C606" s="4" t="s">
        <v>25</v>
      </c>
      <c r="D606" s="4" t="s">
        <v>1073</v>
      </c>
      <c r="E606" s="4">
        <v>605</v>
      </c>
      <c r="F606" s="9">
        <v>46126</v>
      </c>
      <c r="G606" s="9" t="b">
        <v>0</v>
      </c>
      <c r="H606" s="4" t="b">
        <v>0</v>
      </c>
      <c r="I606" s="28" t="s">
        <v>66</v>
      </c>
      <c r="J606" s="4">
        <f t="shared" si="31"/>
        <v>15</v>
      </c>
      <c r="K606" s="4">
        <f ca="1">IF(AND(F606&lt;&gt;"", L606&lt;&gt;""), NETWORKDAYS(TODAY(), L606-1, FESTIVOS!A$1:A$55), "")</f>
        <v>-30</v>
      </c>
      <c r="L606" s="9">
        <f>IF(AND(F606&lt;&gt;"", J606&lt;&gt;""), WORKDAY(F606, J606, FESTIVOS!A$1:A$55), "")</f>
        <v>46148</v>
      </c>
      <c r="M606" s="4" t="s">
        <v>21</v>
      </c>
      <c r="N606" s="4">
        <f t="shared" ca="1" si="32"/>
        <v>0</v>
      </c>
      <c r="O606" s="4" t="str">
        <f t="shared" ca="1" si="33"/>
        <v>Vencido</v>
      </c>
      <c r="P606" s="4" t="s">
        <v>1074</v>
      </c>
      <c r="Q606" s="9">
        <v>46127</v>
      </c>
      <c r="R606" s="12" t="e">
        <f>IF(OR(Q606="", L606=""), "", NETWORKDAYS(L606, Q606,#REF!))</f>
        <v>#REF!</v>
      </c>
    </row>
    <row r="607" spans="1:18" x14ac:dyDescent="0.25">
      <c r="A607" s="8" t="s">
        <v>16</v>
      </c>
      <c r="B607" s="7" t="s">
        <v>1075</v>
      </c>
      <c r="C607" s="4" t="s">
        <v>1076</v>
      </c>
      <c r="D607" s="4" t="s">
        <v>1077</v>
      </c>
      <c r="E607" s="4">
        <v>606</v>
      </c>
      <c r="F607" s="9">
        <v>46120</v>
      </c>
      <c r="G607" s="9" t="b">
        <v>0</v>
      </c>
      <c r="H607" s="4" t="b">
        <v>0</v>
      </c>
      <c r="I607" s="28" t="s">
        <v>80</v>
      </c>
      <c r="J607" s="4">
        <f t="shared" si="31"/>
        <v>15</v>
      </c>
      <c r="K607" s="4">
        <f ca="1">IF(AND(F607&lt;&gt;"", L607&lt;&gt;""), NETWORKDAYS(TODAY(), L607-1, FESTIVOS!A$1:A$55), "")</f>
        <v>-34</v>
      </c>
      <c r="L607" s="9">
        <f>IF(AND(F607&lt;&gt;"", J607&lt;&gt;""), WORKDAY(F607, J607, FESTIVOS!A$1:A$55), "")</f>
        <v>46141</v>
      </c>
      <c r="M607" s="4" t="s">
        <v>21</v>
      </c>
      <c r="N607" s="4">
        <f t="shared" ca="1" si="32"/>
        <v>0</v>
      </c>
      <c r="O607" s="4" t="str">
        <f t="shared" ca="1" si="33"/>
        <v>Vencido</v>
      </c>
      <c r="P607" s="4" t="s">
        <v>37</v>
      </c>
      <c r="Q607" s="4" t="b">
        <v>0</v>
      </c>
      <c r="R607" s="12" t="e">
        <f>IF(OR(Q607="", L607=""), "", NETWORKDAYS(L607, Q607,#REF!))</f>
        <v>#VALUE!</v>
      </c>
    </row>
    <row r="608" spans="1:18" x14ac:dyDescent="0.25">
      <c r="A608" s="8" t="s">
        <v>16</v>
      </c>
      <c r="B608" s="7" t="s">
        <v>1078</v>
      </c>
      <c r="C608" s="4" t="s">
        <v>1079</v>
      </c>
      <c r="D608" s="4" t="s">
        <v>974</v>
      </c>
      <c r="E608" s="4">
        <v>607</v>
      </c>
      <c r="F608" s="9">
        <v>46126</v>
      </c>
      <c r="G608" s="9" t="b">
        <v>0</v>
      </c>
      <c r="H608" s="4" t="b">
        <v>0</v>
      </c>
      <c r="I608" s="28" t="s">
        <v>20</v>
      </c>
      <c r="J608" s="4">
        <f t="shared" si="31"/>
        <v>15</v>
      </c>
      <c r="K608" s="4">
        <f ca="1">IF(AND(F608&lt;&gt;"", L608&lt;&gt;""), NETWORKDAYS(TODAY(), L608-1, FESTIVOS!A$1:A$55), "")</f>
        <v>-30</v>
      </c>
      <c r="L608" s="9">
        <f>IF(AND(F608&lt;&gt;"", J608&lt;&gt;""), WORKDAY(F608, J608, FESTIVOS!A$1:A$55), "")</f>
        <v>46148</v>
      </c>
      <c r="M608" s="4" t="s">
        <v>21</v>
      </c>
      <c r="N608" s="4">
        <f t="shared" ca="1" si="32"/>
        <v>0</v>
      </c>
      <c r="O608" s="4" t="str">
        <f t="shared" ca="1" si="33"/>
        <v>Vencido</v>
      </c>
      <c r="P608" s="4" t="s">
        <v>1080</v>
      </c>
      <c r="Q608" s="9">
        <v>46128</v>
      </c>
      <c r="R608" s="12" t="e">
        <f>IF(OR(Q608="", L608=""), "", NETWORKDAYS(L608, Q608,#REF!))</f>
        <v>#REF!</v>
      </c>
    </row>
    <row r="609" spans="1:18" x14ac:dyDescent="0.25">
      <c r="A609" s="8" t="s">
        <v>16</v>
      </c>
      <c r="B609" s="7" t="s">
        <v>194</v>
      </c>
      <c r="C609" s="4" t="s">
        <v>32</v>
      </c>
      <c r="D609" s="4" t="s">
        <v>1081</v>
      </c>
      <c r="E609" s="4">
        <v>608</v>
      </c>
      <c r="F609" s="9">
        <v>46126</v>
      </c>
      <c r="G609" s="9" t="b">
        <v>0</v>
      </c>
      <c r="H609" s="4" t="b">
        <v>0</v>
      </c>
      <c r="I609" s="28" t="s">
        <v>20</v>
      </c>
      <c r="J609" s="4">
        <f t="shared" si="31"/>
        <v>15</v>
      </c>
      <c r="K609" s="4">
        <f ca="1">IF(AND(F609&lt;&gt;"", L609&lt;&gt;""), NETWORKDAYS(TODAY(), L609-1, FESTIVOS!A$1:A$55), "")</f>
        <v>-30</v>
      </c>
      <c r="L609" s="9">
        <f>IF(AND(F609&lt;&gt;"", J609&lt;&gt;""), WORKDAY(F609, J609, FESTIVOS!A$1:A$55), "")</f>
        <v>46148</v>
      </c>
      <c r="M609" s="4" t="s">
        <v>21</v>
      </c>
      <c r="N609" s="4">
        <f t="shared" ca="1" si="32"/>
        <v>0</v>
      </c>
      <c r="O609" s="4" t="str">
        <f t="shared" ca="1" si="33"/>
        <v>Vencido</v>
      </c>
      <c r="P609" s="4" t="s">
        <v>1082</v>
      </c>
      <c r="Q609" s="9">
        <v>46132</v>
      </c>
      <c r="R609" s="12" t="e">
        <f>IF(OR(Q609="", L609=""), "", NETWORKDAYS(L609, Q609,#REF!))</f>
        <v>#REF!</v>
      </c>
    </row>
    <row r="610" spans="1:18" x14ac:dyDescent="0.25">
      <c r="A610" s="8" t="s">
        <v>16</v>
      </c>
      <c r="B610" s="7" t="s">
        <v>918</v>
      </c>
      <c r="C610" s="4" t="s">
        <v>84</v>
      </c>
      <c r="D610" s="4" t="s">
        <v>85</v>
      </c>
      <c r="E610" s="4">
        <v>609</v>
      </c>
      <c r="F610" s="9">
        <v>46126</v>
      </c>
      <c r="G610" s="9" t="b">
        <v>0</v>
      </c>
      <c r="H610" s="4" t="b">
        <v>0</v>
      </c>
      <c r="I610" s="28" t="s">
        <v>20</v>
      </c>
      <c r="J610" s="4">
        <f t="shared" si="31"/>
        <v>15</v>
      </c>
      <c r="K610" s="4">
        <f ca="1">IF(AND(F610&lt;&gt;"", L610&lt;&gt;""), NETWORKDAYS(TODAY(), L610-1, FESTIVOS!A$1:A$55), "")</f>
        <v>-30</v>
      </c>
      <c r="L610" s="9">
        <f>IF(AND(F610&lt;&gt;"", J610&lt;&gt;""), WORKDAY(F610, J610, FESTIVOS!A$1:A$55), "")</f>
        <v>46148</v>
      </c>
      <c r="M610" s="4" t="s">
        <v>21</v>
      </c>
      <c r="N610" s="4">
        <f t="shared" ca="1" si="32"/>
        <v>0</v>
      </c>
      <c r="O610" s="4" t="str">
        <f t="shared" ca="1" si="33"/>
        <v>Vencido</v>
      </c>
      <c r="P610" s="4" t="s">
        <v>37</v>
      </c>
      <c r="Q610" s="4" t="b">
        <v>0</v>
      </c>
      <c r="R610" s="12" t="e">
        <f>IF(OR(Q610="", L610=""), "", NETWORKDAYS(L610, Q610,#REF!))</f>
        <v>#VALUE!</v>
      </c>
    </row>
    <row r="611" spans="1:18" x14ac:dyDescent="0.25">
      <c r="A611" s="8" t="s">
        <v>16</v>
      </c>
      <c r="B611" s="7" t="s">
        <v>918</v>
      </c>
      <c r="C611" s="4" t="s">
        <v>84</v>
      </c>
      <c r="D611" s="4" t="s">
        <v>85</v>
      </c>
      <c r="E611" s="4">
        <v>610</v>
      </c>
      <c r="F611" s="9">
        <v>46126</v>
      </c>
      <c r="G611" s="9" t="b">
        <v>0</v>
      </c>
      <c r="H611" s="4" t="b">
        <v>0</v>
      </c>
      <c r="I611" s="28" t="s">
        <v>20</v>
      </c>
      <c r="J611" s="4">
        <f t="shared" si="31"/>
        <v>15</v>
      </c>
      <c r="K611" s="4">
        <f ca="1">IF(AND(F611&lt;&gt;"", L611&lt;&gt;""), NETWORKDAYS(TODAY(), L611-1, FESTIVOS!A$1:A$55), "")</f>
        <v>-30</v>
      </c>
      <c r="L611" s="9">
        <f>IF(AND(F611&lt;&gt;"", J611&lt;&gt;""), WORKDAY(F611, J611, FESTIVOS!A$1:A$55), "")</f>
        <v>46148</v>
      </c>
      <c r="M611" s="4" t="s">
        <v>21</v>
      </c>
      <c r="N611" s="4">
        <f t="shared" ca="1" si="32"/>
        <v>0</v>
      </c>
      <c r="O611" s="4" t="str">
        <f t="shared" ca="1" si="33"/>
        <v>Vencido</v>
      </c>
      <c r="P611" s="4" t="s">
        <v>37</v>
      </c>
      <c r="Q611" s="4" t="b">
        <v>0</v>
      </c>
      <c r="R611" s="12" t="e">
        <f>IF(OR(Q611="", L611=""), "", NETWORKDAYS(L611, Q611,#REF!))</f>
        <v>#VALUE!</v>
      </c>
    </row>
    <row r="612" spans="1:18" x14ac:dyDescent="0.25">
      <c r="A612" s="8" t="s">
        <v>16</v>
      </c>
      <c r="B612" s="7" t="s">
        <v>1083</v>
      </c>
      <c r="C612" s="4" t="s">
        <v>25</v>
      </c>
      <c r="D612" s="4" t="s">
        <v>1084</v>
      </c>
      <c r="E612" s="4">
        <v>611</v>
      </c>
      <c r="F612" s="9">
        <v>46126</v>
      </c>
      <c r="G612" s="9" t="b">
        <v>0</v>
      </c>
      <c r="H612" s="4" t="b">
        <v>0</v>
      </c>
      <c r="I612" s="28" t="s">
        <v>20</v>
      </c>
      <c r="J612" s="4">
        <f t="shared" si="31"/>
        <v>15</v>
      </c>
      <c r="K612" s="4">
        <f ca="1">IF(AND(F612&lt;&gt;"", L612&lt;&gt;""), NETWORKDAYS(TODAY(), L612-1, FESTIVOS!A$1:A$55), "")</f>
        <v>-30</v>
      </c>
      <c r="L612" s="9">
        <f>IF(AND(F612&lt;&gt;"", J612&lt;&gt;""), WORKDAY(F612, J612, FESTIVOS!A$1:A$55), "")</f>
        <v>46148</v>
      </c>
      <c r="M612" s="4" t="s">
        <v>21</v>
      </c>
      <c r="N612" s="4">
        <f t="shared" ca="1" si="32"/>
        <v>0</v>
      </c>
      <c r="O612" s="4" t="str">
        <f t="shared" ca="1" si="33"/>
        <v>Vencido</v>
      </c>
      <c r="P612" s="4" t="s">
        <v>37</v>
      </c>
      <c r="Q612" s="4" t="b">
        <v>0</v>
      </c>
      <c r="R612" s="12" t="e">
        <f>IF(OR(Q612="", L612=""), "", NETWORKDAYS(L612, Q612,#REF!))</f>
        <v>#VALUE!</v>
      </c>
    </row>
    <row r="613" spans="1:18" x14ac:dyDescent="0.25">
      <c r="A613" s="8" t="s">
        <v>16</v>
      </c>
      <c r="B613" s="7" t="s">
        <v>1085</v>
      </c>
      <c r="C613" s="4" t="s">
        <v>25</v>
      </c>
      <c r="D613" s="4" t="s">
        <v>1086</v>
      </c>
      <c r="E613" s="4">
        <v>612</v>
      </c>
      <c r="F613" s="9">
        <v>46126</v>
      </c>
      <c r="G613" s="9" t="b">
        <v>0</v>
      </c>
      <c r="H613" s="4" t="b">
        <v>0</v>
      </c>
      <c r="I613" s="28" t="s">
        <v>20</v>
      </c>
      <c r="J613" s="4">
        <f t="shared" si="31"/>
        <v>15</v>
      </c>
      <c r="K613" s="4">
        <f ca="1">IF(AND(F613&lt;&gt;"", L613&lt;&gt;""), NETWORKDAYS(TODAY(), L613-1, FESTIVOS!A$1:A$55), "")</f>
        <v>-30</v>
      </c>
      <c r="L613" s="9">
        <f>IF(AND(F613&lt;&gt;"", J613&lt;&gt;""), WORKDAY(F613, J613, FESTIVOS!A$1:A$55), "")</f>
        <v>46148</v>
      </c>
      <c r="M613" s="4" t="s">
        <v>21</v>
      </c>
      <c r="N613" s="4">
        <f t="shared" ca="1" si="32"/>
        <v>0</v>
      </c>
      <c r="O613" s="4" t="str">
        <f t="shared" ca="1" si="33"/>
        <v>Vencido</v>
      </c>
      <c r="P613" s="4" t="s">
        <v>1087</v>
      </c>
      <c r="Q613" s="9">
        <v>46132</v>
      </c>
      <c r="R613" s="12" t="e">
        <f>IF(OR(Q613="", L613=""), "", NETWORKDAYS(L613, Q613,#REF!))</f>
        <v>#REF!</v>
      </c>
    </row>
    <row r="614" spans="1:18" x14ac:dyDescent="0.25">
      <c r="A614" s="8" t="s">
        <v>16</v>
      </c>
      <c r="B614" s="7" t="s">
        <v>1088</v>
      </c>
      <c r="C614" s="4" t="s">
        <v>25</v>
      </c>
      <c r="D614" s="4" t="s">
        <v>1089</v>
      </c>
      <c r="E614" s="4">
        <v>613</v>
      </c>
      <c r="F614" s="9">
        <v>46126</v>
      </c>
      <c r="G614" s="9" t="b">
        <v>0</v>
      </c>
      <c r="H614" s="4" t="b">
        <v>0</v>
      </c>
      <c r="I614" s="28" t="s">
        <v>20</v>
      </c>
      <c r="J614" s="4">
        <f t="shared" si="31"/>
        <v>15</v>
      </c>
      <c r="K614" s="4">
        <f ca="1">IF(AND(F614&lt;&gt;"", L614&lt;&gt;""), NETWORKDAYS(TODAY(), L614-1, FESTIVOS!A$1:A$55), "")</f>
        <v>-30</v>
      </c>
      <c r="L614" s="9">
        <f>IF(AND(F614&lt;&gt;"", J614&lt;&gt;""), WORKDAY(F614, J614, FESTIVOS!A$1:A$55), "")</f>
        <v>46148</v>
      </c>
      <c r="M614" s="4" t="s">
        <v>21</v>
      </c>
      <c r="N614" s="4">
        <f t="shared" ca="1" si="32"/>
        <v>0</v>
      </c>
      <c r="O614" s="4" t="str">
        <f t="shared" ca="1" si="33"/>
        <v>Vencido</v>
      </c>
      <c r="P614" s="4" t="s">
        <v>1090</v>
      </c>
      <c r="Q614" s="9">
        <v>46148</v>
      </c>
      <c r="R614" s="12" t="e">
        <f>IF(OR(Q614="", L614=""), "", NETWORKDAYS(L614, Q614,#REF!))</f>
        <v>#REF!</v>
      </c>
    </row>
    <row r="615" spans="1:18" x14ac:dyDescent="0.25">
      <c r="A615" s="8" t="s">
        <v>16</v>
      </c>
      <c r="B615" s="7" t="s">
        <v>401</v>
      </c>
      <c r="C615" s="4" t="s">
        <v>32</v>
      </c>
      <c r="D615" s="4" t="s">
        <v>1091</v>
      </c>
      <c r="E615" s="4">
        <v>614</v>
      </c>
      <c r="F615" s="9">
        <v>46126</v>
      </c>
      <c r="G615" s="9" t="b">
        <v>0</v>
      </c>
      <c r="H615" s="4" t="b">
        <v>0</v>
      </c>
      <c r="I615" s="28" t="s">
        <v>20</v>
      </c>
      <c r="J615" s="4">
        <f t="shared" si="31"/>
        <v>15</v>
      </c>
      <c r="K615" s="4">
        <f ca="1">IF(AND(F615&lt;&gt;"", L615&lt;&gt;""), NETWORKDAYS(TODAY(), L615-1, FESTIVOS!A$1:A$55), "")</f>
        <v>-30</v>
      </c>
      <c r="L615" s="9">
        <f>IF(AND(F615&lt;&gt;"", J615&lt;&gt;""), WORKDAY(F615, J615, FESTIVOS!A$1:A$55), "")</f>
        <v>46148</v>
      </c>
      <c r="M615" s="4" t="s">
        <v>21</v>
      </c>
      <c r="N615" s="4">
        <f t="shared" ca="1" si="32"/>
        <v>0</v>
      </c>
      <c r="O615" s="4" t="str">
        <f t="shared" ca="1" si="33"/>
        <v>Vencido</v>
      </c>
      <c r="P615" s="4" t="s">
        <v>1092</v>
      </c>
      <c r="Q615" s="9">
        <v>46135</v>
      </c>
      <c r="R615" s="12" t="e">
        <f>IF(OR(Q615="", L615=""), "", NETWORKDAYS(L615, Q615,#REF!))</f>
        <v>#REF!</v>
      </c>
    </row>
    <row r="616" spans="1:18" x14ac:dyDescent="0.25">
      <c r="A616" s="8" t="s">
        <v>16</v>
      </c>
      <c r="B616" s="7" t="s">
        <v>401</v>
      </c>
      <c r="C616" s="4" t="s">
        <v>32</v>
      </c>
      <c r="D616" s="4" t="s">
        <v>1093</v>
      </c>
      <c r="E616" s="4">
        <v>615</v>
      </c>
      <c r="F616" s="9">
        <v>46126</v>
      </c>
      <c r="G616" s="9" t="b">
        <v>0</v>
      </c>
      <c r="H616" s="4" t="b">
        <v>0</v>
      </c>
      <c r="I616" s="28" t="s">
        <v>20</v>
      </c>
      <c r="J616" s="4">
        <f t="shared" si="31"/>
        <v>15</v>
      </c>
      <c r="K616" s="4">
        <f ca="1">IF(AND(F616&lt;&gt;"", L616&lt;&gt;""), NETWORKDAYS(TODAY(), L616-1, FESTIVOS!A$1:A$55), "")</f>
        <v>-30</v>
      </c>
      <c r="L616" s="9">
        <f>IF(AND(F616&lt;&gt;"", J616&lt;&gt;""), WORKDAY(F616, J616, FESTIVOS!A$1:A$55), "")</f>
        <v>46148</v>
      </c>
      <c r="M616" s="4" t="s">
        <v>21</v>
      </c>
      <c r="N616" s="4">
        <f t="shared" ca="1" si="32"/>
        <v>0</v>
      </c>
      <c r="O616" s="4" t="str">
        <f t="shared" ca="1" si="33"/>
        <v>Vencido</v>
      </c>
      <c r="P616" s="4" t="s">
        <v>1094</v>
      </c>
      <c r="Q616" s="9">
        <v>46135</v>
      </c>
      <c r="R616" s="12" t="e">
        <f>IF(OR(Q616="", L616=""), "", NETWORKDAYS(L616, Q616,#REF!))</f>
        <v>#REF!</v>
      </c>
    </row>
    <row r="617" spans="1:18" x14ac:dyDescent="0.25">
      <c r="A617" s="8" t="s">
        <v>16</v>
      </c>
      <c r="B617" s="7" t="s">
        <v>1095</v>
      </c>
      <c r="C617" s="4" t="s">
        <v>25</v>
      </c>
      <c r="D617" s="4" t="s">
        <v>1096</v>
      </c>
      <c r="E617" s="4">
        <v>616</v>
      </c>
      <c r="F617" s="9">
        <v>46126</v>
      </c>
      <c r="G617" s="9" t="b">
        <v>0</v>
      </c>
      <c r="H617" s="4" t="b">
        <v>0</v>
      </c>
      <c r="I617" s="28" t="s">
        <v>66</v>
      </c>
      <c r="J617" s="4">
        <f t="shared" si="31"/>
        <v>15</v>
      </c>
      <c r="K617" s="4">
        <f ca="1">IF(AND(F617&lt;&gt;"", L617&lt;&gt;""), NETWORKDAYS(TODAY(), L617-1, FESTIVOS!A$1:A$55), "")</f>
        <v>-30</v>
      </c>
      <c r="L617" s="9">
        <f>IF(AND(F617&lt;&gt;"", J617&lt;&gt;""), WORKDAY(F617, J617, FESTIVOS!A$1:A$55), "")</f>
        <v>46148</v>
      </c>
      <c r="M617" s="4" t="s">
        <v>21</v>
      </c>
      <c r="N617" s="4">
        <f t="shared" ca="1" si="32"/>
        <v>0</v>
      </c>
      <c r="O617" s="4" t="str">
        <f t="shared" ca="1" si="33"/>
        <v>Vencido</v>
      </c>
      <c r="P617" s="4" t="s">
        <v>1097</v>
      </c>
      <c r="Q617" s="9">
        <v>46127</v>
      </c>
      <c r="R617" s="12" t="e">
        <f>IF(OR(Q617="", L617=""), "", NETWORKDAYS(L617, Q617,#REF!))</f>
        <v>#REF!</v>
      </c>
    </row>
    <row r="618" spans="1:18" x14ac:dyDescent="0.25">
      <c r="A618" s="8" t="s">
        <v>16</v>
      </c>
      <c r="B618" s="7" t="s">
        <v>401</v>
      </c>
      <c r="C618" s="4" t="s">
        <v>32</v>
      </c>
      <c r="D618" s="4" t="s">
        <v>1098</v>
      </c>
      <c r="E618" s="4">
        <v>617</v>
      </c>
      <c r="F618" s="9">
        <v>46126</v>
      </c>
      <c r="G618" s="9" t="b">
        <v>0</v>
      </c>
      <c r="H618" s="4" t="b">
        <v>0</v>
      </c>
      <c r="I618" s="28" t="s">
        <v>20</v>
      </c>
      <c r="J618" s="4">
        <f t="shared" si="31"/>
        <v>15</v>
      </c>
      <c r="K618" s="4">
        <f ca="1">IF(AND(F618&lt;&gt;"", L618&lt;&gt;""), NETWORKDAYS(TODAY(), L618-1, FESTIVOS!A$1:A$55), "")</f>
        <v>-30</v>
      </c>
      <c r="L618" s="9">
        <f>IF(AND(F618&lt;&gt;"", J618&lt;&gt;""), WORKDAY(F618, J618, FESTIVOS!A$1:A$55), "")</f>
        <v>46148</v>
      </c>
      <c r="M618" s="4" t="s">
        <v>21</v>
      </c>
      <c r="N618" s="4">
        <f t="shared" ca="1" si="32"/>
        <v>0</v>
      </c>
      <c r="O618" s="4" t="str">
        <f t="shared" ca="1" si="33"/>
        <v>Vencido</v>
      </c>
      <c r="P618" s="4" t="s">
        <v>1099</v>
      </c>
      <c r="Q618" s="9">
        <v>46128</v>
      </c>
      <c r="R618" s="12" t="e">
        <f>IF(OR(Q618="", L618=""), "", NETWORKDAYS(L618, Q618,#REF!))</f>
        <v>#REF!</v>
      </c>
    </row>
    <row r="619" spans="1:18" x14ac:dyDescent="0.25">
      <c r="A619" s="8" t="s">
        <v>16</v>
      </c>
      <c r="B619" s="7" t="s">
        <v>1100</v>
      </c>
      <c r="C619" s="4" t="s">
        <v>32</v>
      </c>
      <c r="D619" s="4" t="s">
        <v>1101</v>
      </c>
      <c r="E619" s="4">
        <v>618</v>
      </c>
      <c r="F619" s="9">
        <v>46127</v>
      </c>
      <c r="G619" s="9" t="b">
        <v>0</v>
      </c>
      <c r="H619" s="4" t="b">
        <v>0</v>
      </c>
      <c r="I619" s="28" t="s">
        <v>20</v>
      </c>
      <c r="J619" s="4">
        <f t="shared" si="31"/>
        <v>15</v>
      </c>
      <c r="K619" s="4">
        <f ca="1">IF(AND(F619&lt;&gt;"", L619&lt;&gt;""), NETWORKDAYS(TODAY(), L619-1, FESTIVOS!A$1:A$55), "")</f>
        <v>-29</v>
      </c>
      <c r="L619" s="9">
        <f>IF(AND(F619&lt;&gt;"", J619&lt;&gt;""), WORKDAY(F619, J619, FESTIVOS!A$1:A$55), "")</f>
        <v>46149</v>
      </c>
      <c r="M619" s="4" t="s">
        <v>21</v>
      </c>
      <c r="N619" s="4">
        <f t="shared" ca="1" si="32"/>
        <v>0</v>
      </c>
      <c r="O619" s="4" t="str">
        <f t="shared" ca="1" si="33"/>
        <v>Vencido</v>
      </c>
      <c r="P619" s="4" t="s">
        <v>1102</v>
      </c>
      <c r="Q619" s="9">
        <v>46134</v>
      </c>
      <c r="R619" s="12" t="e">
        <f>IF(OR(Q619="", L619=""), "", NETWORKDAYS(L619, Q619,#REF!))</f>
        <v>#REF!</v>
      </c>
    </row>
    <row r="620" spans="1:18" x14ac:dyDescent="0.25">
      <c r="A620" s="8" t="s">
        <v>16</v>
      </c>
      <c r="B620" s="7" t="s">
        <v>17</v>
      </c>
      <c r="C620" s="4" t="s">
        <v>84</v>
      </c>
      <c r="D620" s="4" t="s">
        <v>102</v>
      </c>
      <c r="E620" s="4">
        <v>619</v>
      </c>
      <c r="F620" s="9">
        <v>46127</v>
      </c>
      <c r="G620" s="9" t="b">
        <v>0</v>
      </c>
      <c r="H620" s="4" t="b">
        <v>0</v>
      </c>
      <c r="I620" s="28" t="s">
        <v>20</v>
      </c>
      <c r="J620" s="4">
        <f t="shared" si="31"/>
        <v>15</v>
      </c>
      <c r="K620" s="4">
        <f ca="1">IF(AND(F620&lt;&gt;"", L620&lt;&gt;""), NETWORKDAYS(TODAY(), L620-1, FESTIVOS!A$1:A$55), "")</f>
        <v>-29</v>
      </c>
      <c r="L620" s="9">
        <f>IF(AND(F620&lt;&gt;"", J620&lt;&gt;""), WORKDAY(F620, J620, FESTIVOS!A$1:A$55), "")</f>
        <v>46149</v>
      </c>
      <c r="M620" s="4" t="s">
        <v>21</v>
      </c>
      <c r="N620" s="4">
        <f t="shared" ca="1" si="32"/>
        <v>0</v>
      </c>
      <c r="O620" s="4" t="str">
        <f t="shared" ca="1" si="33"/>
        <v>Vencido</v>
      </c>
      <c r="P620" s="4" t="s">
        <v>1103</v>
      </c>
      <c r="Q620" s="4" t="b">
        <v>0</v>
      </c>
      <c r="R620" s="12" t="e">
        <f>IF(OR(Q620="", L620=""), "", NETWORKDAYS(L620, Q620,#REF!))</f>
        <v>#VALUE!</v>
      </c>
    </row>
    <row r="621" spans="1:18" x14ac:dyDescent="0.25">
      <c r="A621" s="8" t="s">
        <v>16</v>
      </c>
      <c r="B621" s="7" t="s">
        <v>17</v>
      </c>
      <c r="C621" s="4" t="s">
        <v>84</v>
      </c>
      <c r="D621" s="4" t="s">
        <v>102</v>
      </c>
      <c r="E621" s="4">
        <v>620</v>
      </c>
      <c r="F621" s="9">
        <v>46127</v>
      </c>
      <c r="G621" s="9" t="b">
        <v>0</v>
      </c>
      <c r="H621" s="4" t="b">
        <v>0</v>
      </c>
      <c r="I621" s="28" t="s">
        <v>20</v>
      </c>
      <c r="J621" s="4">
        <f t="shared" si="31"/>
        <v>15</v>
      </c>
      <c r="K621" s="4">
        <f ca="1">IF(AND(F621&lt;&gt;"", L621&lt;&gt;""), NETWORKDAYS(TODAY(), L621-1, FESTIVOS!A$1:A$55), "")</f>
        <v>-29</v>
      </c>
      <c r="L621" s="9">
        <f>IF(AND(F621&lt;&gt;"", J621&lt;&gt;""), WORKDAY(F621, J621, FESTIVOS!A$1:A$55), "")</f>
        <v>46149</v>
      </c>
      <c r="M621" s="4" t="s">
        <v>21</v>
      </c>
      <c r="N621" s="4">
        <f t="shared" ca="1" si="32"/>
        <v>0</v>
      </c>
      <c r="O621" s="4" t="str">
        <f t="shared" ca="1" si="33"/>
        <v>Vencido</v>
      </c>
      <c r="P621" s="4" t="s">
        <v>1104</v>
      </c>
      <c r="Q621" s="9">
        <v>46135</v>
      </c>
      <c r="R621" s="12" t="e">
        <f>IF(OR(Q621="", L621=""), "", NETWORKDAYS(L621, Q621,#REF!))</f>
        <v>#REF!</v>
      </c>
    </row>
    <row r="622" spans="1:18" x14ac:dyDescent="0.25">
      <c r="A622" s="8" t="s">
        <v>16</v>
      </c>
      <c r="B622" s="7" t="s">
        <v>17</v>
      </c>
      <c r="C622" s="4" t="s">
        <v>84</v>
      </c>
      <c r="D622" s="4" t="s">
        <v>102</v>
      </c>
      <c r="E622" s="4">
        <v>621</v>
      </c>
      <c r="F622" s="9">
        <v>46127</v>
      </c>
      <c r="G622" s="9" t="b">
        <v>0</v>
      </c>
      <c r="H622" s="4" t="b">
        <v>0</v>
      </c>
      <c r="I622" s="28" t="s">
        <v>20</v>
      </c>
      <c r="J622" s="4">
        <f t="shared" si="31"/>
        <v>15</v>
      </c>
      <c r="K622" s="4">
        <f ca="1">IF(AND(F622&lt;&gt;"", L622&lt;&gt;""), NETWORKDAYS(TODAY(), L622-1, FESTIVOS!A$1:A$55), "")</f>
        <v>-29</v>
      </c>
      <c r="L622" s="9">
        <f>IF(AND(F622&lt;&gt;"", J622&lt;&gt;""), WORKDAY(F622, J622, FESTIVOS!A$1:A$55), "")</f>
        <v>46149</v>
      </c>
      <c r="M622" s="4" t="s">
        <v>21</v>
      </c>
      <c r="N622" s="4">
        <f t="shared" ca="1" si="32"/>
        <v>0</v>
      </c>
      <c r="O622" s="4" t="str">
        <f t="shared" ca="1" si="33"/>
        <v>Vencido</v>
      </c>
      <c r="P622" s="4" t="s">
        <v>1104</v>
      </c>
      <c r="Q622" s="9">
        <v>46135</v>
      </c>
      <c r="R622" s="12" t="e">
        <f>IF(OR(Q622="", L622=""), "", NETWORKDAYS(L622, Q622,#REF!))</f>
        <v>#REF!</v>
      </c>
    </row>
    <row r="623" spans="1:18" x14ac:dyDescent="0.25">
      <c r="A623" s="8" t="s">
        <v>16</v>
      </c>
      <c r="B623" s="7" t="s">
        <v>17</v>
      </c>
      <c r="C623" s="4" t="s">
        <v>84</v>
      </c>
      <c r="D623" s="4" t="s">
        <v>102</v>
      </c>
      <c r="E623" s="4">
        <v>622</v>
      </c>
      <c r="F623" s="9">
        <v>46127</v>
      </c>
      <c r="G623" s="9" t="b">
        <v>0</v>
      </c>
      <c r="H623" s="4" t="b">
        <v>0</v>
      </c>
      <c r="I623" s="28" t="s">
        <v>20</v>
      </c>
      <c r="J623" s="4">
        <f t="shared" si="31"/>
        <v>15</v>
      </c>
      <c r="K623" s="4">
        <f ca="1">IF(AND(F623&lt;&gt;"", L623&lt;&gt;""), NETWORKDAYS(TODAY(), L623-1, FESTIVOS!A$1:A$55), "")</f>
        <v>-29</v>
      </c>
      <c r="L623" s="9">
        <f>IF(AND(F623&lt;&gt;"", J623&lt;&gt;""), WORKDAY(F623, J623, FESTIVOS!A$1:A$55), "")</f>
        <v>46149</v>
      </c>
      <c r="M623" s="4" t="s">
        <v>21</v>
      </c>
      <c r="N623" s="4">
        <f t="shared" ca="1" si="32"/>
        <v>0</v>
      </c>
      <c r="O623" s="4" t="str">
        <f t="shared" ca="1" si="33"/>
        <v>Vencido</v>
      </c>
      <c r="P623" s="4" t="s">
        <v>1104</v>
      </c>
      <c r="Q623" s="9">
        <v>46135</v>
      </c>
      <c r="R623" s="12" t="e">
        <f>IF(OR(Q623="", L623=""), "", NETWORKDAYS(L623, Q623,#REF!))</f>
        <v>#REF!</v>
      </c>
    </row>
    <row r="624" spans="1:18" x14ac:dyDescent="0.25">
      <c r="A624" s="8" t="s">
        <v>16</v>
      </c>
      <c r="B624" s="7" t="s">
        <v>17</v>
      </c>
      <c r="C624" s="4" t="s">
        <v>84</v>
      </c>
      <c r="D624" s="4" t="s">
        <v>102</v>
      </c>
      <c r="E624" s="4">
        <v>623</v>
      </c>
      <c r="F624" s="9">
        <v>46127</v>
      </c>
      <c r="G624" s="9" t="b">
        <v>0</v>
      </c>
      <c r="H624" s="4" t="b">
        <v>0</v>
      </c>
      <c r="I624" s="28" t="s">
        <v>20</v>
      </c>
      <c r="J624" s="4">
        <f t="shared" si="31"/>
        <v>15</v>
      </c>
      <c r="K624" s="4">
        <f ca="1">IF(AND(F624&lt;&gt;"", L624&lt;&gt;""), NETWORKDAYS(TODAY(), L624-1, FESTIVOS!A$1:A$55), "")</f>
        <v>-29</v>
      </c>
      <c r="L624" s="9">
        <f>IF(AND(F624&lt;&gt;"", J624&lt;&gt;""), WORKDAY(F624, J624, FESTIVOS!A$1:A$55), "")</f>
        <v>46149</v>
      </c>
      <c r="M624" s="4" t="s">
        <v>21</v>
      </c>
      <c r="N624" s="4">
        <f t="shared" ca="1" si="32"/>
        <v>0</v>
      </c>
      <c r="O624" s="4" t="str">
        <f t="shared" ca="1" si="33"/>
        <v>Vencido</v>
      </c>
      <c r="P624" s="4" t="s">
        <v>1104</v>
      </c>
      <c r="Q624" s="9">
        <v>46135</v>
      </c>
      <c r="R624" s="12" t="e">
        <f>IF(OR(Q624="", L624=""), "", NETWORKDAYS(L624, Q624,#REF!))</f>
        <v>#REF!</v>
      </c>
    </row>
    <row r="625" spans="1:18" x14ac:dyDescent="0.25">
      <c r="A625" s="8" t="s">
        <v>16</v>
      </c>
      <c r="B625" s="7" t="s">
        <v>17</v>
      </c>
      <c r="C625" s="4" t="s">
        <v>84</v>
      </c>
      <c r="D625" s="4" t="s">
        <v>102</v>
      </c>
      <c r="E625" s="4">
        <v>624</v>
      </c>
      <c r="F625" s="9">
        <v>46127</v>
      </c>
      <c r="G625" s="9" t="b">
        <v>0</v>
      </c>
      <c r="H625" s="4" t="b">
        <v>0</v>
      </c>
      <c r="I625" s="28" t="s">
        <v>20</v>
      </c>
      <c r="J625" s="4">
        <f t="shared" si="31"/>
        <v>15</v>
      </c>
      <c r="K625" s="4">
        <f ca="1">IF(AND(F625&lt;&gt;"", L625&lt;&gt;""), NETWORKDAYS(TODAY(), L625-1, FESTIVOS!A$1:A$55), "")</f>
        <v>-29</v>
      </c>
      <c r="L625" s="9">
        <f>IF(AND(F625&lt;&gt;"", J625&lt;&gt;""), WORKDAY(F625, J625, FESTIVOS!A$1:A$55), "")</f>
        <v>46149</v>
      </c>
      <c r="M625" s="4" t="s">
        <v>21</v>
      </c>
      <c r="N625" s="4">
        <f t="shared" ca="1" si="32"/>
        <v>0</v>
      </c>
      <c r="O625" s="4" t="str">
        <f t="shared" ca="1" si="33"/>
        <v>Vencido</v>
      </c>
      <c r="P625" s="4" t="s">
        <v>1104</v>
      </c>
      <c r="Q625" s="9">
        <v>46135</v>
      </c>
      <c r="R625" s="12" t="e">
        <f>IF(OR(Q625="", L625=""), "", NETWORKDAYS(L625, Q625,#REF!))</f>
        <v>#REF!</v>
      </c>
    </row>
    <row r="626" spans="1:18" x14ac:dyDescent="0.25">
      <c r="A626" s="8" t="s">
        <v>16</v>
      </c>
      <c r="B626" s="7" t="s">
        <v>1105</v>
      </c>
      <c r="C626" s="4" t="s">
        <v>25</v>
      </c>
      <c r="D626" s="4" t="s">
        <v>1106</v>
      </c>
      <c r="E626" s="4">
        <v>625</v>
      </c>
      <c r="F626" s="9">
        <v>46128</v>
      </c>
      <c r="G626" s="9" t="b">
        <v>0</v>
      </c>
      <c r="H626" s="4" t="b">
        <v>0</v>
      </c>
      <c r="I626" s="28" t="s">
        <v>66</v>
      </c>
      <c r="J626" s="4">
        <f t="shared" si="31"/>
        <v>15</v>
      </c>
      <c r="K626" s="4">
        <f ca="1">IF(AND(F626&lt;&gt;"", L626&lt;&gt;""), NETWORKDAYS(TODAY(), L626-1, FESTIVOS!A$1:A$55), "")</f>
        <v>-28</v>
      </c>
      <c r="L626" s="9">
        <f>IF(AND(F626&lt;&gt;"", J626&lt;&gt;""), WORKDAY(F626, J626, FESTIVOS!A$1:A$55), "")</f>
        <v>46150</v>
      </c>
      <c r="M626" s="4" t="s">
        <v>21</v>
      </c>
      <c r="N626" s="4">
        <f t="shared" ca="1" si="32"/>
        <v>0</v>
      </c>
      <c r="O626" s="4" t="str">
        <f t="shared" ca="1" si="33"/>
        <v>Vencido</v>
      </c>
      <c r="P626" s="4" t="s">
        <v>1107</v>
      </c>
      <c r="Q626" s="9">
        <v>46141</v>
      </c>
      <c r="R626" s="12" t="e">
        <f>IF(OR(Q626="", L626=""), "", NETWORKDAYS(L626, Q626,#REF!))</f>
        <v>#REF!</v>
      </c>
    </row>
    <row r="627" spans="1:18" x14ac:dyDescent="0.25">
      <c r="A627" s="8" t="s">
        <v>16</v>
      </c>
      <c r="B627" s="7" t="s">
        <v>1108</v>
      </c>
      <c r="C627" s="4" t="s">
        <v>25</v>
      </c>
      <c r="D627" s="4" t="s">
        <v>792</v>
      </c>
      <c r="E627" s="4">
        <v>626</v>
      </c>
      <c r="F627" s="9">
        <v>46128</v>
      </c>
      <c r="G627" s="9" t="b">
        <v>0</v>
      </c>
      <c r="H627" s="4" t="b">
        <v>0</v>
      </c>
      <c r="I627" s="28" t="s">
        <v>66</v>
      </c>
      <c r="J627" s="4">
        <f t="shared" si="31"/>
        <v>15</v>
      </c>
      <c r="K627" s="4">
        <f ca="1">IF(AND(F627&lt;&gt;"", L627&lt;&gt;""), NETWORKDAYS(TODAY(), L627-1, FESTIVOS!A$1:A$55), "")</f>
        <v>-28</v>
      </c>
      <c r="L627" s="9">
        <f>IF(AND(F627&lt;&gt;"", J627&lt;&gt;""), WORKDAY(F627, J627, FESTIVOS!A$1:A$55), "")</f>
        <v>46150</v>
      </c>
      <c r="M627" s="4" t="s">
        <v>21</v>
      </c>
      <c r="N627" s="4">
        <f t="shared" ca="1" si="32"/>
        <v>0</v>
      </c>
      <c r="O627" s="4" t="str">
        <f t="shared" ca="1" si="33"/>
        <v>Vencido</v>
      </c>
      <c r="P627" s="4" t="s">
        <v>1109</v>
      </c>
      <c r="Q627" s="9">
        <v>46128</v>
      </c>
      <c r="R627" s="12" t="e">
        <f>IF(OR(Q627="", L627=""), "", NETWORKDAYS(L627, Q627,#REF!))</f>
        <v>#REF!</v>
      </c>
    </row>
    <row r="628" spans="1:18" x14ac:dyDescent="0.25">
      <c r="A628" s="8" t="s">
        <v>16</v>
      </c>
      <c r="B628" s="7" t="s">
        <v>1110</v>
      </c>
      <c r="C628" s="4" t="s">
        <v>25</v>
      </c>
      <c r="D628" s="4" t="s">
        <v>61</v>
      </c>
      <c r="E628" s="4">
        <v>627</v>
      </c>
      <c r="F628" s="9">
        <v>46128</v>
      </c>
      <c r="G628" s="9" t="b">
        <v>0</v>
      </c>
      <c r="H628" s="4" t="b">
        <v>0</v>
      </c>
      <c r="I628" s="28" t="s">
        <v>20</v>
      </c>
      <c r="J628" s="4">
        <f t="shared" si="31"/>
        <v>15</v>
      </c>
      <c r="K628" s="4">
        <f ca="1">IF(AND(F628&lt;&gt;"", L628&lt;&gt;""), NETWORKDAYS(TODAY(), L628-1, FESTIVOS!A$1:A$55), "")</f>
        <v>-28</v>
      </c>
      <c r="L628" s="9">
        <f>IF(AND(F628&lt;&gt;"", J628&lt;&gt;""), WORKDAY(F628, J628, FESTIVOS!A$1:A$55), "")</f>
        <v>46150</v>
      </c>
      <c r="M628" s="4" t="s">
        <v>21</v>
      </c>
      <c r="N628" s="4">
        <f t="shared" ca="1" si="32"/>
        <v>0</v>
      </c>
      <c r="O628" s="4" t="str">
        <f t="shared" ca="1" si="33"/>
        <v>Vencido</v>
      </c>
      <c r="P628" s="4" t="s">
        <v>1111</v>
      </c>
      <c r="Q628" s="9">
        <v>46135</v>
      </c>
      <c r="R628" s="12" t="e">
        <f>IF(OR(Q628="", L628=""), "", NETWORKDAYS(L628, Q628,#REF!))</f>
        <v>#REF!</v>
      </c>
    </row>
    <row r="629" spans="1:18" x14ac:dyDescent="0.25">
      <c r="A629" s="8" t="s">
        <v>16</v>
      </c>
      <c r="B629" s="7" t="s">
        <v>1112</v>
      </c>
      <c r="C629" s="4" t="s">
        <v>25</v>
      </c>
      <c r="D629" s="4" t="s">
        <v>1113</v>
      </c>
      <c r="E629" s="4">
        <v>628</v>
      </c>
      <c r="F629" s="9">
        <v>46128</v>
      </c>
      <c r="G629" s="9" t="b">
        <v>0</v>
      </c>
      <c r="H629" s="4" t="b">
        <v>0</v>
      </c>
      <c r="I629" s="28" t="s">
        <v>20</v>
      </c>
      <c r="J629" s="4">
        <f t="shared" si="31"/>
        <v>15</v>
      </c>
      <c r="K629" s="4">
        <f ca="1">IF(AND(F629&lt;&gt;"", L629&lt;&gt;""), NETWORKDAYS(TODAY(), L629-1, FESTIVOS!A$1:A$55), "")</f>
        <v>-28</v>
      </c>
      <c r="L629" s="9">
        <f>IF(AND(F629&lt;&gt;"", J629&lt;&gt;""), WORKDAY(F629, J629, FESTIVOS!A$1:A$55), "")</f>
        <v>46150</v>
      </c>
      <c r="M629" s="4" t="s">
        <v>21</v>
      </c>
      <c r="N629" s="4">
        <f t="shared" ca="1" si="32"/>
        <v>0</v>
      </c>
      <c r="O629" s="4" t="str">
        <f t="shared" ca="1" si="33"/>
        <v>Vencido</v>
      </c>
      <c r="P629" s="4" t="s">
        <v>1114</v>
      </c>
      <c r="Q629" s="9">
        <v>46150</v>
      </c>
      <c r="R629" s="12" t="e">
        <f>IF(OR(Q629="", L629=""), "", NETWORKDAYS(L629, Q629,#REF!))</f>
        <v>#REF!</v>
      </c>
    </row>
    <row r="630" spans="1:18" x14ac:dyDescent="0.25">
      <c r="A630" s="8" t="s">
        <v>16</v>
      </c>
      <c r="B630" s="7" t="s">
        <v>1115</v>
      </c>
      <c r="C630" s="4" t="s">
        <v>25</v>
      </c>
      <c r="D630" s="4" t="s">
        <v>239</v>
      </c>
      <c r="E630" s="4">
        <v>629</v>
      </c>
      <c r="F630" s="9">
        <v>46128</v>
      </c>
      <c r="G630" s="9" t="b">
        <v>0</v>
      </c>
      <c r="H630" s="4" t="b">
        <v>0</v>
      </c>
      <c r="I630" s="28" t="s">
        <v>20</v>
      </c>
      <c r="J630" s="4">
        <f t="shared" ref="J630:J663" si="34">IF(A630="INFORMACIÓN O DOCUMENTOS", 10, IF(A630="CONSULTA", 30, IF(A630="FACTURACIÓN Y COBROS", 15, IF(A630="VINCULACIÓN Y DESVINCULACIÓN", 15, IF(A630="NO ES DE NUESTRA COMPETENCIA", 5, IF(A630="OTRO", 15, ""))))))</f>
        <v>15</v>
      </c>
      <c r="K630" s="4">
        <f ca="1">IF(AND(F630&lt;&gt;"", L630&lt;&gt;""), NETWORKDAYS(TODAY(), L630-1, FESTIVOS!A$1:A$55), "")</f>
        <v>-28</v>
      </c>
      <c r="L630" s="9">
        <f>IF(AND(F630&lt;&gt;"", J630&lt;&gt;""), WORKDAY(F630, J630, FESTIVOS!A$1:A$55), "")</f>
        <v>46150</v>
      </c>
      <c r="M630" s="4" t="s">
        <v>21</v>
      </c>
      <c r="N630" s="4">
        <f ca="1">IF(K630="", "", MAX(0, K630 - (TODAY() - TODAY())))</f>
        <v>0</v>
      </c>
      <c r="O630" s="4" t="str">
        <f ca="1">IF(OR(K630="", J630=""), "", IF(K630&lt;0, "Vencido", IF(K630&gt;(J630/2), "Supere la mitad", "Bajo la mitad")))</f>
        <v>Vencido</v>
      </c>
      <c r="P630" s="4" t="s">
        <v>1116</v>
      </c>
      <c r="Q630" s="9">
        <v>46135</v>
      </c>
      <c r="R630" s="12" t="e">
        <f>IF(OR(Q630="", L630=""), "", NETWORKDAYS(L630, Q630,#REF!))</f>
        <v>#REF!</v>
      </c>
    </row>
    <row r="631" spans="1:18" x14ac:dyDescent="0.25">
      <c r="A631" s="8" t="s">
        <v>16</v>
      </c>
      <c r="B631" s="7" t="s">
        <v>1117</v>
      </c>
      <c r="C631" s="4" t="s">
        <v>32</v>
      </c>
      <c r="D631" s="4" t="s">
        <v>1118</v>
      </c>
      <c r="E631" s="4">
        <v>630</v>
      </c>
      <c r="F631" s="9">
        <v>46128</v>
      </c>
      <c r="G631" s="9" t="b">
        <v>0</v>
      </c>
      <c r="H631" s="4" t="b">
        <v>0</v>
      </c>
      <c r="I631" s="28" t="s">
        <v>20</v>
      </c>
      <c r="J631" s="4">
        <f t="shared" si="34"/>
        <v>15</v>
      </c>
      <c r="K631" s="4">
        <f ca="1">IF(AND(F631&lt;&gt;"", L631&lt;&gt;""), NETWORKDAYS(TODAY(), L631-1, FESTIVOS!A$1:A$55), "")</f>
        <v>-28</v>
      </c>
      <c r="L631" s="9">
        <f>IF(AND(F631&lt;&gt;"", J631&lt;&gt;""), WORKDAY(F631, J631, FESTIVOS!A$1:A$55), "")</f>
        <v>46150</v>
      </c>
      <c r="M631" s="4" t="s">
        <v>21</v>
      </c>
      <c r="N631" s="4">
        <f ca="1">IF(K631="", "", MAX(0, K631 - (TODAY() - TODAY())))</f>
        <v>0</v>
      </c>
      <c r="O631" s="4" t="str">
        <f ca="1">IF(OR(K631="", J631=""), "", IF(K631&lt;0, "Vencido", IF(K631&gt;(J631/2), "Supere la mitad", "Bajo la mitad")))</f>
        <v>Vencido</v>
      </c>
      <c r="P631" s="4" t="s">
        <v>37</v>
      </c>
      <c r="Q631" s="4" t="b">
        <v>0</v>
      </c>
      <c r="R631" s="12" t="e">
        <f>IF(OR(Q631="", L631=""), "", NETWORKDAYS(L631, Q631,#REF!))</f>
        <v>#VALUE!</v>
      </c>
    </row>
    <row r="632" spans="1:18" x14ac:dyDescent="0.25">
      <c r="A632" s="8" t="s">
        <v>16</v>
      </c>
      <c r="B632" s="7" t="s">
        <v>1119</v>
      </c>
      <c r="C632" s="4" t="s">
        <v>25</v>
      </c>
      <c r="D632" s="4" t="s">
        <v>1120</v>
      </c>
      <c r="E632" s="4">
        <v>631</v>
      </c>
      <c r="F632" s="9">
        <v>46129</v>
      </c>
      <c r="G632" s="9" t="b">
        <v>0</v>
      </c>
      <c r="H632" s="4" t="b">
        <v>0</v>
      </c>
      <c r="I632" s="28" t="s">
        <v>66</v>
      </c>
      <c r="J632" s="4">
        <f t="shared" si="34"/>
        <v>15</v>
      </c>
      <c r="K632" s="4">
        <f ca="1">IF(AND(F632&lt;&gt;"", L632&lt;&gt;""), NETWORKDAYS(TODAY(), L632-1, FESTIVOS!A$1:A$55), "")</f>
        <v>-26</v>
      </c>
      <c r="L632" s="9">
        <f>IF(AND(F632&lt;&gt;"", J632&lt;&gt;""), WORKDAY(F632, J632, FESTIVOS!A$1:A$55), "")</f>
        <v>46153</v>
      </c>
      <c r="M632" s="4" t="s">
        <v>21</v>
      </c>
      <c r="N632" s="4">
        <f t="shared" ref="N632:N682" ca="1" si="35">IF(K632="", "", MAX(0, K632 - (TODAY() - TODAY())))</f>
        <v>0</v>
      </c>
      <c r="O632" s="4" t="str">
        <f t="shared" ref="O632:O682" ca="1" si="36">IF(OR(K632="", J632=""), "", IF(K632&lt;0, "Vencido", IF(K632&gt;(J632/2), "Supere la mitad", "Bajo la mitad")))</f>
        <v>Vencido</v>
      </c>
      <c r="P632" s="4" t="s">
        <v>1121</v>
      </c>
      <c r="Q632" s="9">
        <v>46129</v>
      </c>
      <c r="R632" s="12" t="e">
        <f>IF(OR(Q632="", L632=""), "", NETWORKDAYS(L632, Q632,#REF!))</f>
        <v>#REF!</v>
      </c>
    </row>
    <row r="633" spans="1:18" x14ac:dyDescent="0.25">
      <c r="A633" s="8" t="s">
        <v>16</v>
      </c>
      <c r="B633" s="7" t="s">
        <v>1122</v>
      </c>
      <c r="C633" s="4" t="s">
        <v>25</v>
      </c>
      <c r="D633" s="4" t="s">
        <v>26</v>
      </c>
      <c r="E633" s="4">
        <v>632</v>
      </c>
      <c r="F633" s="9">
        <v>46129</v>
      </c>
      <c r="G633" s="9" t="b">
        <v>0</v>
      </c>
      <c r="H633" s="4" t="b">
        <v>0</v>
      </c>
      <c r="I633" s="28" t="s">
        <v>20</v>
      </c>
      <c r="J633" s="4">
        <f t="shared" si="34"/>
        <v>15</v>
      </c>
      <c r="K633" s="4">
        <f ca="1">IF(AND(F633&lt;&gt;"", L633&lt;&gt;""), NETWORKDAYS(TODAY(), L633-1, FESTIVOS!A$1:A$55), "")</f>
        <v>-26</v>
      </c>
      <c r="L633" s="9">
        <f>IF(AND(F633&lt;&gt;"", J633&lt;&gt;""), WORKDAY(F633, J633, FESTIVOS!A$1:A$55), "")</f>
        <v>46153</v>
      </c>
      <c r="M633" s="4" t="s">
        <v>21</v>
      </c>
      <c r="N633" s="4">
        <f t="shared" ca="1" si="35"/>
        <v>0</v>
      </c>
      <c r="O633" s="4" t="str">
        <f t="shared" ca="1" si="36"/>
        <v>Vencido</v>
      </c>
      <c r="P633" s="4" t="s">
        <v>1123</v>
      </c>
      <c r="Q633" s="9">
        <v>46141</v>
      </c>
      <c r="R633" s="12" t="e">
        <f>IF(OR(Q633="", L633=""), "", NETWORKDAYS(L633, Q633,#REF!))</f>
        <v>#REF!</v>
      </c>
    </row>
    <row r="634" spans="1:18" x14ac:dyDescent="0.25">
      <c r="A634" s="8" t="s">
        <v>16</v>
      </c>
      <c r="B634" s="7" t="s">
        <v>1124</v>
      </c>
      <c r="C634" s="4" t="s">
        <v>25</v>
      </c>
      <c r="D634" s="4" t="s">
        <v>1125</v>
      </c>
      <c r="E634" s="4">
        <v>633</v>
      </c>
      <c r="F634" s="9">
        <v>46129</v>
      </c>
      <c r="G634" s="9" t="b">
        <v>0</v>
      </c>
      <c r="H634" s="4" t="b">
        <v>0</v>
      </c>
      <c r="I634" s="28" t="s">
        <v>66</v>
      </c>
      <c r="J634" s="4">
        <f t="shared" si="34"/>
        <v>15</v>
      </c>
      <c r="K634" s="4">
        <f ca="1">IF(AND(F634&lt;&gt;"", L634&lt;&gt;""), NETWORKDAYS(TODAY(), L634-1, FESTIVOS!A$1:A$55), "")</f>
        <v>-26</v>
      </c>
      <c r="L634" s="9">
        <f>IF(AND(F634&lt;&gt;"", J634&lt;&gt;""), WORKDAY(F634, J634, FESTIVOS!A$1:A$55), "")</f>
        <v>46153</v>
      </c>
      <c r="M634" s="4" t="s">
        <v>21</v>
      </c>
      <c r="N634" s="4">
        <f t="shared" ca="1" si="35"/>
        <v>0</v>
      </c>
      <c r="O634" s="4" t="str">
        <f t="shared" ca="1" si="36"/>
        <v>Vencido</v>
      </c>
      <c r="P634" s="4" t="s">
        <v>1126</v>
      </c>
      <c r="Q634" s="9">
        <v>46132</v>
      </c>
      <c r="R634" s="12" t="e">
        <f>IF(OR(Q634="", L634=""), "", NETWORKDAYS(L634, Q634,#REF!))</f>
        <v>#REF!</v>
      </c>
    </row>
    <row r="635" spans="1:18" x14ac:dyDescent="0.25">
      <c r="A635" s="8" t="s">
        <v>16</v>
      </c>
      <c r="B635" s="7" t="s">
        <v>1127</v>
      </c>
      <c r="C635" s="4" t="s">
        <v>25</v>
      </c>
      <c r="D635" s="4" t="s">
        <v>1128</v>
      </c>
      <c r="E635" s="4">
        <v>634</v>
      </c>
      <c r="F635" s="9">
        <v>46129</v>
      </c>
      <c r="G635" s="9" t="b">
        <v>0</v>
      </c>
      <c r="H635" s="4" t="b">
        <v>0</v>
      </c>
      <c r="I635" s="28" t="s">
        <v>20</v>
      </c>
      <c r="J635" s="4">
        <f t="shared" si="34"/>
        <v>15</v>
      </c>
      <c r="K635" s="4">
        <f ca="1">IF(AND(F635&lt;&gt;"", L635&lt;&gt;""), NETWORKDAYS(TODAY(), L635-1, FESTIVOS!A$1:A$55), "")</f>
        <v>-26</v>
      </c>
      <c r="L635" s="9">
        <f>IF(AND(F635&lt;&gt;"", J635&lt;&gt;""), WORKDAY(F635, J635, FESTIVOS!A$1:A$55), "")</f>
        <v>46153</v>
      </c>
      <c r="M635" s="4" t="s">
        <v>21</v>
      </c>
      <c r="N635" s="4">
        <f t="shared" ca="1" si="35"/>
        <v>0</v>
      </c>
      <c r="O635" s="4" t="str">
        <f t="shared" ca="1" si="36"/>
        <v>Vencido</v>
      </c>
      <c r="P635" s="4" t="s">
        <v>37</v>
      </c>
      <c r="Q635" s="4" t="b">
        <v>0</v>
      </c>
      <c r="R635" s="12" t="e">
        <f>IF(OR(Q635="", L635=""), "", NETWORKDAYS(L635, Q635,#REF!))</f>
        <v>#VALUE!</v>
      </c>
    </row>
    <row r="636" spans="1:18" x14ac:dyDescent="0.25">
      <c r="A636" s="8" t="s">
        <v>16</v>
      </c>
      <c r="B636" s="7" t="s">
        <v>1129</v>
      </c>
      <c r="C636" s="4" t="s">
        <v>25</v>
      </c>
      <c r="D636" s="4" t="s">
        <v>1130</v>
      </c>
      <c r="E636" s="4">
        <v>635</v>
      </c>
      <c r="F636" s="9">
        <v>46129</v>
      </c>
      <c r="G636" s="9" t="b">
        <v>0</v>
      </c>
      <c r="H636" s="4" t="b">
        <v>0</v>
      </c>
      <c r="I636" s="28" t="s">
        <v>20</v>
      </c>
      <c r="J636" s="4">
        <f t="shared" si="34"/>
        <v>15</v>
      </c>
      <c r="K636" s="4">
        <f ca="1">IF(AND(F636&lt;&gt;"", L636&lt;&gt;""), NETWORKDAYS(TODAY(), L636-1, FESTIVOS!A$1:A$55), "")</f>
        <v>-26</v>
      </c>
      <c r="L636" s="9">
        <f>IF(AND(F636&lt;&gt;"", J636&lt;&gt;""), WORKDAY(F636, J636, FESTIVOS!A$1:A$55), "")</f>
        <v>46153</v>
      </c>
      <c r="M636" s="4" t="s">
        <v>21</v>
      </c>
      <c r="N636" s="4">
        <f t="shared" ca="1" si="35"/>
        <v>0</v>
      </c>
      <c r="O636" s="4" t="str">
        <f t="shared" ca="1" si="36"/>
        <v>Vencido</v>
      </c>
      <c r="P636" s="4" t="s">
        <v>1131</v>
      </c>
      <c r="Q636" s="9">
        <v>46135</v>
      </c>
      <c r="R636" s="12" t="e">
        <f>IF(OR(Q636="", L636=""), "", NETWORKDAYS(L636, Q636,#REF!))</f>
        <v>#REF!</v>
      </c>
    </row>
    <row r="637" spans="1:18" x14ac:dyDescent="0.25">
      <c r="A637" s="8" t="s">
        <v>16</v>
      </c>
      <c r="B637" s="7" t="s">
        <v>17</v>
      </c>
      <c r="C637" s="4" t="s">
        <v>84</v>
      </c>
      <c r="D637" s="4" t="s">
        <v>1132</v>
      </c>
      <c r="E637" s="4">
        <v>636</v>
      </c>
      <c r="F637" s="9">
        <v>46129</v>
      </c>
      <c r="G637" s="9" t="b">
        <v>0</v>
      </c>
      <c r="H637" s="4" t="b">
        <v>0</v>
      </c>
      <c r="I637" s="28" t="s">
        <v>20</v>
      </c>
      <c r="J637" s="4">
        <f t="shared" si="34"/>
        <v>15</v>
      </c>
      <c r="K637" s="4">
        <f ca="1">IF(AND(F637&lt;&gt;"", L637&lt;&gt;""), NETWORKDAYS(TODAY(), L637-1, FESTIVOS!A$1:A$55), "")</f>
        <v>-26</v>
      </c>
      <c r="L637" s="9">
        <f>IF(AND(F637&lt;&gt;"", J637&lt;&gt;""), WORKDAY(F637, J637, FESTIVOS!A$1:A$55), "")</f>
        <v>46153</v>
      </c>
      <c r="M637" s="4" t="s">
        <v>21</v>
      </c>
      <c r="N637" s="4">
        <f t="shared" ca="1" si="35"/>
        <v>0</v>
      </c>
      <c r="O637" s="4" t="str">
        <f t="shared" ca="1" si="36"/>
        <v>Vencido</v>
      </c>
      <c r="P637" s="4">
        <v>556</v>
      </c>
      <c r="Q637" s="9">
        <v>46129</v>
      </c>
      <c r="R637" s="12" t="e">
        <f>IF(OR(Q637="", L637=""), "", NETWORKDAYS(L637, Q637,#REF!))</f>
        <v>#REF!</v>
      </c>
    </row>
    <row r="638" spans="1:18" x14ac:dyDescent="0.25">
      <c r="A638" s="8" t="s">
        <v>16</v>
      </c>
      <c r="B638" s="7" t="s">
        <v>1095</v>
      </c>
      <c r="C638" s="4" t="s">
        <v>25</v>
      </c>
      <c r="D638" s="4" t="s">
        <v>1133</v>
      </c>
      <c r="E638" s="4">
        <v>637</v>
      </c>
      <c r="F638" s="9">
        <v>46132</v>
      </c>
      <c r="G638" s="9" t="b">
        <v>0</v>
      </c>
      <c r="H638" s="4" t="b">
        <v>0</v>
      </c>
      <c r="I638" s="28" t="s">
        <v>66</v>
      </c>
      <c r="J638" s="4">
        <f t="shared" si="34"/>
        <v>15</v>
      </c>
      <c r="K638" s="4">
        <f ca="1">IF(AND(F638&lt;&gt;"", L638&lt;&gt;""), NETWORKDAYS(TODAY(), L638-1, FESTIVOS!A$1:A$55), "")</f>
        <v>-26</v>
      </c>
      <c r="L638" s="9">
        <f>IF(AND(F638&lt;&gt;"", J638&lt;&gt;""), WORKDAY(F638, J638, FESTIVOS!A$1:A$55), "")</f>
        <v>46154</v>
      </c>
      <c r="M638" s="4" t="s">
        <v>21</v>
      </c>
      <c r="N638" s="4">
        <f t="shared" ca="1" si="35"/>
        <v>0</v>
      </c>
      <c r="O638" s="4" t="str">
        <f t="shared" ca="1" si="36"/>
        <v>Vencido</v>
      </c>
      <c r="P638" s="4" t="s">
        <v>1134</v>
      </c>
      <c r="Q638" s="9">
        <v>46136</v>
      </c>
      <c r="R638" s="12" t="e">
        <f>IF(OR(Q638="", L638=""), "", NETWORKDAYS(L638, Q638,#REF!))</f>
        <v>#REF!</v>
      </c>
    </row>
    <row r="639" spans="1:18" x14ac:dyDescent="0.25">
      <c r="A639" s="8" t="s">
        <v>16</v>
      </c>
      <c r="B639" s="7" t="s">
        <v>1135</v>
      </c>
      <c r="C639" s="4" t="s">
        <v>25</v>
      </c>
      <c r="D639" s="4" t="s">
        <v>1136</v>
      </c>
      <c r="E639" s="4">
        <v>638</v>
      </c>
      <c r="F639" s="9">
        <v>46132</v>
      </c>
      <c r="G639" s="9" t="b">
        <v>0</v>
      </c>
      <c r="H639" s="4" t="b">
        <v>0</v>
      </c>
      <c r="I639" s="28" t="s">
        <v>66</v>
      </c>
      <c r="J639" s="4">
        <f t="shared" si="34"/>
        <v>15</v>
      </c>
      <c r="K639" s="4">
        <f ca="1">IF(AND(F639&lt;&gt;"", L639&lt;&gt;""), NETWORKDAYS(TODAY(), L639-1, FESTIVOS!A$1:A$55), "")</f>
        <v>-26</v>
      </c>
      <c r="L639" s="9">
        <f>IF(AND(F639&lt;&gt;"", J639&lt;&gt;""), WORKDAY(F639, J639, FESTIVOS!A$1:A$55), "")</f>
        <v>46154</v>
      </c>
      <c r="M639" s="4" t="s">
        <v>21</v>
      </c>
      <c r="N639" s="4">
        <f t="shared" ca="1" si="35"/>
        <v>0</v>
      </c>
      <c r="O639" s="4" t="str">
        <f t="shared" ca="1" si="36"/>
        <v>Vencido</v>
      </c>
      <c r="P639" s="4" t="s">
        <v>1137</v>
      </c>
      <c r="Q639" s="9">
        <v>46136</v>
      </c>
      <c r="R639" s="12" t="e">
        <f>IF(OR(Q639="", L639=""), "", NETWORKDAYS(L639, Q639,#REF!))</f>
        <v>#REF!</v>
      </c>
    </row>
    <row r="640" spans="1:18" x14ac:dyDescent="0.25">
      <c r="A640" s="8" t="s">
        <v>16</v>
      </c>
      <c r="B640" s="7" t="s">
        <v>1138</v>
      </c>
      <c r="C640" s="4" t="s">
        <v>25</v>
      </c>
      <c r="D640" s="4" t="s">
        <v>903</v>
      </c>
      <c r="E640" s="4">
        <v>639</v>
      </c>
      <c r="F640" s="9">
        <v>46132</v>
      </c>
      <c r="G640" s="9" t="b">
        <v>0</v>
      </c>
      <c r="H640" s="4" t="b">
        <v>0</v>
      </c>
      <c r="I640" s="28" t="s">
        <v>20</v>
      </c>
      <c r="J640" s="4">
        <f t="shared" si="34"/>
        <v>15</v>
      </c>
      <c r="K640" s="4">
        <f ca="1">IF(AND(F640&lt;&gt;"", L640&lt;&gt;""), NETWORKDAYS(TODAY(), L640-1, FESTIVOS!A$1:A$55), "")</f>
        <v>-26</v>
      </c>
      <c r="L640" s="9">
        <f>IF(AND(F640&lt;&gt;"", J640&lt;&gt;""), WORKDAY(F640, J640, FESTIVOS!A$1:A$55), "")</f>
        <v>46154</v>
      </c>
      <c r="M640" s="4" t="s">
        <v>21</v>
      </c>
      <c r="N640" s="4">
        <f t="shared" ca="1" si="35"/>
        <v>0</v>
      </c>
      <c r="O640" s="4" t="str">
        <f t="shared" ca="1" si="36"/>
        <v>Vencido</v>
      </c>
      <c r="P640" s="4" t="s">
        <v>1139</v>
      </c>
      <c r="Q640" s="9">
        <v>46150</v>
      </c>
      <c r="R640" s="12" t="e">
        <f>IF(OR(Q640="", L640=""), "", NETWORKDAYS(L640, Q640,#REF!))</f>
        <v>#REF!</v>
      </c>
    </row>
    <row r="641" spans="1:18" x14ac:dyDescent="0.25">
      <c r="A641" s="8" t="s">
        <v>16</v>
      </c>
      <c r="B641" s="7" t="s">
        <v>1140</v>
      </c>
      <c r="C641" s="4" t="s">
        <v>25</v>
      </c>
      <c r="D641" s="4" t="s">
        <v>271</v>
      </c>
      <c r="E641" s="4">
        <v>640</v>
      </c>
      <c r="F641" s="9">
        <v>46132</v>
      </c>
      <c r="G641" s="9" t="b">
        <v>0</v>
      </c>
      <c r="H641" s="4" t="b">
        <v>0</v>
      </c>
      <c r="I641" s="28" t="s">
        <v>20</v>
      </c>
      <c r="J641" s="4">
        <f t="shared" si="34"/>
        <v>15</v>
      </c>
      <c r="K641" s="4">
        <f ca="1">IF(AND(F641&lt;&gt;"", L641&lt;&gt;""), NETWORKDAYS(TODAY(), L641-1, FESTIVOS!A$1:A$55), "")</f>
        <v>-26</v>
      </c>
      <c r="L641" s="9">
        <f>IF(AND(F641&lt;&gt;"", J641&lt;&gt;""), WORKDAY(F641, J641, FESTIVOS!A$1:A$55), "")</f>
        <v>46154</v>
      </c>
      <c r="M641" s="4" t="s">
        <v>21</v>
      </c>
      <c r="N641" s="4">
        <f t="shared" ca="1" si="35"/>
        <v>0</v>
      </c>
      <c r="O641" s="4" t="str">
        <f t="shared" ca="1" si="36"/>
        <v>Vencido</v>
      </c>
      <c r="P641" s="4" t="s">
        <v>1141</v>
      </c>
      <c r="Q641" s="9">
        <v>46135</v>
      </c>
      <c r="R641" s="12" t="e">
        <f>IF(OR(Q641="", L641=""), "", NETWORKDAYS(L641, Q641,#REF!))</f>
        <v>#REF!</v>
      </c>
    </row>
    <row r="642" spans="1:18" x14ac:dyDescent="0.25">
      <c r="A642" s="8" t="s">
        <v>16</v>
      </c>
      <c r="B642" s="7" t="s">
        <v>918</v>
      </c>
      <c r="C642" s="4" t="s">
        <v>84</v>
      </c>
      <c r="D642" s="4" t="s">
        <v>85</v>
      </c>
      <c r="E642" s="4">
        <v>641</v>
      </c>
      <c r="F642" s="9">
        <v>46132</v>
      </c>
      <c r="G642" s="9" t="b">
        <v>0</v>
      </c>
      <c r="H642" s="4" t="b">
        <v>0</v>
      </c>
      <c r="I642" s="28" t="s">
        <v>20</v>
      </c>
      <c r="J642" s="4">
        <f t="shared" si="34"/>
        <v>15</v>
      </c>
      <c r="K642" s="4">
        <f ca="1">IF(AND(F642&lt;&gt;"", L642&lt;&gt;""), NETWORKDAYS(TODAY(), L642-1, FESTIVOS!A$1:A$55), "")</f>
        <v>-26</v>
      </c>
      <c r="L642" s="9">
        <f>IF(AND(F642&lt;&gt;"", J642&lt;&gt;""), WORKDAY(F642, J642, FESTIVOS!A$1:A$55), "")</f>
        <v>46154</v>
      </c>
      <c r="M642" s="4" t="s">
        <v>21</v>
      </c>
      <c r="N642" s="4">
        <f t="shared" ca="1" si="35"/>
        <v>0</v>
      </c>
      <c r="O642" s="4" t="str">
        <f t="shared" ca="1" si="36"/>
        <v>Vencido</v>
      </c>
      <c r="P642" s="4" t="s">
        <v>1142</v>
      </c>
      <c r="Q642" s="4" t="b">
        <v>0</v>
      </c>
      <c r="R642" s="12" t="e">
        <f>IF(OR(Q642="", L642=""), "", NETWORKDAYS(L642, Q642,#REF!))</f>
        <v>#VALUE!</v>
      </c>
    </row>
    <row r="643" spans="1:18" x14ac:dyDescent="0.25">
      <c r="A643" s="8" t="s">
        <v>16</v>
      </c>
      <c r="B643" s="7" t="s">
        <v>918</v>
      </c>
      <c r="C643" s="4" t="s">
        <v>84</v>
      </c>
      <c r="D643" s="4" t="s">
        <v>85</v>
      </c>
      <c r="E643" s="4">
        <v>642</v>
      </c>
      <c r="F643" s="9">
        <v>46132</v>
      </c>
      <c r="G643" s="9" t="b">
        <v>0</v>
      </c>
      <c r="H643" s="4" t="b">
        <v>0</v>
      </c>
      <c r="I643" s="28" t="s">
        <v>20</v>
      </c>
      <c r="J643" s="4">
        <f t="shared" si="34"/>
        <v>15</v>
      </c>
      <c r="K643" s="4">
        <f ca="1">IF(AND(F643&lt;&gt;"", L643&lt;&gt;""), NETWORKDAYS(TODAY(), L643-1, FESTIVOS!A$1:A$55), "")</f>
        <v>-26</v>
      </c>
      <c r="L643" s="9">
        <f>IF(AND(F643&lt;&gt;"", J643&lt;&gt;""), WORKDAY(F643, J643, FESTIVOS!A$1:A$55), "")</f>
        <v>46154</v>
      </c>
      <c r="M643" s="4" t="s">
        <v>21</v>
      </c>
      <c r="N643" s="4">
        <f t="shared" ca="1" si="35"/>
        <v>0</v>
      </c>
      <c r="O643" s="4" t="str">
        <f t="shared" ca="1" si="36"/>
        <v>Vencido</v>
      </c>
      <c r="P643" s="4" t="s">
        <v>37</v>
      </c>
      <c r="Q643" s="4" t="b">
        <v>0</v>
      </c>
      <c r="R643" s="12" t="e">
        <f>IF(OR(Q643="", L643=""), "", NETWORKDAYS(L643, Q643,#REF!))</f>
        <v>#VALUE!</v>
      </c>
    </row>
    <row r="644" spans="1:18" x14ac:dyDescent="0.25">
      <c r="A644" s="8" t="s">
        <v>16</v>
      </c>
      <c r="B644" s="7" t="s">
        <v>918</v>
      </c>
      <c r="C644" s="4" t="s">
        <v>84</v>
      </c>
      <c r="D644" s="4" t="s">
        <v>85</v>
      </c>
      <c r="E644" s="4">
        <v>643</v>
      </c>
      <c r="F644" s="9">
        <v>46132</v>
      </c>
      <c r="G644" s="9" t="b">
        <v>0</v>
      </c>
      <c r="H644" s="4" t="b">
        <v>0</v>
      </c>
      <c r="I644" s="28" t="s">
        <v>20</v>
      </c>
      <c r="J644" s="4">
        <f t="shared" si="34"/>
        <v>15</v>
      </c>
      <c r="K644" s="4">
        <f ca="1">IF(AND(F644&lt;&gt;"", L644&lt;&gt;""), NETWORKDAYS(TODAY(), L644-1, FESTIVOS!A$1:A$55), "")</f>
        <v>-26</v>
      </c>
      <c r="L644" s="9">
        <f>IF(AND(F644&lt;&gt;"", J644&lt;&gt;""), WORKDAY(F644, J644, FESTIVOS!A$1:A$55), "")</f>
        <v>46154</v>
      </c>
      <c r="M644" s="4" t="s">
        <v>21</v>
      </c>
      <c r="N644" s="4">
        <f t="shared" ca="1" si="35"/>
        <v>0</v>
      </c>
      <c r="O644" s="4" t="str">
        <f t="shared" ca="1" si="36"/>
        <v>Vencido</v>
      </c>
      <c r="P644" s="4" t="s">
        <v>37</v>
      </c>
      <c r="Q644" s="4" t="b">
        <v>0</v>
      </c>
      <c r="R644" s="12" t="e">
        <f>IF(OR(Q644="", L644=""), "", NETWORKDAYS(L644, Q644,#REF!))</f>
        <v>#VALUE!</v>
      </c>
    </row>
    <row r="645" spans="1:18" x14ac:dyDescent="0.25">
      <c r="A645" s="8" t="s">
        <v>16</v>
      </c>
      <c r="B645" s="7" t="s">
        <v>918</v>
      </c>
      <c r="C645" s="4" t="s">
        <v>84</v>
      </c>
      <c r="D645" s="4" t="s">
        <v>85</v>
      </c>
      <c r="E645" s="4">
        <v>644</v>
      </c>
      <c r="F645" s="9">
        <v>46132</v>
      </c>
      <c r="G645" s="9" t="b">
        <v>0</v>
      </c>
      <c r="H645" s="4" t="b">
        <v>0</v>
      </c>
      <c r="I645" s="28" t="s">
        <v>20</v>
      </c>
      <c r="J645" s="4">
        <f t="shared" si="34"/>
        <v>15</v>
      </c>
      <c r="K645" s="4">
        <f ca="1">IF(AND(F645&lt;&gt;"", L645&lt;&gt;""), NETWORKDAYS(TODAY(), L645-1, FESTIVOS!A$1:A$55), "")</f>
        <v>-26</v>
      </c>
      <c r="L645" s="9">
        <f>IF(AND(F645&lt;&gt;"", J645&lt;&gt;""), WORKDAY(F645, J645, FESTIVOS!A$1:A$55), "")</f>
        <v>46154</v>
      </c>
      <c r="M645" s="4" t="s">
        <v>21</v>
      </c>
      <c r="N645" s="4">
        <f t="shared" ca="1" si="35"/>
        <v>0</v>
      </c>
      <c r="O645" s="4" t="str">
        <f t="shared" ca="1" si="36"/>
        <v>Vencido</v>
      </c>
      <c r="P645" s="4" t="s">
        <v>37</v>
      </c>
      <c r="Q645" s="9" t="b">
        <v>0</v>
      </c>
      <c r="R645" s="12" t="e">
        <f>IF(OR(Q645="", L645=""), "", NETWORKDAYS(L645, Q645,#REF!))</f>
        <v>#VALUE!</v>
      </c>
    </row>
    <row r="646" spans="1:18" x14ac:dyDescent="0.25">
      <c r="A646" s="8" t="s">
        <v>16</v>
      </c>
      <c r="B646" s="7" t="s">
        <v>1143</v>
      </c>
      <c r="C646" s="4" t="s">
        <v>25</v>
      </c>
      <c r="D646" s="4" t="s">
        <v>61</v>
      </c>
      <c r="E646" s="4">
        <v>645</v>
      </c>
      <c r="F646" s="9">
        <v>46132</v>
      </c>
      <c r="G646" s="9" t="b">
        <v>0</v>
      </c>
      <c r="H646" s="4" t="b">
        <v>0</v>
      </c>
      <c r="I646" s="28" t="s">
        <v>20</v>
      </c>
      <c r="J646" s="4">
        <f t="shared" si="34"/>
        <v>15</v>
      </c>
      <c r="K646" s="4">
        <f ca="1">IF(AND(F646&lt;&gt;"", L646&lt;&gt;""), NETWORKDAYS(TODAY(), L646-1, FESTIVOS!A$1:A$55), "")</f>
        <v>-26</v>
      </c>
      <c r="L646" s="9">
        <f>IF(AND(F646&lt;&gt;"", J646&lt;&gt;""), WORKDAY(F646, J646, FESTIVOS!A$1:A$55), "")</f>
        <v>46154</v>
      </c>
      <c r="M646" s="4" t="s">
        <v>21</v>
      </c>
      <c r="N646" s="4">
        <f t="shared" ca="1" si="35"/>
        <v>0</v>
      </c>
      <c r="O646" s="4" t="str">
        <f t="shared" ca="1" si="36"/>
        <v>Vencido</v>
      </c>
      <c r="P646" s="4" t="s">
        <v>1144</v>
      </c>
      <c r="Q646" s="9">
        <v>46135</v>
      </c>
      <c r="R646" s="12" t="e">
        <f>IF(OR(Q646="", L646=""), "", NETWORKDAYS(L646, Q646,#REF!))</f>
        <v>#REF!</v>
      </c>
    </row>
    <row r="647" spans="1:18" x14ac:dyDescent="0.25">
      <c r="A647" s="8" t="s">
        <v>16</v>
      </c>
      <c r="B647" s="7" t="s">
        <v>1145</v>
      </c>
      <c r="C647" s="4" t="s">
        <v>25</v>
      </c>
      <c r="D647" s="4" t="s">
        <v>221</v>
      </c>
      <c r="E647" s="4">
        <v>646</v>
      </c>
      <c r="F647" s="9">
        <v>46132</v>
      </c>
      <c r="G647" s="9" t="b">
        <v>0</v>
      </c>
      <c r="H647" s="4" t="b">
        <v>0</v>
      </c>
      <c r="I647" s="28" t="s">
        <v>20</v>
      </c>
      <c r="J647" s="4">
        <f t="shared" si="34"/>
        <v>15</v>
      </c>
      <c r="K647" s="4">
        <f ca="1">IF(AND(F647&lt;&gt;"", L647&lt;&gt;""), NETWORKDAYS(TODAY(), L647-1, FESTIVOS!A$1:A$55), "")</f>
        <v>-26</v>
      </c>
      <c r="L647" s="9">
        <f>IF(AND(F647&lt;&gt;"", J647&lt;&gt;""), WORKDAY(F647, J647, FESTIVOS!A$1:A$55), "")</f>
        <v>46154</v>
      </c>
      <c r="M647" s="4" t="s">
        <v>21</v>
      </c>
      <c r="N647" s="4">
        <f t="shared" ca="1" si="35"/>
        <v>0</v>
      </c>
      <c r="O647" s="4" t="str">
        <f t="shared" ca="1" si="36"/>
        <v>Vencido</v>
      </c>
      <c r="P647" s="4" t="s">
        <v>1146</v>
      </c>
      <c r="Q647" s="9">
        <v>46135</v>
      </c>
      <c r="R647" s="12" t="e">
        <f>IF(OR(Q647="", L647=""), "", NETWORKDAYS(L647, Q647,#REF!))</f>
        <v>#REF!</v>
      </c>
    </row>
    <row r="648" spans="1:18" x14ac:dyDescent="0.25">
      <c r="A648" s="8" t="s">
        <v>16</v>
      </c>
      <c r="B648" s="7" t="s">
        <v>1147</v>
      </c>
      <c r="C648" s="4" t="s">
        <v>179</v>
      </c>
      <c r="D648" s="4" t="s">
        <v>1148</v>
      </c>
      <c r="E648" s="4">
        <v>647</v>
      </c>
      <c r="F648" s="9">
        <v>46132</v>
      </c>
      <c r="G648" s="9" t="b">
        <v>0</v>
      </c>
      <c r="H648" s="4" t="b">
        <v>0</v>
      </c>
      <c r="I648" s="28" t="s">
        <v>20</v>
      </c>
      <c r="J648" s="4">
        <f t="shared" si="34"/>
        <v>15</v>
      </c>
      <c r="K648" s="4">
        <f ca="1">IF(AND(F648&lt;&gt;"", L648&lt;&gt;""), NETWORKDAYS(TODAY(), L648-1, FESTIVOS!A$1:A$55), "")</f>
        <v>-26</v>
      </c>
      <c r="L648" s="9">
        <f>IF(AND(F648&lt;&gt;"", J648&lt;&gt;""), WORKDAY(F648, J648, FESTIVOS!A$1:A$55), "")</f>
        <v>46154</v>
      </c>
      <c r="M648" s="4" t="s">
        <v>21</v>
      </c>
      <c r="N648" s="4">
        <f t="shared" ca="1" si="35"/>
        <v>0</v>
      </c>
      <c r="O648" s="4" t="str">
        <f t="shared" ca="1" si="36"/>
        <v>Vencido</v>
      </c>
      <c r="P648" s="4" t="s">
        <v>37</v>
      </c>
      <c r="Q648" s="4" t="b">
        <v>0</v>
      </c>
      <c r="R648" s="12" t="e">
        <f>IF(OR(Q648="", L648=""), "", NETWORKDAYS(L648, Q648,#REF!))</f>
        <v>#VALUE!</v>
      </c>
    </row>
    <row r="649" spans="1:18" x14ac:dyDescent="0.25">
      <c r="A649" s="8" t="s">
        <v>16</v>
      </c>
      <c r="B649" s="7" t="s">
        <v>17</v>
      </c>
      <c r="C649" s="4" t="s">
        <v>84</v>
      </c>
      <c r="D649" s="4" t="s">
        <v>102</v>
      </c>
      <c r="E649" s="4">
        <v>648</v>
      </c>
      <c r="F649" s="9">
        <v>46132</v>
      </c>
      <c r="G649" s="9" t="b">
        <v>0</v>
      </c>
      <c r="H649" s="4" t="b">
        <v>0</v>
      </c>
      <c r="I649" s="28" t="s">
        <v>20</v>
      </c>
      <c r="J649" s="4">
        <f t="shared" si="34"/>
        <v>15</v>
      </c>
      <c r="K649" s="4">
        <f ca="1">IF(AND(F649&lt;&gt;"", L649&lt;&gt;""), NETWORKDAYS(TODAY(), L649-1, FESTIVOS!A$1:A$55), "")</f>
        <v>-26</v>
      </c>
      <c r="L649" s="9">
        <f>IF(AND(F649&lt;&gt;"", J649&lt;&gt;""), WORKDAY(F649, J649, FESTIVOS!A$1:A$55), "")</f>
        <v>46154</v>
      </c>
      <c r="M649" s="4" t="s">
        <v>21</v>
      </c>
      <c r="N649" s="4">
        <f t="shared" ca="1" si="35"/>
        <v>0</v>
      </c>
      <c r="O649" s="4" t="str">
        <f t="shared" ca="1" si="36"/>
        <v>Vencido</v>
      </c>
      <c r="P649" s="4" t="s">
        <v>1149</v>
      </c>
      <c r="Q649" s="9">
        <v>46141</v>
      </c>
      <c r="R649" s="12" t="e">
        <f>IF(OR(Q649="", L649=""), "", NETWORKDAYS(L649, Q649,#REF!))</f>
        <v>#REF!</v>
      </c>
    </row>
    <row r="650" spans="1:18" x14ac:dyDescent="0.25">
      <c r="A650" s="8" t="s">
        <v>16</v>
      </c>
      <c r="B650" s="7" t="s">
        <v>17</v>
      </c>
      <c r="C650" s="4" t="s">
        <v>84</v>
      </c>
      <c r="D650" s="4" t="s">
        <v>102</v>
      </c>
      <c r="E650" s="4">
        <v>649</v>
      </c>
      <c r="F650" s="9">
        <v>46132</v>
      </c>
      <c r="G650" s="9" t="b">
        <v>0</v>
      </c>
      <c r="H650" s="4" t="b">
        <v>0</v>
      </c>
      <c r="I650" s="28" t="s">
        <v>20</v>
      </c>
      <c r="J650" s="4">
        <f t="shared" si="34"/>
        <v>15</v>
      </c>
      <c r="K650" s="4">
        <f ca="1">IF(AND(F650&lt;&gt;"", L650&lt;&gt;""), NETWORKDAYS(TODAY(), L650-1, FESTIVOS!A$1:A$55), "")</f>
        <v>-26</v>
      </c>
      <c r="L650" s="9">
        <f>IF(AND(F650&lt;&gt;"", J650&lt;&gt;""), WORKDAY(F650, J650, FESTIVOS!A$1:A$55), "")</f>
        <v>46154</v>
      </c>
      <c r="M650" s="4" t="s">
        <v>21</v>
      </c>
      <c r="N650" s="4">
        <f t="shared" ca="1" si="35"/>
        <v>0</v>
      </c>
      <c r="O650" s="4" t="str">
        <f t="shared" ca="1" si="36"/>
        <v>Vencido</v>
      </c>
      <c r="P650" s="4" t="s">
        <v>1149</v>
      </c>
      <c r="Q650" s="9">
        <v>46141</v>
      </c>
      <c r="R650" s="12" t="e">
        <f>IF(OR(Q650="", L650=""), "", NETWORKDAYS(L650, Q650,#REF!))</f>
        <v>#REF!</v>
      </c>
    </row>
    <row r="651" spans="1:18" x14ac:dyDescent="0.25">
      <c r="A651" s="8" t="s">
        <v>16</v>
      </c>
      <c r="B651" s="7" t="s">
        <v>17</v>
      </c>
      <c r="C651" s="4" t="s">
        <v>84</v>
      </c>
      <c r="D651" s="4" t="s">
        <v>102</v>
      </c>
      <c r="E651" s="4">
        <v>650</v>
      </c>
      <c r="F651" s="9">
        <v>46132</v>
      </c>
      <c r="G651" s="9" t="b">
        <v>0</v>
      </c>
      <c r="H651" s="4" t="b">
        <v>0</v>
      </c>
      <c r="I651" s="28" t="s">
        <v>20</v>
      </c>
      <c r="J651" s="4">
        <f t="shared" si="34"/>
        <v>15</v>
      </c>
      <c r="K651" s="4">
        <f ca="1">IF(AND(F651&lt;&gt;"", L651&lt;&gt;""), NETWORKDAYS(TODAY(), L651-1, FESTIVOS!A$1:A$55), "")</f>
        <v>-26</v>
      </c>
      <c r="L651" s="9">
        <f>IF(AND(F651&lt;&gt;"", J651&lt;&gt;""), WORKDAY(F651, J651, FESTIVOS!A$1:A$55), "")</f>
        <v>46154</v>
      </c>
      <c r="M651" s="4" t="s">
        <v>21</v>
      </c>
      <c r="N651" s="4">
        <f t="shared" ca="1" si="35"/>
        <v>0</v>
      </c>
      <c r="O651" s="4" t="str">
        <f t="shared" ca="1" si="36"/>
        <v>Vencido</v>
      </c>
      <c r="P651" s="4" t="s">
        <v>1149</v>
      </c>
      <c r="Q651" s="9">
        <v>46141</v>
      </c>
      <c r="R651" s="12" t="e">
        <f>IF(OR(Q651="", L651=""), "", NETWORKDAYS(L651, Q651,#REF!))</f>
        <v>#REF!</v>
      </c>
    </row>
    <row r="652" spans="1:18" x14ac:dyDescent="0.25">
      <c r="A652" s="8" t="s">
        <v>16</v>
      </c>
      <c r="B652" s="7" t="s">
        <v>1150</v>
      </c>
      <c r="C652" s="4" t="s">
        <v>25</v>
      </c>
      <c r="D652" s="4" t="s">
        <v>1151</v>
      </c>
      <c r="E652" s="4">
        <v>651</v>
      </c>
      <c r="F652" s="9">
        <v>46133</v>
      </c>
      <c r="G652" s="9" t="b">
        <v>0</v>
      </c>
      <c r="H652" s="4" t="b">
        <v>0</v>
      </c>
      <c r="I652" s="28" t="s">
        <v>66</v>
      </c>
      <c r="J652" s="4">
        <f t="shared" si="34"/>
        <v>15</v>
      </c>
      <c r="K652" s="4">
        <f ca="1">IF(AND(F652&lt;&gt;"", L652&lt;&gt;""), NETWORKDAYS(TODAY(), L652-1, FESTIVOS!A$1:A$55), "")</f>
        <v>-25</v>
      </c>
      <c r="L652" s="9">
        <f>IF(AND(F652&lt;&gt;"", J652&lt;&gt;""), WORKDAY(F652, J652, FESTIVOS!A$1:A$55), "")</f>
        <v>46155</v>
      </c>
      <c r="M652" s="4" t="s">
        <v>21</v>
      </c>
      <c r="N652" s="4">
        <f t="shared" ca="1" si="35"/>
        <v>0</v>
      </c>
      <c r="O652" s="4" t="str">
        <f t="shared" ca="1" si="36"/>
        <v>Vencido</v>
      </c>
      <c r="P652" s="4" t="s">
        <v>1152</v>
      </c>
      <c r="Q652" s="9">
        <v>46136</v>
      </c>
      <c r="R652" s="12" t="e">
        <f>IF(OR(Q652="", L652=""), "", NETWORKDAYS(L652, Q652,#REF!))</f>
        <v>#REF!</v>
      </c>
    </row>
    <row r="653" spans="1:18" x14ac:dyDescent="0.25">
      <c r="A653" s="8" t="s">
        <v>16</v>
      </c>
      <c r="B653" s="7" t="s">
        <v>1153</v>
      </c>
      <c r="C653" s="4" t="s">
        <v>179</v>
      </c>
      <c r="D653" s="4" t="s">
        <v>1154</v>
      </c>
      <c r="E653" s="4">
        <v>652</v>
      </c>
      <c r="F653" s="9">
        <v>46133</v>
      </c>
      <c r="G653" s="9" t="b">
        <v>0</v>
      </c>
      <c r="H653" s="4" t="b">
        <v>0</v>
      </c>
      <c r="I653" s="28" t="s">
        <v>20</v>
      </c>
      <c r="J653" s="4">
        <f t="shared" si="34"/>
        <v>15</v>
      </c>
      <c r="K653" s="4">
        <f ca="1">IF(AND(F653&lt;&gt;"", L653&lt;&gt;""), NETWORKDAYS(TODAY(), L653-1, FESTIVOS!A$1:A$55), "")</f>
        <v>-25</v>
      </c>
      <c r="L653" s="9">
        <f>IF(AND(F653&lt;&gt;"", J653&lt;&gt;""), WORKDAY(F653, J653, FESTIVOS!A$1:A$55), "")</f>
        <v>46155</v>
      </c>
      <c r="M653" s="4" t="s">
        <v>21</v>
      </c>
      <c r="N653" s="4">
        <f t="shared" ca="1" si="35"/>
        <v>0</v>
      </c>
      <c r="O653" s="4" t="str">
        <f t="shared" ca="1" si="36"/>
        <v>Vencido</v>
      </c>
      <c r="P653" s="4" t="s">
        <v>1155</v>
      </c>
      <c r="Q653" s="9">
        <v>46135</v>
      </c>
      <c r="R653" s="12" t="e">
        <f>IF(OR(Q653="", L653=""), "", NETWORKDAYS(L653, Q653,#REF!))</f>
        <v>#REF!</v>
      </c>
    </row>
    <row r="654" spans="1:18" x14ac:dyDescent="0.25">
      <c r="A654" s="8" t="s">
        <v>16</v>
      </c>
      <c r="B654" s="7" t="s">
        <v>1156</v>
      </c>
      <c r="C654" s="4" t="s">
        <v>25</v>
      </c>
      <c r="D654" s="4" t="s">
        <v>1084</v>
      </c>
      <c r="E654" s="4">
        <v>653</v>
      </c>
      <c r="F654" s="9">
        <v>46133</v>
      </c>
      <c r="G654" s="9" t="b">
        <v>0</v>
      </c>
      <c r="H654" s="4" t="b">
        <v>0</v>
      </c>
      <c r="I654" s="28" t="s">
        <v>20</v>
      </c>
      <c r="J654" s="4">
        <f t="shared" si="34"/>
        <v>15</v>
      </c>
      <c r="K654" s="4">
        <f ca="1">IF(AND(F654&lt;&gt;"", L654&lt;&gt;""), NETWORKDAYS(TODAY(), L654-1, FESTIVOS!A$1:A$55), "")</f>
        <v>-25</v>
      </c>
      <c r="L654" s="9">
        <f>IF(AND(F654&lt;&gt;"", J654&lt;&gt;""), WORKDAY(F654, J654, FESTIVOS!A$1:A$55), "")</f>
        <v>46155</v>
      </c>
      <c r="M654" s="4" t="s">
        <v>21</v>
      </c>
      <c r="N654" s="4">
        <f t="shared" ca="1" si="35"/>
        <v>0</v>
      </c>
      <c r="O654" s="4" t="str">
        <f t="shared" ca="1" si="36"/>
        <v>Vencido</v>
      </c>
      <c r="P654" s="4" t="s">
        <v>37</v>
      </c>
      <c r="Q654" s="4" t="b">
        <v>0</v>
      </c>
      <c r="R654" s="12" t="e">
        <f>IF(OR(Q654="", L654=""), "", NETWORKDAYS(L654, Q654,#REF!))</f>
        <v>#VALUE!</v>
      </c>
    </row>
    <row r="655" spans="1:18" x14ac:dyDescent="0.25">
      <c r="A655" s="8" t="s">
        <v>16</v>
      </c>
      <c r="B655" s="7" t="s">
        <v>1157</v>
      </c>
      <c r="C655" s="4" t="s">
        <v>25</v>
      </c>
      <c r="D655" s="4" t="s">
        <v>1084</v>
      </c>
      <c r="E655" s="4">
        <v>654</v>
      </c>
      <c r="F655" s="9">
        <v>46133</v>
      </c>
      <c r="G655" s="9" t="b">
        <v>0</v>
      </c>
      <c r="H655" s="4" t="b">
        <v>0</v>
      </c>
      <c r="I655" s="28" t="s">
        <v>20</v>
      </c>
      <c r="J655" s="4">
        <f t="shared" si="34"/>
        <v>15</v>
      </c>
      <c r="K655" s="4">
        <f ca="1">IF(AND(F655&lt;&gt;"", L655&lt;&gt;""), NETWORKDAYS(TODAY(), L655-1, FESTIVOS!A$1:A$55), "")</f>
        <v>-25</v>
      </c>
      <c r="L655" s="9">
        <f>IF(AND(F655&lt;&gt;"", J655&lt;&gt;""), WORKDAY(F655, J655, FESTIVOS!A$1:A$55), "")</f>
        <v>46155</v>
      </c>
      <c r="M655" s="4" t="s">
        <v>21</v>
      </c>
      <c r="N655" s="4">
        <f t="shared" ca="1" si="35"/>
        <v>0</v>
      </c>
      <c r="O655" s="4" t="str">
        <f t="shared" ca="1" si="36"/>
        <v>Vencido</v>
      </c>
      <c r="P655" s="4" t="s">
        <v>37</v>
      </c>
      <c r="Q655" s="4" t="b">
        <v>0</v>
      </c>
      <c r="R655" s="12" t="e">
        <f>IF(OR(Q655="", L655=""), "", NETWORKDAYS(L655, Q655,#REF!))</f>
        <v>#VALUE!</v>
      </c>
    </row>
    <row r="656" spans="1:18" x14ac:dyDescent="0.25">
      <c r="A656" s="8" t="s">
        <v>16</v>
      </c>
      <c r="B656" s="7" t="s">
        <v>1158</v>
      </c>
      <c r="C656" s="4" t="s">
        <v>25</v>
      </c>
      <c r="D656" s="4" t="s">
        <v>1084</v>
      </c>
      <c r="E656" s="4">
        <v>655</v>
      </c>
      <c r="F656" s="9">
        <v>46133</v>
      </c>
      <c r="G656" s="9" t="b">
        <v>0</v>
      </c>
      <c r="H656" s="4" t="b">
        <v>0</v>
      </c>
      <c r="I656" s="28" t="s">
        <v>20</v>
      </c>
      <c r="J656" s="4">
        <f t="shared" si="34"/>
        <v>15</v>
      </c>
      <c r="K656" s="4">
        <f ca="1">IF(AND(F656&lt;&gt;"", L656&lt;&gt;""), NETWORKDAYS(TODAY(), L656-1, FESTIVOS!A$1:A$55), "")</f>
        <v>-25</v>
      </c>
      <c r="L656" s="9">
        <f>IF(AND(F656&lt;&gt;"", J656&lt;&gt;""), WORKDAY(F656, J656, FESTIVOS!A$1:A$55), "")</f>
        <v>46155</v>
      </c>
      <c r="M656" s="4" t="s">
        <v>21</v>
      </c>
      <c r="N656" s="4">
        <f t="shared" ca="1" si="35"/>
        <v>0</v>
      </c>
      <c r="O656" s="4" t="str">
        <f t="shared" ca="1" si="36"/>
        <v>Vencido</v>
      </c>
      <c r="P656" s="4" t="s">
        <v>37</v>
      </c>
      <c r="Q656" s="4" t="b">
        <v>0</v>
      </c>
      <c r="R656" s="12" t="e">
        <f>IF(OR(Q656="", L656=""), "", NETWORKDAYS(L656, Q656,#REF!))</f>
        <v>#VALUE!</v>
      </c>
    </row>
    <row r="657" spans="1:18" x14ac:dyDescent="0.25">
      <c r="A657" s="8" t="s">
        <v>16</v>
      </c>
      <c r="B657" s="7" t="s">
        <v>1159</v>
      </c>
      <c r="C657" s="4" t="s">
        <v>32</v>
      </c>
      <c r="D657" s="4" t="s">
        <v>1160</v>
      </c>
      <c r="E657" s="4">
        <v>656</v>
      </c>
      <c r="F657" s="9">
        <v>46133</v>
      </c>
      <c r="G657" s="9" t="b">
        <v>0</v>
      </c>
      <c r="H657" s="4" t="b">
        <v>0</v>
      </c>
      <c r="I657" s="28" t="s">
        <v>20</v>
      </c>
      <c r="J657" s="4">
        <f t="shared" si="34"/>
        <v>15</v>
      </c>
      <c r="K657" s="4">
        <f ca="1">IF(AND(F657&lt;&gt;"", L657&lt;&gt;""), NETWORKDAYS(TODAY(), L657-1, FESTIVOS!A$1:A$55), "")</f>
        <v>-25</v>
      </c>
      <c r="L657" s="9">
        <f>IF(AND(F657&lt;&gt;"", J657&lt;&gt;""), WORKDAY(F657, J657, FESTIVOS!A$1:A$55), "")</f>
        <v>46155</v>
      </c>
      <c r="M657" s="4" t="s">
        <v>21</v>
      </c>
      <c r="N657" s="4">
        <f t="shared" ca="1" si="35"/>
        <v>0</v>
      </c>
      <c r="O657" s="4" t="str">
        <f t="shared" ca="1" si="36"/>
        <v>Vencido</v>
      </c>
      <c r="P657" s="4" t="s">
        <v>1161</v>
      </c>
      <c r="Q657" s="9">
        <v>46140</v>
      </c>
      <c r="R657" s="12" t="e">
        <f>IF(OR(Q657="", L657=""), "", NETWORKDAYS(L657, Q657,#REF!))</f>
        <v>#REF!</v>
      </c>
    </row>
    <row r="658" spans="1:18" x14ac:dyDescent="0.25">
      <c r="A658" s="8" t="s">
        <v>16</v>
      </c>
      <c r="B658" s="7" t="s">
        <v>1162</v>
      </c>
      <c r="C658" s="4" t="s">
        <v>126</v>
      </c>
      <c r="D658" s="4" t="s">
        <v>1163</v>
      </c>
      <c r="E658" s="4">
        <v>657</v>
      </c>
      <c r="F658" s="9">
        <v>46133</v>
      </c>
      <c r="G658" s="9" t="b">
        <v>0</v>
      </c>
      <c r="H658" s="4" t="b">
        <v>0</v>
      </c>
      <c r="I658" s="28" t="s">
        <v>44</v>
      </c>
      <c r="J658" s="4">
        <f t="shared" si="34"/>
        <v>15</v>
      </c>
      <c r="K658" s="4">
        <f ca="1">IF(AND(F658&lt;&gt;"", L658&lt;&gt;""), NETWORKDAYS(TODAY(), L658-1, FESTIVOS!A$1:A$55), "")</f>
        <v>-25</v>
      </c>
      <c r="L658" s="9">
        <f>IF(AND(F658&lt;&gt;"", J658&lt;&gt;""), WORKDAY(F658, J658, FESTIVOS!A$1:A$55), "")</f>
        <v>46155</v>
      </c>
      <c r="M658" s="4" t="s">
        <v>21</v>
      </c>
      <c r="N658" s="4">
        <f t="shared" ca="1" si="35"/>
        <v>0</v>
      </c>
      <c r="O658" s="4" t="str">
        <f t="shared" ca="1" si="36"/>
        <v>Vencido</v>
      </c>
      <c r="P658" s="4" t="s">
        <v>1164</v>
      </c>
      <c r="Q658" s="9">
        <v>46153</v>
      </c>
      <c r="R658" s="12" t="e">
        <f>IF(OR(Q658="", L658=""), "", NETWORKDAYS(L658, Q658,#REF!))</f>
        <v>#REF!</v>
      </c>
    </row>
    <row r="659" spans="1:18" x14ac:dyDescent="0.25">
      <c r="A659" s="8" t="s">
        <v>16</v>
      </c>
      <c r="B659" s="7" t="s">
        <v>1165</v>
      </c>
      <c r="C659" s="4" t="s">
        <v>25</v>
      </c>
      <c r="D659" s="4" t="s">
        <v>789</v>
      </c>
      <c r="E659" s="4">
        <v>658</v>
      </c>
      <c r="F659" s="9">
        <v>46133</v>
      </c>
      <c r="G659" s="9" t="b">
        <v>0</v>
      </c>
      <c r="H659" s="4" t="b">
        <v>0</v>
      </c>
      <c r="I659" s="28" t="s">
        <v>66</v>
      </c>
      <c r="J659" s="4">
        <f t="shared" si="34"/>
        <v>15</v>
      </c>
      <c r="K659" s="4">
        <f ca="1">IF(AND(F659&lt;&gt;"", L659&lt;&gt;""), NETWORKDAYS(TODAY(), L659-1, FESTIVOS!A$1:A$55), "")</f>
        <v>-25</v>
      </c>
      <c r="L659" s="9">
        <f>IF(AND(F659&lt;&gt;"", J659&lt;&gt;""), WORKDAY(F659, J659, FESTIVOS!A$1:A$55), "")</f>
        <v>46155</v>
      </c>
      <c r="M659" s="4" t="s">
        <v>21</v>
      </c>
      <c r="N659" s="4">
        <f t="shared" ca="1" si="35"/>
        <v>0</v>
      </c>
      <c r="O659" s="4" t="str">
        <f t="shared" ca="1" si="36"/>
        <v>Vencido</v>
      </c>
      <c r="P659" s="4" t="s">
        <v>1166</v>
      </c>
      <c r="Q659" s="9">
        <v>46147</v>
      </c>
      <c r="R659" s="12" t="e">
        <f>IF(OR(Q659="", L659=""), "", NETWORKDAYS(L659, Q659,#REF!))</f>
        <v>#REF!</v>
      </c>
    </row>
    <row r="660" spans="1:18" x14ac:dyDescent="0.25">
      <c r="A660" s="8" t="s">
        <v>636</v>
      </c>
      <c r="B660" s="7" t="s">
        <v>1167</v>
      </c>
      <c r="C660" s="4" t="s">
        <v>126</v>
      </c>
      <c r="D660" s="4" t="s">
        <v>1168</v>
      </c>
      <c r="E660" s="4">
        <v>659</v>
      </c>
      <c r="F660" s="9">
        <v>46133</v>
      </c>
      <c r="G660" s="9" t="b">
        <v>0</v>
      </c>
      <c r="H660" s="4" t="b">
        <v>0</v>
      </c>
      <c r="I660" s="28" t="s">
        <v>44</v>
      </c>
      <c r="J660" s="4">
        <f t="shared" si="34"/>
        <v>10</v>
      </c>
      <c r="K660" s="4">
        <f ca="1">IF(AND(F660&lt;&gt;"", L660&lt;&gt;""), NETWORKDAYS(TODAY(), L660-1, FESTIVOS!A$1:A$55), "")</f>
        <v>-30</v>
      </c>
      <c r="L660" s="9">
        <f>IF(AND(F660&lt;&gt;"", J660&lt;&gt;""), WORKDAY(F660, J660, FESTIVOS!A$1:A$55), "")</f>
        <v>46148</v>
      </c>
      <c r="M660" s="4" t="s">
        <v>21</v>
      </c>
      <c r="N660" s="4">
        <f t="shared" ca="1" si="35"/>
        <v>0</v>
      </c>
      <c r="O660" s="4" t="str">
        <f t="shared" ca="1" si="36"/>
        <v>Vencido</v>
      </c>
      <c r="P660" s="4" t="s">
        <v>1169</v>
      </c>
      <c r="Q660" s="9">
        <v>46135</v>
      </c>
      <c r="R660" s="12" t="e">
        <f>IF(OR(Q660="", L660=""), "", NETWORKDAYS(L660, Q660,#REF!))</f>
        <v>#REF!</v>
      </c>
    </row>
    <row r="661" spans="1:18" x14ac:dyDescent="0.25">
      <c r="A661" s="8" t="s">
        <v>16</v>
      </c>
      <c r="B661" s="7" t="s">
        <v>1170</v>
      </c>
      <c r="C661" s="4" t="s">
        <v>25</v>
      </c>
      <c r="D661" s="4" t="s">
        <v>120</v>
      </c>
      <c r="E661" s="4">
        <v>660</v>
      </c>
      <c r="F661" s="9">
        <v>46133</v>
      </c>
      <c r="G661" s="9" t="b">
        <v>0</v>
      </c>
      <c r="H661" s="4" t="b">
        <v>0</v>
      </c>
      <c r="I661" s="28" t="s">
        <v>20</v>
      </c>
      <c r="J661" s="4">
        <f t="shared" si="34"/>
        <v>15</v>
      </c>
      <c r="K661" s="4">
        <f ca="1">IF(AND(F661&lt;&gt;"", L661&lt;&gt;""), NETWORKDAYS(TODAY(), L661-1, FESTIVOS!A$1:A$55), "")</f>
        <v>-25</v>
      </c>
      <c r="L661" s="9">
        <f>IF(AND(F661&lt;&gt;"", J661&lt;&gt;""), WORKDAY(F661, J661, FESTIVOS!A$1:A$55), "")</f>
        <v>46155</v>
      </c>
      <c r="M661" s="4" t="s">
        <v>21</v>
      </c>
      <c r="N661" s="4">
        <f t="shared" ca="1" si="35"/>
        <v>0</v>
      </c>
      <c r="O661" s="4" t="str">
        <f t="shared" ca="1" si="36"/>
        <v>Vencido</v>
      </c>
      <c r="P661" s="4" t="s">
        <v>1171</v>
      </c>
      <c r="Q661" s="9">
        <v>46135</v>
      </c>
      <c r="R661" s="12" t="e">
        <f>IF(OR(Q661="", L661=""), "", NETWORKDAYS(L661, Q661,#REF!))</f>
        <v>#REF!</v>
      </c>
    </row>
    <row r="662" spans="1:18" x14ac:dyDescent="0.25">
      <c r="A662" s="8" t="s">
        <v>16</v>
      </c>
      <c r="B662" s="7" t="s">
        <v>574</v>
      </c>
      <c r="C662" s="4" t="s">
        <v>32</v>
      </c>
      <c r="D662" s="4" t="s">
        <v>1172</v>
      </c>
      <c r="E662" s="4">
        <v>661</v>
      </c>
      <c r="F662" s="9">
        <v>46133</v>
      </c>
      <c r="G662" s="9" t="b">
        <v>0</v>
      </c>
      <c r="H662" s="4" t="b">
        <v>0</v>
      </c>
      <c r="I662" s="28" t="s">
        <v>20</v>
      </c>
      <c r="J662" s="4">
        <f t="shared" si="34"/>
        <v>15</v>
      </c>
      <c r="K662" s="4">
        <f ca="1">IF(AND(F662&lt;&gt;"", L662&lt;&gt;""), NETWORKDAYS(TODAY(), L662-1, FESTIVOS!A$1:A$55), "")</f>
        <v>-25</v>
      </c>
      <c r="L662" s="9">
        <f>IF(AND(F662&lt;&gt;"", J662&lt;&gt;""), WORKDAY(F662, J662, FESTIVOS!A$1:A$55), "")</f>
        <v>46155</v>
      </c>
      <c r="M662" s="4" t="s">
        <v>21</v>
      </c>
      <c r="N662" s="4">
        <f t="shared" ca="1" si="35"/>
        <v>0</v>
      </c>
      <c r="O662" s="4" t="str">
        <f t="shared" ca="1" si="36"/>
        <v>Vencido</v>
      </c>
      <c r="P662" s="4" t="s">
        <v>1173</v>
      </c>
      <c r="Q662" s="9">
        <v>46141</v>
      </c>
      <c r="R662" s="12" t="e">
        <f>IF(OR(Q662="", L662=""), "", NETWORKDAYS(L662, Q662,#REF!))</f>
        <v>#REF!</v>
      </c>
    </row>
    <row r="663" spans="1:18" x14ac:dyDescent="0.25">
      <c r="A663" s="14" t="s">
        <v>636</v>
      </c>
      <c r="B663" s="15" t="s">
        <v>1174</v>
      </c>
      <c r="C663" s="16" t="s">
        <v>179</v>
      </c>
      <c r="D663" s="16" t="s">
        <v>1175</v>
      </c>
      <c r="E663" s="16">
        <v>662</v>
      </c>
      <c r="F663" s="17">
        <v>46133</v>
      </c>
      <c r="G663" s="17" t="b">
        <v>0</v>
      </c>
      <c r="H663" s="16" t="b">
        <v>0</v>
      </c>
      <c r="I663" s="29" t="s">
        <v>20</v>
      </c>
      <c r="J663" s="16">
        <f t="shared" si="34"/>
        <v>10</v>
      </c>
      <c r="K663" s="4">
        <f ca="1">IF(AND(F663&lt;&gt;"", L663&lt;&gt;""), NETWORKDAYS(TODAY(), L663-1, FESTIVOS!A$1:A$55), "")</f>
        <v>-30</v>
      </c>
      <c r="L663" s="9">
        <f>IF(AND(F663&lt;&gt;"", J663&lt;&gt;""), WORKDAY(F663, J663, FESTIVOS!A$1:A$55), "")</f>
        <v>46148</v>
      </c>
      <c r="M663" s="16" t="s">
        <v>21</v>
      </c>
      <c r="N663" s="4">
        <f t="shared" ca="1" si="35"/>
        <v>0</v>
      </c>
      <c r="O663" s="4" t="str">
        <f t="shared" ca="1" si="36"/>
        <v>Vencido</v>
      </c>
      <c r="P663" s="4" t="s">
        <v>1176</v>
      </c>
      <c r="Q663" s="9">
        <v>46141</v>
      </c>
      <c r="R663" s="18" t="e">
        <f>IF(OR(Q663="", L663=""), "", NETWORKDAYS(L663, Q663,#REF!))</f>
        <v>#REF!</v>
      </c>
    </row>
    <row r="664" spans="1:18" x14ac:dyDescent="0.25">
      <c r="A664" s="14" t="s">
        <v>16</v>
      </c>
      <c r="B664" s="15" t="s">
        <v>1177</v>
      </c>
      <c r="C664" s="16" t="s">
        <v>25</v>
      </c>
      <c r="D664" s="16" t="s">
        <v>1113</v>
      </c>
      <c r="E664" s="16">
        <v>663</v>
      </c>
      <c r="F664" s="17" t="s">
        <v>1178</v>
      </c>
      <c r="G664" s="17" t="b">
        <v>0</v>
      </c>
      <c r="H664" s="16" t="b">
        <v>0</v>
      </c>
      <c r="I664" s="29" t="s">
        <v>20</v>
      </c>
      <c r="J664" s="16">
        <v>15</v>
      </c>
      <c r="K664" s="4">
        <f ca="1">IF(AND(F664&lt;&gt;"", L664&lt;&gt;""), NETWORKDAYS(TODAY(), L664-1, FESTIVOS!A$1:A$55), "")</f>
        <v>-24</v>
      </c>
      <c r="L664" s="9">
        <f>IF(AND(F664&lt;&gt;"", J664&lt;&gt;""), WORKDAY(F664, J664, FESTIVOS!A$1:A$55), "")</f>
        <v>46156</v>
      </c>
      <c r="M664" s="16" t="s">
        <v>1179</v>
      </c>
      <c r="N664" s="4">
        <f t="shared" ca="1" si="35"/>
        <v>0</v>
      </c>
      <c r="O664" s="4" t="str">
        <f t="shared" ca="1" si="36"/>
        <v>Vencido</v>
      </c>
      <c r="P664" s="4" t="s">
        <v>1180</v>
      </c>
      <c r="Q664" s="9">
        <v>46141</v>
      </c>
      <c r="R664" s="18" t="b">
        <v>0</v>
      </c>
    </row>
    <row r="665" spans="1:18" x14ac:dyDescent="0.25">
      <c r="A665" s="14" t="s">
        <v>16</v>
      </c>
      <c r="B665" s="15" t="s">
        <v>1181</v>
      </c>
      <c r="C665" s="16" t="s">
        <v>25</v>
      </c>
      <c r="D665" s="16" t="s">
        <v>1182</v>
      </c>
      <c r="E665" s="16">
        <v>664</v>
      </c>
      <c r="F665" s="17" t="s">
        <v>1178</v>
      </c>
      <c r="G665" s="17" t="b">
        <v>0</v>
      </c>
      <c r="H665" s="16" t="b">
        <v>0</v>
      </c>
      <c r="I665" s="29" t="s">
        <v>66</v>
      </c>
      <c r="J665" s="16">
        <v>15</v>
      </c>
      <c r="K665" s="4">
        <f ca="1">IF(AND(F665&lt;&gt;"", L665&lt;&gt;""), NETWORKDAYS(TODAY(), L665-1, FESTIVOS!A$1:A$55), "")</f>
        <v>-24</v>
      </c>
      <c r="L665" s="9">
        <f>IF(AND(F665&lt;&gt;"", J665&lt;&gt;""), WORKDAY(F665, J665, FESTIVOS!A$1:A$55), "")</f>
        <v>46156</v>
      </c>
      <c r="M665" s="16" t="s">
        <v>1179</v>
      </c>
      <c r="N665" s="4">
        <f t="shared" ca="1" si="35"/>
        <v>0</v>
      </c>
      <c r="O665" s="4" t="str">
        <f t="shared" ca="1" si="36"/>
        <v>Vencido</v>
      </c>
      <c r="P665" s="4" t="s">
        <v>1183</v>
      </c>
      <c r="Q665" s="9">
        <v>46136</v>
      </c>
      <c r="R665" s="18" t="b">
        <v>0</v>
      </c>
    </row>
    <row r="666" spans="1:18" ht="77.45" customHeight="1" x14ac:dyDescent="0.25">
      <c r="A666" s="14" t="s">
        <v>16</v>
      </c>
      <c r="B666" s="15" t="s">
        <v>401</v>
      </c>
      <c r="C666" s="20" t="s">
        <v>32</v>
      </c>
      <c r="D666" s="19" t="s">
        <v>1184</v>
      </c>
      <c r="E666" s="16">
        <v>665</v>
      </c>
      <c r="F666" s="17" t="s">
        <v>1178</v>
      </c>
      <c r="G666" s="17" t="b">
        <v>0</v>
      </c>
      <c r="H666" s="16" t="b">
        <v>0</v>
      </c>
      <c r="I666" s="29" t="s">
        <v>20</v>
      </c>
      <c r="J666" s="16">
        <v>15</v>
      </c>
      <c r="K666" s="4">
        <f ca="1">IF(AND(F666&lt;&gt;"", L666&lt;&gt;""), NETWORKDAYS(TODAY(), L666-1, FESTIVOS!A$1:A$55), "")</f>
        <v>-24</v>
      </c>
      <c r="L666" s="9">
        <f>IF(AND(F666&lt;&gt;"", J666&lt;&gt;""), WORKDAY(F666, J666, FESTIVOS!A$1:A$55), "")</f>
        <v>46156</v>
      </c>
      <c r="M666" s="16" t="s">
        <v>1179</v>
      </c>
      <c r="N666" s="4">
        <f t="shared" ca="1" si="35"/>
        <v>0</v>
      </c>
      <c r="O666" s="4" t="str">
        <f t="shared" ca="1" si="36"/>
        <v>Vencido</v>
      </c>
      <c r="P666" s="4" t="s">
        <v>1092</v>
      </c>
      <c r="Q666" s="9">
        <v>46135</v>
      </c>
      <c r="R666" s="18" t="b">
        <v>0</v>
      </c>
    </row>
    <row r="667" spans="1:18" x14ac:dyDescent="0.25">
      <c r="A667" s="14" t="s">
        <v>16</v>
      </c>
      <c r="B667" s="15" t="s">
        <v>1185</v>
      </c>
      <c r="C667" s="16" t="s">
        <v>25</v>
      </c>
      <c r="D667" s="16" t="s">
        <v>1186</v>
      </c>
      <c r="E667" s="16">
        <v>666</v>
      </c>
      <c r="F667" s="17" t="s">
        <v>1178</v>
      </c>
      <c r="G667" s="17" t="b">
        <v>0</v>
      </c>
      <c r="H667" s="16" t="b">
        <v>0</v>
      </c>
      <c r="I667" s="29" t="s">
        <v>20</v>
      </c>
      <c r="J667" s="16">
        <v>15</v>
      </c>
      <c r="K667" s="4">
        <f ca="1">IF(AND(F667&lt;&gt;"", L667&lt;&gt;""), NETWORKDAYS(TODAY(), L667-1, FESTIVOS!A$1:A$55), "")</f>
        <v>-24</v>
      </c>
      <c r="L667" s="9">
        <f>IF(AND(F667&lt;&gt;"", J667&lt;&gt;""), WORKDAY(F667, J667, FESTIVOS!A$1:A$55), "")</f>
        <v>46156</v>
      </c>
      <c r="M667" s="16" t="s">
        <v>1179</v>
      </c>
      <c r="N667" s="4">
        <f t="shared" ca="1" si="35"/>
        <v>0</v>
      </c>
      <c r="O667" s="4" t="str">
        <f t="shared" ca="1" si="36"/>
        <v>Vencido</v>
      </c>
      <c r="P667" s="4" t="s">
        <v>1187</v>
      </c>
      <c r="Q667" s="9">
        <v>46141</v>
      </c>
      <c r="R667" s="18" t="b">
        <v>0</v>
      </c>
    </row>
    <row r="668" spans="1:18" x14ac:dyDescent="0.25">
      <c r="A668" s="14" t="s">
        <v>16</v>
      </c>
      <c r="B668" s="15" t="s">
        <v>1188</v>
      </c>
      <c r="C668" s="16" t="s">
        <v>25</v>
      </c>
      <c r="D668" s="16" t="s">
        <v>1189</v>
      </c>
      <c r="E668" s="16">
        <v>667</v>
      </c>
      <c r="F668" s="17" t="s">
        <v>1178</v>
      </c>
      <c r="G668" s="17" t="b">
        <v>0</v>
      </c>
      <c r="H668" s="16" t="b">
        <v>0</v>
      </c>
      <c r="I668" s="29" t="s">
        <v>66</v>
      </c>
      <c r="J668" s="16">
        <v>15</v>
      </c>
      <c r="K668" s="4">
        <f ca="1">IF(AND(F668&lt;&gt;"", L668&lt;&gt;""), NETWORKDAYS(TODAY(), L668-1, FESTIVOS!A$1:A$55), "")</f>
        <v>-24</v>
      </c>
      <c r="L668" s="9">
        <f>IF(AND(F668&lt;&gt;"", J668&lt;&gt;""), WORKDAY(F668, J668, FESTIVOS!A$1:A$55), "")</f>
        <v>46156</v>
      </c>
      <c r="M668" s="16" t="s">
        <v>1179</v>
      </c>
      <c r="N668" s="4">
        <f t="shared" ca="1" si="35"/>
        <v>0</v>
      </c>
      <c r="O668" s="4" t="str">
        <f t="shared" ca="1" si="36"/>
        <v>Vencido</v>
      </c>
      <c r="P668" s="4" t="s">
        <v>1190</v>
      </c>
      <c r="Q668" s="9">
        <v>46148</v>
      </c>
      <c r="R668" s="18" t="b">
        <v>0</v>
      </c>
    </row>
    <row r="669" spans="1:18" ht="34.9" customHeight="1" x14ac:dyDescent="0.25">
      <c r="A669" s="8" t="s">
        <v>16</v>
      </c>
      <c r="B669" s="7" t="s">
        <v>574</v>
      </c>
      <c r="C669" s="4" t="s">
        <v>32</v>
      </c>
      <c r="D669" s="21" t="s">
        <v>1191</v>
      </c>
      <c r="E669" s="16">
        <v>668</v>
      </c>
      <c r="F669" s="9">
        <v>46134</v>
      </c>
      <c r="G669" s="9" t="b">
        <v>0</v>
      </c>
      <c r="H669" s="4" t="b">
        <v>0</v>
      </c>
      <c r="I669" s="28" t="s">
        <v>20</v>
      </c>
      <c r="J669" s="16">
        <v>15</v>
      </c>
      <c r="K669" s="4">
        <f ca="1">IF(AND(F669&lt;&gt;"", L669&lt;&gt;""), NETWORKDAYS(TODAY(), L669-1, FESTIVOS!A$1:A$55), "")</f>
        <v>-24</v>
      </c>
      <c r="L669" s="9">
        <f>IF(AND(F669&lt;&gt;"", J669&lt;&gt;""), WORKDAY(F669, J669, FESTIVOS!A$1:A$55), "")</f>
        <v>46156</v>
      </c>
      <c r="M669" s="16" t="s">
        <v>1179</v>
      </c>
      <c r="N669" s="4">
        <f t="shared" ca="1" si="35"/>
        <v>0</v>
      </c>
      <c r="O669" s="4" t="str">
        <f t="shared" ca="1" si="36"/>
        <v>Vencido</v>
      </c>
      <c r="P669" s="4" t="s">
        <v>1192</v>
      </c>
      <c r="Q669" s="9">
        <v>46141</v>
      </c>
      <c r="R669" s="12" t="b">
        <v>0</v>
      </c>
    </row>
    <row r="670" spans="1:18" x14ac:dyDescent="0.25">
      <c r="A670" s="8" t="s">
        <v>16</v>
      </c>
      <c r="B670" s="7" t="s">
        <v>1193</v>
      </c>
      <c r="C670" s="4" t="s">
        <v>25</v>
      </c>
      <c r="D670" s="4" t="s">
        <v>1194</v>
      </c>
      <c r="E670" s="16">
        <v>669</v>
      </c>
      <c r="F670" s="9">
        <v>46134</v>
      </c>
      <c r="G670" s="9" t="b">
        <v>0</v>
      </c>
      <c r="H670" s="4" t="b">
        <v>0</v>
      </c>
      <c r="I670" s="28" t="s">
        <v>80</v>
      </c>
      <c r="J670" s="16">
        <v>15</v>
      </c>
      <c r="K670" s="4">
        <f ca="1">IF(AND(F670&lt;&gt;"", L670&lt;&gt;""), NETWORKDAYS(TODAY(), L670-1, FESTIVOS!A$1:A$55), "")</f>
        <v>-24</v>
      </c>
      <c r="L670" s="9">
        <f>IF(AND(F670&lt;&gt;"", J670&lt;&gt;""), WORKDAY(F670, J670, FESTIVOS!A$1:A$55), "")</f>
        <v>46156</v>
      </c>
      <c r="M670" s="16" t="s">
        <v>1179</v>
      </c>
      <c r="N670" s="4">
        <f t="shared" ca="1" si="35"/>
        <v>0</v>
      </c>
      <c r="O670" s="4" t="str">
        <f t="shared" ca="1" si="36"/>
        <v>Vencido</v>
      </c>
      <c r="P670" s="4" t="s">
        <v>1195</v>
      </c>
      <c r="Q670" s="9">
        <v>46154</v>
      </c>
      <c r="R670" s="12" t="b">
        <v>0</v>
      </c>
    </row>
    <row r="671" spans="1:18" x14ac:dyDescent="0.25">
      <c r="A671" s="8" t="s">
        <v>16</v>
      </c>
      <c r="B671" s="7" t="s">
        <v>1159</v>
      </c>
      <c r="C671" s="4" t="s">
        <v>32</v>
      </c>
      <c r="D671" s="4" t="s">
        <v>239</v>
      </c>
      <c r="E671" s="16">
        <v>670</v>
      </c>
      <c r="F671" s="9">
        <v>46134</v>
      </c>
      <c r="G671" s="9" t="b">
        <v>0</v>
      </c>
      <c r="H671" s="4" t="b">
        <v>0</v>
      </c>
      <c r="I671" s="28" t="s">
        <v>20</v>
      </c>
      <c r="J671" s="16">
        <v>15</v>
      </c>
      <c r="K671" s="4">
        <f ca="1">IF(AND(F671&lt;&gt;"", L671&lt;&gt;""), NETWORKDAYS(TODAY(), L671-1, FESTIVOS!A$1:A$55), "")</f>
        <v>-24</v>
      </c>
      <c r="L671" s="9">
        <f>IF(AND(F671&lt;&gt;"", J671&lt;&gt;""), WORKDAY(F671, J671, FESTIVOS!A$1:A$55), "")</f>
        <v>46156</v>
      </c>
      <c r="M671" s="16" t="s">
        <v>1179</v>
      </c>
      <c r="N671" s="4">
        <f t="shared" ca="1" si="35"/>
        <v>0</v>
      </c>
      <c r="O671" s="4" t="str">
        <f t="shared" ca="1" si="36"/>
        <v>Vencido</v>
      </c>
      <c r="P671" s="4" t="s">
        <v>1196</v>
      </c>
      <c r="Q671" s="9">
        <v>46141</v>
      </c>
      <c r="R671" s="12" t="b">
        <v>0</v>
      </c>
    </row>
    <row r="672" spans="1:18" ht="45.6" customHeight="1" x14ac:dyDescent="0.25">
      <c r="A672" s="8" t="s">
        <v>636</v>
      </c>
      <c r="B672" s="7" t="s">
        <v>1197</v>
      </c>
      <c r="C672" s="4" t="s">
        <v>25</v>
      </c>
      <c r="D672" s="4" t="s">
        <v>1198</v>
      </c>
      <c r="E672" s="16">
        <v>671</v>
      </c>
      <c r="F672" s="9">
        <v>46134</v>
      </c>
      <c r="G672" s="9" t="b">
        <v>0</v>
      </c>
      <c r="H672" s="4" t="b">
        <v>0</v>
      </c>
      <c r="I672" s="28" t="s">
        <v>20</v>
      </c>
      <c r="J672" s="16">
        <v>15</v>
      </c>
      <c r="K672" s="4">
        <f ca="1">IF(AND(F672&lt;&gt;"", L672&lt;&gt;""), NETWORKDAYS(TODAY(), L672-1, FESTIVOS!A$1:A$55), "")</f>
        <v>-24</v>
      </c>
      <c r="L672" s="9">
        <f>IF(AND(F672&lt;&gt;"", J672&lt;&gt;""), WORKDAY(F672, J672, FESTIVOS!A$1:A$55), "")</f>
        <v>46156</v>
      </c>
      <c r="M672" s="16" t="s">
        <v>1199</v>
      </c>
      <c r="N672" s="4">
        <f t="shared" ca="1" si="35"/>
        <v>0</v>
      </c>
      <c r="O672" s="4" t="str">
        <f t="shared" ca="1" si="36"/>
        <v>Vencido</v>
      </c>
      <c r="P672" s="4" t="s">
        <v>1200</v>
      </c>
      <c r="Q672" s="9">
        <v>46142</v>
      </c>
      <c r="R672" s="12" t="b">
        <v>0</v>
      </c>
    </row>
    <row r="673" spans="1:18" x14ac:dyDescent="0.25">
      <c r="A673" s="8" t="s">
        <v>16</v>
      </c>
      <c r="B673" s="7" t="s">
        <v>1201</v>
      </c>
      <c r="C673" s="4" t="s">
        <v>25</v>
      </c>
      <c r="D673" s="4" t="s">
        <v>789</v>
      </c>
      <c r="E673" s="16">
        <v>672</v>
      </c>
      <c r="F673" s="9">
        <v>46135</v>
      </c>
      <c r="G673" s="9" t="b">
        <v>0</v>
      </c>
      <c r="H673" s="4" t="b">
        <v>0</v>
      </c>
      <c r="I673" s="28" t="s">
        <v>20</v>
      </c>
      <c r="J673" s="4">
        <f t="shared" ref="J673:J674" si="37">IF(A673="INFORMACIÓN O DOCUMENTOS", 10, IF(A673="CONSULTA", 30, IF(A673="FACTURACIÓN Y COBROS", 15, IF(A673="VINCULACIÓN Y DESVINCULACIÓN", 15, IF(A673="NO ES DE NUESTRA COMPETENCIA", 5, IF(A673="OTRO", 15, ""))))))</f>
        <v>15</v>
      </c>
      <c r="K673" s="4">
        <f ca="1">IF(AND(F673&lt;&gt;"", L673&lt;&gt;""), NETWORKDAYS(TODAY(), L673-1, FESTIVOS!A$1:A$55), "")</f>
        <v>-23</v>
      </c>
      <c r="L673" s="9">
        <f>IF(AND(F673&lt;&gt;"", J673&lt;&gt;""), WORKDAY(F673, J673, FESTIVOS!A$1:A$55), "")</f>
        <v>46157</v>
      </c>
      <c r="M673" s="16" t="s">
        <v>1199</v>
      </c>
      <c r="N673" s="4">
        <f t="shared" ca="1" si="35"/>
        <v>0</v>
      </c>
      <c r="O673" s="4" t="str">
        <f t="shared" ca="1" si="36"/>
        <v>Vencido</v>
      </c>
      <c r="P673" s="4" t="s">
        <v>1202</v>
      </c>
      <c r="Q673" s="9">
        <v>46136</v>
      </c>
      <c r="R673" s="12" t="b">
        <v>0</v>
      </c>
    </row>
    <row r="674" spans="1:18" x14ac:dyDescent="0.25">
      <c r="A674" s="8" t="s">
        <v>16</v>
      </c>
      <c r="B674" s="7" t="s">
        <v>1203</v>
      </c>
      <c r="C674" s="4" t="s">
        <v>25</v>
      </c>
      <c r="D674" s="4" t="s">
        <v>61</v>
      </c>
      <c r="E674" s="16">
        <v>673</v>
      </c>
      <c r="F674" s="9">
        <v>46135</v>
      </c>
      <c r="G674" s="9" t="b">
        <v>0</v>
      </c>
      <c r="H674" s="4" t="b">
        <v>0</v>
      </c>
      <c r="I674" s="28" t="s">
        <v>20</v>
      </c>
      <c r="J674" s="4">
        <f t="shared" si="37"/>
        <v>15</v>
      </c>
      <c r="K674" s="4">
        <f ca="1">IF(AND(F674&lt;&gt;"", L674&lt;&gt;""), NETWORKDAYS(TODAY(), L674-1, FESTIVOS!A$1:A$55), "")</f>
        <v>-23</v>
      </c>
      <c r="L674" s="9">
        <f>IF(AND(F674&lt;&gt;"", J674&lt;&gt;""), WORKDAY(F674, J674, FESTIVOS!A$1:A$55), "")</f>
        <v>46157</v>
      </c>
      <c r="M674" s="16" t="s">
        <v>1199</v>
      </c>
      <c r="N674" s="4">
        <f t="shared" ca="1" si="35"/>
        <v>0</v>
      </c>
      <c r="O674" s="4" t="str">
        <f t="shared" ca="1" si="36"/>
        <v>Vencido</v>
      </c>
      <c r="P674" s="4" t="s">
        <v>1204</v>
      </c>
      <c r="Q674" s="9">
        <v>46156</v>
      </c>
      <c r="R674" s="12" t="b">
        <v>0</v>
      </c>
    </row>
    <row r="675" spans="1:18" x14ac:dyDescent="0.25">
      <c r="A675" s="14" t="s">
        <v>16</v>
      </c>
      <c r="B675" s="15" t="s">
        <v>761</v>
      </c>
      <c r="C675" s="16" t="s">
        <v>32</v>
      </c>
      <c r="D675" s="22" t="s">
        <v>1205</v>
      </c>
      <c r="E675" s="16">
        <v>674</v>
      </c>
      <c r="F675" s="17" t="s">
        <v>1206</v>
      </c>
      <c r="G675" s="17" t="b">
        <v>0</v>
      </c>
      <c r="H675" s="16" t="b">
        <v>0</v>
      </c>
      <c r="I675" s="29" t="s">
        <v>20</v>
      </c>
      <c r="J675" s="4">
        <f t="shared" ref="J675" si="38">IF(A675="INFORMACIÓN O DOCUMENTOS", 10, IF(A675="CONSULTA", 30, IF(A675="FACTURACIÓN Y COBROS", 15, IF(A675="VINCULACIÓN Y DESVINCULACIÓN", 15, IF(A675="NO ES DE NUESTRA COMPETENCIA", 5, IF(A675="OTRO", 15, ""))))))</f>
        <v>15</v>
      </c>
      <c r="K675" s="4">
        <f ca="1">IF(AND(F675&lt;&gt;"", L675&lt;&gt;""), NETWORKDAYS(TODAY(), L675-1, FESTIVOS!A$1:A$55), "")</f>
        <v>-23</v>
      </c>
      <c r="L675" s="9">
        <f>IF(AND(F675&lt;&gt;"", J675&lt;&gt;""), WORKDAY(F675, J675, FESTIVOS!A$1:A$55), "")</f>
        <v>46157</v>
      </c>
      <c r="M675" s="16" t="s">
        <v>1199</v>
      </c>
      <c r="N675" s="4">
        <f t="shared" ca="1" si="35"/>
        <v>0</v>
      </c>
      <c r="O675" s="4" t="str">
        <f t="shared" ca="1" si="36"/>
        <v>Vencido</v>
      </c>
      <c r="P675" s="4" t="s">
        <v>1207</v>
      </c>
      <c r="Q675" s="9">
        <v>46140</v>
      </c>
      <c r="R675" s="18" t="b">
        <v>0</v>
      </c>
    </row>
    <row r="676" spans="1:18" x14ac:dyDescent="0.25">
      <c r="A676" s="8" t="s">
        <v>16</v>
      </c>
      <c r="B676" s="7" t="s">
        <v>1208</v>
      </c>
      <c r="C676" s="4" t="s">
        <v>25</v>
      </c>
      <c r="D676" s="4" t="s">
        <v>1209</v>
      </c>
      <c r="E676" s="16">
        <v>675</v>
      </c>
      <c r="F676" s="17" t="s">
        <v>1206</v>
      </c>
      <c r="G676" s="17" t="b">
        <v>0</v>
      </c>
      <c r="H676" s="16" t="b">
        <v>0</v>
      </c>
      <c r="I676" s="29" t="s">
        <v>20</v>
      </c>
      <c r="J676" s="4">
        <f t="shared" ref="J676" si="39">IF(A676="INFORMACIÓN O DOCUMENTOS", 10, IF(A676="CONSULTA", 30, IF(A676="FACTURACIÓN Y COBROS", 15, IF(A676="VINCULACIÓN Y DESVINCULACIÓN", 15, IF(A676="NO ES DE NUESTRA COMPETENCIA", 5, IF(A676="OTRO", 15, ""))))))</f>
        <v>15</v>
      </c>
      <c r="K676" s="4">
        <f ca="1">IF(AND(F676&lt;&gt;"", L676&lt;&gt;""), NETWORKDAYS(TODAY(), L676-1, FESTIVOS!A$1:A$55), "")</f>
        <v>-23</v>
      </c>
      <c r="L676" s="9">
        <f>IF(AND(F676&lt;&gt;"", J676&lt;&gt;""), WORKDAY(F676, J676, FESTIVOS!A$1:A$55), "")</f>
        <v>46157</v>
      </c>
      <c r="M676" s="16" t="s">
        <v>1199</v>
      </c>
      <c r="N676" s="4">
        <f t="shared" ca="1" si="35"/>
        <v>0</v>
      </c>
      <c r="O676" s="4" t="str">
        <f t="shared" ca="1" si="36"/>
        <v>Vencido</v>
      </c>
      <c r="P676" s="4" t="s">
        <v>1210</v>
      </c>
      <c r="Q676" s="9">
        <v>46156</v>
      </c>
      <c r="R676" s="12" t="b">
        <v>0</v>
      </c>
    </row>
    <row r="677" spans="1:18" x14ac:dyDescent="0.25">
      <c r="A677" s="14" t="s">
        <v>16</v>
      </c>
      <c r="B677" s="15" t="s">
        <v>68</v>
      </c>
      <c r="C677" s="16" t="s">
        <v>186</v>
      </c>
      <c r="D677" s="16" t="s">
        <v>1211</v>
      </c>
      <c r="E677" s="16">
        <v>676</v>
      </c>
      <c r="F677" s="17" t="s">
        <v>1206</v>
      </c>
      <c r="G677" s="17" t="b">
        <v>0</v>
      </c>
      <c r="H677" s="16" t="b">
        <v>0</v>
      </c>
      <c r="I677" s="29" t="s">
        <v>20</v>
      </c>
      <c r="J677" s="4">
        <f t="shared" ref="J677:J678" si="40">IF(A677="INFORMACIÓN O DOCUMENTOS", 10, IF(A677="CONSULTA", 30, IF(A677="FACTURACIÓN Y COBROS", 15, IF(A677="VINCULACIÓN Y DESVINCULACIÓN", 15, IF(A677="NO ES DE NUESTRA COMPETENCIA", 5, IF(A677="OTRO", 15, ""))))))</f>
        <v>15</v>
      </c>
      <c r="K677" s="4">
        <f ca="1">IF(AND(F677&lt;&gt;"", L677&lt;&gt;""), NETWORKDAYS(TODAY(), L677-1, FESTIVOS!A$1:A$55), "")</f>
        <v>-23</v>
      </c>
      <c r="L677" s="9">
        <f>IF(AND(F677&lt;&gt;"", J677&lt;&gt;""), WORKDAY(F677, J677, FESTIVOS!A$1:A$55), "")</f>
        <v>46157</v>
      </c>
      <c r="M677" s="16" t="s">
        <v>1199</v>
      </c>
      <c r="N677" s="4">
        <f t="shared" ca="1" si="35"/>
        <v>0</v>
      </c>
      <c r="O677" s="4" t="str">
        <f t="shared" ca="1" si="36"/>
        <v>Vencido</v>
      </c>
      <c r="P677" s="4" t="s">
        <v>37</v>
      </c>
      <c r="Q677" s="4" t="b">
        <v>0</v>
      </c>
      <c r="R677" s="18" t="b">
        <v>0</v>
      </c>
    </row>
    <row r="678" spans="1:18" x14ac:dyDescent="0.25">
      <c r="A678" s="14" t="s">
        <v>16</v>
      </c>
      <c r="B678" s="15" t="s">
        <v>1212</v>
      </c>
      <c r="C678" s="16" t="s">
        <v>25</v>
      </c>
      <c r="D678" s="16" t="s">
        <v>1213</v>
      </c>
      <c r="E678" s="16">
        <v>677</v>
      </c>
      <c r="F678" s="17" t="s">
        <v>1206</v>
      </c>
      <c r="G678" s="17" t="b">
        <v>0</v>
      </c>
      <c r="H678" s="16" t="b">
        <v>0</v>
      </c>
      <c r="I678" s="29" t="s">
        <v>20</v>
      </c>
      <c r="J678" s="4">
        <f t="shared" si="40"/>
        <v>15</v>
      </c>
      <c r="K678" s="4">
        <f ca="1">IF(AND(F678&lt;&gt;"", L678&lt;&gt;""), NETWORKDAYS(TODAY(), L678-1, FESTIVOS!A$1:A$55), "")</f>
        <v>-23</v>
      </c>
      <c r="L678" s="9">
        <f>IF(AND(F678&lt;&gt;"", J678&lt;&gt;""), WORKDAY(F678, J678, FESTIVOS!A$1:A$55), "")</f>
        <v>46157</v>
      </c>
      <c r="M678" s="16" t="s">
        <v>1199</v>
      </c>
      <c r="N678" s="4">
        <f t="shared" ca="1" si="35"/>
        <v>0</v>
      </c>
      <c r="O678" s="4" t="str">
        <f t="shared" ca="1" si="36"/>
        <v>Vencido</v>
      </c>
      <c r="P678" s="4" t="s">
        <v>1214</v>
      </c>
      <c r="Q678" s="4" t="b">
        <v>0</v>
      </c>
      <c r="R678" s="18" t="b">
        <v>0</v>
      </c>
    </row>
    <row r="679" spans="1:18" x14ac:dyDescent="0.25">
      <c r="A679" s="8" t="s">
        <v>16</v>
      </c>
      <c r="B679" s="7" t="s">
        <v>401</v>
      </c>
      <c r="C679" s="4" t="s">
        <v>32</v>
      </c>
      <c r="D679" s="4" t="s">
        <v>1215</v>
      </c>
      <c r="E679" s="16">
        <v>678</v>
      </c>
      <c r="F679" s="17" t="s">
        <v>1206</v>
      </c>
      <c r="G679" s="17" t="b">
        <v>0</v>
      </c>
      <c r="H679" s="16" t="b">
        <v>0</v>
      </c>
      <c r="I679" s="29" t="s">
        <v>20</v>
      </c>
      <c r="J679" s="4">
        <f t="shared" ref="J679:J680" si="41">IF(A679="INFORMACIÓN O DOCUMENTOS", 10, IF(A679="CONSULTA", 30, IF(A679="FACTURACIÓN Y COBROS", 15, IF(A679="VINCULACIÓN Y DESVINCULACIÓN", 15, IF(A679="NO ES DE NUESTRA COMPETENCIA", 5, IF(A679="OTRO", 15, ""))))))</f>
        <v>15</v>
      </c>
      <c r="K679" s="4">
        <f ca="1">IF(AND(F679&lt;&gt;"", L679&lt;&gt;""), NETWORKDAYS(TODAY(), L679-1, FESTIVOS!A$1:A$55), "")</f>
        <v>-23</v>
      </c>
      <c r="L679" s="9">
        <f>IF(AND(F679&lt;&gt;"", J679&lt;&gt;""), WORKDAY(F679, J679, FESTIVOS!A$1:A$55), "")</f>
        <v>46157</v>
      </c>
      <c r="M679" s="16" t="s">
        <v>1199</v>
      </c>
      <c r="N679" s="4">
        <f t="shared" ca="1" si="35"/>
        <v>0</v>
      </c>
      <c r="O679" s="4" t="str">
        <f t="shared" ca="1" si="36"/>
        <v>Vencido</v>
      </c>
      <c r="P679" s="4" t="s">
        <v>1216</v>
      </c>
      <c r="Q679" s="4" t="b">
        <v>0</v>
      </c>
      <c r="R679" s="12" t="b">
        <v>0</v>
      </c>
    </row>
    <row r="680" spans="1:18" x14ac:dyDescent="0.25">
      <c r="A680" s="8" t="s">
        <v>16</v>
      </c>
      <c r="B680" s="7" t="s">
        <v>1217</v>
      </c>
      <c r="C680" s="4" t="s">
        <v>25</v>
      </c>
      <c r="D680" s="4" t="s">
        <v>301</v>
      </c>
      <c r="E680" s="16">
        <v>679</v>
      </c>
      <c r="F680" s="17" t="s">
        <v>1206</v>
      </c>
      <c r="G680" s="17" t="b">
        <v>0</v>
      </c>
      <c r="H680" s="16" t="b">
        <v>0</v>
      </c>
      <c r="I680" s="29" t="s">
        <v>20</v>
      </c>
      <c r="J680" s="4">
        <f t="shared" si="41"/>
        <v>15</v>
      </c>
      <c r="K680" s="4">
        <f ca="1">IF(AND(F680&lt;&gt;"", L680&lt;&gt;""), NETWORKDAYS(TODAY(), L680-1, FESTIVOS!A$1:A$55), "")</f>
        <v>-23</v>
      </c>
      <c r="L680" s="9">
        <f>IF(AND(F680&lt;&gt;"", J680&lt;&gt;""), WORKDAY(F680, J680, FESTIVOS!A$1:A$55), "")</f>
        <v>46157</v>
      </c>
      <c r="M680" s="16" t="s">
        <v>1199</v>
      </c>
      <c r="N680" s="4">
        <f t="shared" ca="1" si="35"/>
        <v>0</v>
      </c>
      <c r="O680" s="4" t="str">
        <f t="shared" ca="1" si="36"/>
        <v>Vencido</v>
      </c>
      <c r="P680" s="4" t="s">
        <v>1218</v>
      </c>
      <c r="Q680" s="4" t="b">
        <v>0</v>
      </c>
      <c r="R680" s="12" t="b">
        <v>0</v>
      </c>
    </row>
    <row r="681" spans="1:18" x14ac:dyDescent="0.25">
      <c r="A681" s="14" t="s">
        <v>16</v>
      </c>
      <c r="B681" s="15" t="s">
        <v>1219</v>
      </c>
      <c r="C681" s="16" t="s">
        <v>1219</v>
      </c>
      <c r="D681" s="16" t="s">
        <v>1220</v>
      </c>
      <c r="E681" s="16">
        <v>680</v>
      </c>
      <c r="F681" s="17" t="s">
        <v>1206</v>
      </c>
      <c r="G681" s="17" t="b">
        <v>0</v>
      </c>
      <c r="H681" s="16" t="b">
        <v>0</v>
      </c>
      <c r="I681" s="29" t="s">
        <v>66</v>
      </c>
      <c r="J681" s="4">
        <f t="shared" ref="J681:J682" si="42">IF(A681="INFORMACIÓN O DOCUMENTOS", 10, IF(A681="CONSULTA", 30, IF(A681="FACTURACIÓN Y COBROS", 15, IF(A681="VINCULACIÓN Y DESVINCULACIÓN", 15, IF(A681="NO ES DE NUESTRA COMPETENCIA", 5, IF(A681="OTRO", 15, ""))))))</f>
        <v>15</v>
      </c>
      <c r="K681" s="4">
        <f ca="1">IF(AND(F681&lt;&gt;"", L681&lt;&gt;""), NETWORKDAYS(TODAY(), L681-1, FESTIVOS!A$1:A$55), "")</f>
        <v>-23</v>
      </c>
      <c r="L681" s="9">
        <f>IF(AND(F681&lt;&gt;"", J681&lt;&gt;""), WORKDAY(F681, J681, FESTIVOS!A$1:A$55), "")</f>
        <v>46157</v>
      </c>
      <c r="M681" s="16" t="s">
        <v>1199</v>
      </c>
      <c r="N681" s="4">
        <f t="shared" ca="1" si="35"/>
        <v>0</v>
      </c>
      <c r="O681" s="4" t="str">
        <f t="shared" ca="1" si="36"/>
        <v>Vencido</v>
      </c>
      <c r="P681" s="23" t="s">
        <v>1221</v>
      </c>
      <c r="Q681" s="9">
        <v>46136</v>
      </c>
      <c r="R681" s="18" t="b">
        <v>0</v>
      </c>
    </row>
    <row r="682" spans="1:18" x14ac:dyDescent="0.25">
      <c r="A682" s="8" t="s">
        <v>16</v>
      </c>
      <c r="B682" s="7" t="s">
        <v>1222</v>
      </c>
      <c r="C682" s="4" t="s">
        <v>25</v>
      </c>
      <c r="D682" s="4" t="s">
        <v>135</v>
      </c>
      <c r="E682" s="16">
        <v>681</v>
      </c>
      <c r="F682" s="17" t="s">
        <v>1206</v>
      </c>
      <c r="G682" s="17" t="b">
        <v>0</v>
      </c>
      <c r="H682" s="16" t="b">
        <v>0</v>
      </c>
      <c r="I682" s="29" t="s">
        <v>66</v>
      </c>
      <c r="J682" s="4">
        <f t="shared" si="42"/>
        <v>15</v>
      </c>
      <c r="K682" s="4">
        <f ca="1">IF(AND(F682&lt;&gt;"", L682&lt;&gt;""), NETWORKDAYS(TODAY(), L682-1, FESTIVOS!A$1:A$55), "")</f>
        <v>-23</v>
      </c>
      <c r="L682" s="9">
        <f>IF(AND(F682&lt;&gt;"", J682&lt;&gt;""), WORKDAY(F682, J682, FESTIVOS!A$1:A$55), "")</f>
        <v>46157</v>
      </c>
      <c r="M682" s="16" t="s">
        <v>1199</v>
      </c>
      <c r="N682" s="4">
        <f t="shared" ca="1" si="35"/>
        <v>0</v>
      </c>
      <c r="O682" s="4" t="str">
        <f t="shared" ca="1" si="36"/>
        <v>Vencido</v>
      </c>
      <c r="P682" s="23" t="s">
        <v>1223</v>
      </c>
      <c r="Q682" s="9">
        <v>46136</v>
      </c>
      <c r="R682" s="12" t="b">
        <v>0</v>
      </c>
    </row>
    <row r="683" spans="1:18" x14ac:dyDescent="0.25">
      <c r="A683" s="8" t="s">
        <v>16</v>
      </c>
      <c r="B683" s="7" t="s">
        <v>1224</v>
      </c>
      <c r="C683" s="4" t="s">
        <v>25</v>
      </c>
      <c r="D683" s="4" t="s">
        <v>61</v>
      </c>
      <c r="E683" s="16">
        <v>682</v>
      </c>
      <c r="F683" s="17" t="s">
        <v>1206</v>
      </c>
      <c r="G683" s="17" t="b">
        <v>0</v>
      </c>
      <c r="H683" s="16" t="b">
        <v>0</v>
      </c>
      <c r="I683" s="29" t="s">
        <v>20</v>
      </c>
      <c r="J683" s="4">
        <f t="shared" ref="J683" si="43">IF(A683="INFORMACIÓN O DOCUMENTOS", 10, IF(A683="CONSULTA", 30, IF(A683="FACTURACIÓN Y COBROS", 15, IF(A683="VINCULACIÓN Y DESVINCULACIÓN", 15, IF(A683="NO ES DE NUESTRA COMPETENCIA", 5, IF(A683="OTRO", 15, ""))))))</f>
        <v>15</v>
      </c>
      <c r="K683" s="4">
        <f ca="1">IF(AND(F683&lt;&gt;"", L683&lt;&gt;""), NETWORKDAYS(TODAY(), L683-1, FESTIVOS!A$1:A$55), "")</f>
        <v>-23</v>
      </c>
      <c r="L683" s="9">
        <f>IF(AND(F683&lt;&gt;"", J683&lt;&gt;""), WORKDAY(F683, J683, FESTIVOS!A$1:A$55), "")</f>
        <v>46157</v>
      </c>
      <c r="M683" s="16" t="s">
        <v>1199</v>
      </c>
      <c r="N683" s="4">
        <f t="shared" ref="N683:N687" ca="1" si="44">IF(K683="", "", MAX(0, K683 - (TODAY() - TODAY())))</f>
        <v>0</v>
      </c>
      <c r="O683" s="4" t="str">
        <f t="shared" ref="O683:O687" ca="1" si="45">IF(OR(K683="", J683=""), "", IF(K683&lt;0, "Vencido", IF(K683&gt;(J683/2), "Supere la mitad", "Bajo la mitad")))</f>
        <v>Vencido</v>
      </c>
      <c r="P683" s="23" t="s">
        <v>1225</v>
      </c>
      <c r="Q683" s="9" t="b">
        <v>0</v>
      </c>
      <c r="R683" s="12" t="b">
        <v>0</v>
      </c>
    </row>
    <row r="684" spans="1:18" ht="15" customHeight="1" x14ac:dyDescent="0.25">
      <c r="A684" s="14" t="s">
        <v>16</v>
      </c>
      <c r="B684" s="15" t="s">
        <v>1226</v>
      </c>
      <c r="C684" s="16" t="s">
        <v>1226</v>
      </c>
      <c r="D684" s="16" t="s">
        <v>1227</v>
      </c>
      <c r="E684" s="16">
        <v>683</v>
      </c>
      <c r="F684" s="17" t="s">
        <v>1206</v>
      </c>
      <c r="G684" s="17" t="b">
        <v>0</v>
      </c>
      <c r="H684" s="16" t="b">
        <v>0</v>
      </c>
      <c r="I684" s="29" t="s">
        <v>80</v>
      </c>
      <c r="J684" s="16">
        <v>15</v>
      </c>
      <c r="K684" s="4">
        <f ca="1">IF(AND(F684&lt;&gt;"", L684&lt;&gt;""), NETWORKDAYS(TODAY(), L684-1, FESTIVOS!A$1:A$55), "")</f>
        <v>-23</v>
      </c>
      <c r="L684" s="9">
        <f>IF(AND(F684&lt;&gt;"", J684&lt;&gt;""), WORKDAY(F684, J684, FESTIVOS!A$1:A$55), "")</f>
        <v>46157</v>
      </c>
      <c r="M684" s="16" t="s">
        <v>1199</v>
      </c>
      <c r="N684" s="4">
        <f t="shared" ca="1" si="44"/>
        <v>0</v>
      </c>
      <c r="O684" s="4" t="str">
        <f t="shared" ca="1" si="45"/>
        <v>Vencido</v>
      </c>
      <c r="P684" s="23" t="s">
        <v>37</v>
      </c>
      <c r="Q684" s="9" t="b">
        <v>0</v>
      </c>
      <c r="R684" s="18" t="b">
        <v>0</v>
      </c>
    </row>
    <row r="685" spans="1:18" x14ac:dyDescent="0.25">
      <c r="A685" s="8" t="s">
        <v>16</v>
      </c>
      <c r="B685" s="7" t="s">
        <v>1228</v>
      </c>
      <c r="C685" s="4" t="s">
        <v>25</v>
      </c>
      <c r="D685" s="4" t="s">
        <v>1229</v>
      </c>
      <c r="E685" s="16">
        <v>684</v>
      </c>
      <c r="F685" s="9">
        <v>46136</v>
      </c>
      <c r="G685" s="9" t="b">
        <v>0</v>
      </c>
      <c r="H685" s="4" t="b">
        <v>0</v>
      </c>
      <c r="I685" s="28" t="s">
        <v>80</v>
      </c>
      <c r="J685" s="16">
        <v>15</v>
      </c>
      <c r="K685" s="4">
        <f ca="1">IF(AND(F685&lt;&gt;"", L685&lt;&gt;""), NETWORKDAYS(TODAY(), L685-1, FESTIVOS!A$1:A$55), "")</f>
        <v>-21</v>
      </c>
      <c r="L685" s="9">
        <f>IF(AND(F685&lt;&gt;"", J685&lt;&gt;""), WORKDAY(F685, J685, FESTIVOS!A$1:A$55), "")</f>
        <v>46161</v>
      </c>
      <c r="M685" s="16" t="s">
        <v>1199</v>
      </c>
      <c r="N685" s="4">
        <f t="shared" ca="1" si="44"/>
        <v>0</v>
      </c>
      <c r="O685" s="4" t="str">
        <f t="shared" ca="1" si="45"/>
        <v>Vencido</v>
      </c>
      <c r="P685" s="23" t="s">
        <v>1230</v>
      </c>
      <c r="Q685" s="9">
        <v>46148</v>
      </c>
      <c r="R685" s="12" t="b">
        <v>0</v>
      </c>
    </row>
    <row r="686" spans="1:18" x14ac:dyDescent="0.25">
      <c r="A686" s="14" t="s">
        <v>16</v>
      </c>
      <c r="B686" s="15" t="s">
        <v>1231</v>
      </c>
      <c r="C686" s="16" t="s">
        <v>25</v>
      </c>
      <c r="D686" s="16" t="s">
        <v>1232</v>
      </c>
      <c r="E686" s="16">
        <v>685</v>
      </c>
      <c r="F686" s="17" t="s">
        <v>1233</v>
      </c>
      <c r="G686" s="17" t="b">
        <v>0</v>
      </c>
      <c r="H686" s="16" t="b">
        <v>0</v>
      </c>
      <c r="I686" s="29" t="s">
        <v>20</v>
      </c>
      <c r="J686" s="16">
        <v>15</v>
      </c>
      <c r="K686" s="4">
        <f ca="1">IF(AND(F686&lt;&gt;"", L686&lt;&gt;""), NETWORKDAYS(TODAY(), L686-1, FESTIVOS!A$1:A$55), "")</f>
        <v>-21</v>
      </c>
      <c r="L686" s="9">
        <f>IF(AND(F686&lt;&gt;"", J686&lt;&gt;""), WORKDAY(F686, J686, FESTIVOS!A$1:A$55), "")</f>
        <v>46161</v>
      </c>
      <c r="M686" s="16" t="s">
        <v>1199</v>
      </c>
      <c r="N686" s="4">
        <f t="shared" ca="1" si="44"/>
        <v>0</v>
      </c>
      <c r="O686" s="4" t="str">
        <f t="shared" ca="1" si="45"/>
        <v>Vencido</v>
      </c>
      <c r="P686" s="23" t="s">
        <v>37</v>
      </c>
      <c r="Q686" s="9" t="b">
        <v>0</v>
      </c>
      <c r="R686" s="18" t="b">
        <v>0</v>
      </c>
    </row>
    <row r="687" spans="1:18" x14ac:dyDescent="0.25">
      <c r="A687" s="8" t="s">
        <v>16</v>
      </c>
      <c r="B687" s="7" t="s">
        <v>1234</v>
      </c>
      <c r="C687" s="4" t="s">
        <v>25</v>
      </c>
      <c r="D687" s="4" t="s">
        <v>1235</v>
      </c>
      <c r="E687" s="16">
        <v>686</v>
      </c>
      <c r="F687" s="17" t="s">
        <v>1233</v>
      </c>
      <c r="G687" s="17" t="b">
        <v>0</v>
      </c>
      <c r="H687" s="16" t="b">
        <v>0</v>
      </c>
      <c r="I687" s="29" t="s">
        <v>66</v>
      </c>
      <c r="J687" s="16">
        <v>15</v>
      </c>
      <c r="K687" s="4">
        <f ca="1">IF(AND(F687&lt;&gt;"", L687&lt;&gt;""), NETWORKDAYS(TODAY(), L687-1, FESTIVOS!A$1:A$55), "")</f>
        <v>-21</v>
      </c>
      <c r="L687" s="9">
        <f>IF(AND(F687&lt;&gt;"", J687&lt;&gt;""), WORKDAY(F687, J687, FESTIVOS!A$1:A$55), "")</f>
        <v>46161</v>
      </c>
      <c r="M687" s="16" t="s">
        <v>1199</v>
      </c>
      <c r="N687" s="4">
        <f t="shared" ca="1" si="44"/>
        <v>0</v>
      </c>
      <c r="O687" s="4" t="str">
        <f t="shared" ca="1" si="45"/>
        <v>Vencido</v>
      </c>
      <c r="P687" s="23" t="s">
        <v>1236</v>
      </c>
      <c r="Q687" s="9">
        <v>46140</v>
      </c>
      <c r="R687" s="12" t="b">
        <v>0</v>
      </c>
    </row>
    <row r="688" spans="1:18" x14ac:dyDescent="0.25">
      <c r="A688" s="14" t="s">
        <v>16</v>
      </c>
      <c r="B688" s="15" t="s">
        <v>1237</v>
      </c>
      <c r="C688" s="16" t="s">
        <v>1238</v>
      </c>
      <c r="D688" s="16" t="s">
        <v>1239</v>
      </c>
      <c r="E688" s="16">
        <v>687</v>
      </c>
      <c r="F688" s="17" t="s">
        <v>1240</v>
      </c>
      <c r="G688" s="17" t="b">
        <v>0</v>
      </c>
      <c r="H688" s="16" t="b">
        <v>0</v>
      </c>
      <c r="I688" s="29" t="s">
        <v>44</v>
      </c>
      <c r="J688" s="16">
        <v>15</v>
      </c>
      <c r="K688" s="4">
        <f ca="1">IF(AND(F688&lt;&gt;"", L688&lt;&gt;""), NETWORKDAYS(TODAY(), L688-1, FESTIVOS!A$1:A$55), "")</f>
        <v>-21</v>
      </c>
      <c r="L688" s="9">
        <f>IF(AND(F688&lt;&gt;"", J688&lt;&gt;""), WORKDAY(F688, J688, FESTIVOS!A$1:A$55), "")</f>
        <v>46162</v>
      </c>
      <c r="M688" s="16" t="s">
        <v>1199</v>
      </c>
      <c r="N688" s="4">
        <f t="shared" ref="N688:N751" ca="1" si="46">IF(K688="", "", MAX(0, K688 - (TODAY() - TODAY())))</f>
        <v>0</v>
      </c>
      <c r="O688" s="4" t="str">
        <f t="shared" ref="O688:O751" ca="1" si="47">IF(OR(K688="", J688=""), "", IF(K688&lt;0, "Vencido", IF(K688&gt;(J688/2), "Supere la mitad", "Bajo la mitad")))</f>
        <v>Vencido</v>
      </c>
      <c r="P688" s="16" t="s">
        <v>1176</v>
      </c>
      <c r="Q688" s="17">
        <v>46141</v>
      </c>
      <c r="R688" s="18" t="b">
        <v>0</v>
      </c>
    </row>
    <row r="689" spans="1:18" x14ac:dyDescent="0.25">
      <c r="A689" s="14" t="s">
        <v>16</v>
      </c>
      <c r="B689" s="15" t="s">
        <v>1241</v>
      </c>
      <c r="C689" s="16" t="s">
        <v>25</v>
      </c>
      <c r="D689" s="16" t="s">
        <v>1242</v>
      </c>
      <c r="E689" s="16">
        <v>688</v>
      </c>
      <c r="F689" s="17" t="s">
        <v>1240</v>
      </c>
      <c r="G689" s="17" t="b">
        <v>0</v>
      </c>
      <c r="H689" s="16" t="b">
        <v>0</v>
      </c>
      <c r="I689" s="29" t="s">
        <v>20</v>
      </c>
      <c r="J689" s="16">
        <v>15</v>
      </c>
      <c r="K689" s="4">
        <f ca="1">IF(AND(F689&lt;&gt;"", L689&lt;&gt;""), NETWORKDAYS(TODAY(), L689-1, FESTIVOS!A$1:A$55), "")</f>
        <v>-21</v>
      </c>
      <c r="L689" s="9">
        <f>IF(AND(F689&lt;&gt;"", J689&lt;&gt;""), WORKDAY(F689, J689, FESTIVOS!A$1:A$55), "")</f>
        <v>46162</v>
      </c>
      <c r="M689" s="16" t="s">
        <v>1199</v>
      </c>
      <c r="N689" s="4">
        <f t="shared" ca="1" si="46"/>
        <v>0</v>
      </c>
      <c r="O689" s="4" t="str">
        <f t="shared" ca="1" si="47"/>
        <v>Vencido</v>
      </c>
      <c r="P689" s="16" t="s">
        <v>1243</v>
      </c>
      <c r="Q689" s="17">
        <v>46156</v>
      </c>
      <c r="R689" s="18" t="b">
        <v>0</v>
      </c>
    </row>
    <row r="690" spans="1:18" x14ac:dyDescent="0.25">
      <c r="A690" s="14" t="s">
        <v>16</v>
      </c>
      <c r="B690" s="15" t="s">
        <v>1244</v>
      </c>
      <c r="C690" s="16" t="s">
        <v>186</v>
      </c>
      <c r="D690" s="16" t="s">
        <v>1245</v>
      </c>
      <c r="E690" s="16">
        <v>689</v>
      </c>
      <c r="F690" s="17" t="s">
        <v>1240</v>
      </c>
      <c r="G690" s="17" t="b">
        <v>0</v>
      </c>
      <c r="H690" s="16" t="b">
        <v>0</v>
      </c>
      <c r="I690" s="29" t="s">
        <v>20</v>
      </c>
      <c r="J690" s="16">
        <v>15</v>
      </c>
      <c r="K690" s="4">
        <f ca="1">IF(AND(F690&lt;&gt;"", L690&lt;&gt;""), NETWORKDAYS(TODAY(), L690-1, FESTIVOS!A$1:A$55), "")</f>
        <v>-21</v>
      </c>
      <c r="L690" s="9">
        <f>IF(AND(F690&lt;&gt;"", J690&lt;&gt;""), WORKDAY(F690, J690, FESTIVOS!A$1:A$55), "")</f>
        <v>46162</v>
      </c>
      <c r="M690" s="16" t="s">
        <v>1199</v>
      </c>
      <c r="N690" s="4">
        <f t="shared" ca="1" si="46"/>
        <v>0</v>
      </c>
      <c r="O690" s="4" t="str">
        <f t="shared" ca="1" si="47"/>
        <v>Vencido</v>
      </c>
      <c r="P690" s="16" t="s">
        <v>37</v>
      </c>
      <c r="Q690" s="17" t="b">
        <v>0</v>
      </c>
      <c r="R690" s="18" t="b">
        <v>0</v>
      </c>
    </row>
    <row r="691" spans="1:18" x14ac:dyDescent="0.25">
      <c r="A691" s="14" t="s">
        <v>16</v>
      </c>
      <c r="B691" s="15" t="s">
        <v>1246</v>
      </c>
      <c r="C691" s="16" t="s">
        <v>25</v>
      </c>
      <c r="D691" s="16" t="s">
        <v>1247</v>
      </c>
      <c r="E691" s="16">
        <v>690</v>
      </c>
      <c r="F691" s="17" t="s">
        <v>1240</v>
      </c>
      <c r="G691" s="17" t="b">
        <v>0</v>
      </c>
      <c r="H691" s="16" t="b">
        <v>0</v>
      </c>
      <c r="I691" s="29" t="s">
        <v>20</v>
      </c>
      <c r="J691" s="16">
        <v>15</v>
      </c>
      <c r="K691" s="4">
        <f ca="1">IF(AND(F691&lt;&gt;"", L691&lt;&gt;""), NETWORKDAYS(TODAY(), L691-1, FESTIVOS!A$1:A$55), "")</f>
        <v>-21</v>
      </c>
      <c r="L691" s="9">
        <f>IF(AND(F691&lt;&gt;"", J691&lt;&gt;""), WORKDAY(F691, J691, FESTIVOS!A$1:A$55), "")</f>
        <v>46162</v>
      </c>
      <c r="M691" s="16" t="s">
        <v>1199</v>
      </c>
      <c r="N691" s="4">
        <f t="shared" ca="1" si="46"/>
        <v>0</v>
      </c>
      <c r="O691" s="4" t="str">
        <f t="shared" ca="1" si="47"/>
        <v>Vencido</v>
      </c>
      <c r="P691" s="16" t="s">
        <v>1248</v>
      </c>
      <c r="Q691" s="17" t="b">
        <v>0</v>
      </c>
      <c r="R691" s="18" t="b">
        <v>0</v>
      </c>
    </row>
    <row r="692" spans="1:18" x14ac:dyDescent="0.25">
      <c r="A692" s="14" t="s">
        <v>636</v>
      </c>
      <c r="B692" s="15" t="s">
        <v>1249</v>
      </c>
      <c r="C692" s="16" t="s">
        <v>57</v>
      </c>
      <c r="D692" s="16" t="s">
        <v>1250</v>
      </c>
      <c r="E692" s="16">
        <v>691</v>
      </c>
      <c r="F692" s="17" t="s">
        <v>1240</v>
      </c>
      <c r="G692" s="17" t="b">
        <v>0</v>
      </c>
      <c r="H692" s="16" t="b">
        <v>0</v>
      </c>
      <c r="I692" s="29" t="s">
        <v>44</v>
      </c>
      <c r="J692" s="4">
        <f t="shared" ref="J692" si="48">IF(A692="INFORMACIÓN O DOCUMENTOS", 10, IF(A692="CONSULTA", 30, IF(A692="FACTURACIÓN Y COBROS", 15, IF(A692="VINCULACIÓN Y DESVINCULACIÓN", 15, IF(A692="NO ES DE NUESTRA COMPETENCIA", 5, IF(A692="OTRO", 15, ""))))))</f>
        <v>10</v>
      </c>
      <c r="K692" s="4">
        <f ca="1">IF(AND(F692&lt;&gt;"", L692&lt;&gt;""), NETWORKDAYS(TODAY(), L692-1, FESTIVOS!A$1:A$55), "")</f>
        <v>-26</v>
      </c>
      <c r="L692" s="9">
        <f>IF(AND(F692&lt;&gt;"", J692&lt;&gt;""), WORKDAY(F692, J692, FESTIVOS!A$1:A$55), "")</f>
        <v>46154</v>
      </c>
      <c r="M692" s="16" t="s">
        <v>1199</v>
      </c>
      <c r="N692" s="4">
        <f t="shared" ca="1" si="46"/>
        <v>0</v>
      </c>
      <c r="O692" s="4" t="str">
        <f t="shared" ca="1" si="47"/>
        <v>Vencido</v>
      </c>
      <c r="P692" s="16" t="s">
        <v>1251</v>
      </c>
      <c r="Q692" s="17">
        <v>46146</v>
      </c>
      <c r="R692" s="18" t="b">
        <v>0</v>
      </c>
    </row>
    <row r="693" spans="1:18" x14ac:dyDescent="0.25">
      <c r="A693" s="8" t="s">
        <v>16</v>
      </c>
      <c r="B693" s="7" t="s">
        <v>1252</v>
      </c>
      <c r="C693" s="4" t="s">
        <v>25</v>
      </c>
      <c r="D693" s="4" t="s">
        <v>135</v>
      </c>
      <c r="E693" s="16">
        <v>692</v>
      </c>
      <c r="F693" s="17" t="s">
        <v>1240</v>
      </c>
      <c r="G693" s="17" t="b">
        <v>0</v>
      </c>
      <c r="H693" s="16" t="b">
        <v>0</v>
      </c>
      <c r="I693" s="28" t="s">
        <v>66</v>
      </c>
      <c r="J693" s="4">
        <f t="shared" ref="J693:J756" si="49">IF(A693="INFORMACIÓN O DOCUMENTOS", 10, IF(A693="CONSULTA", 30, IF(A693="FACTURACIÓN Y COBROS", 15, IF(A693="VINCULACIÓN Y DESVINCULACIÓN", 15, IF(A693="NO ES DE NUESTRA COMPETENCIA", 5, IF(A693="OTRO", 15, ""))))))</f>
        <v>15</v>
      </c>
      <c r="K693" s="4">
        <f ca="1">IF(AND(F693&lt;&gt;"", L693&lt;&gt;""), NETWORKDAYS(TODAY(), L693-1, FESTIVOS!A$1:A$55), "")</f>
        <v>-21</v>
      </c>
      <c r="L693" s="9">
        <f>IF(AND(F693&lt;&gt;"", J693&lt;&gt;""), WORKDAY(F693, J693, FESTIVOS!A$1:A$55), "")</f>
        <v>46162</v>
      </c>
      <c r="M693" s="16" t="s">
        <v>1199</v>
      </c>
      <c r="N693" s="4">
        <f t="shared" ca="1" si="46"/>
        <v>0</v>
      </c>
      <c r="O693" s="4" t="str">
        <f t="shared" ca="1" si="47"/>
        <v>Vencido</v>
      </c>
      <c r="P693" s="4" t="s">
        <v>1253</v>
      </c>
      <c r="Q693" s="9" t="b">
        <v>0</v>
      </c>
      <c r="R693" s="12" t="b">
        <v>0</v>
      </c>
    </row>
    <row r="694" spans="1:18" x14ac:dyDescent="0.25">
      <c r="A694" s="14" t="s">
        <v>16</v>
      </c>
      <c r="B694" s="15" t="s">
        <v>1254</v>
      </c>
      <c r="C694" s="16" t="s">
        <v>1254</v>
      </c>
      <c r="D694" s="16" t="s">
        <v>1255</v>
      </c>
      <c r="E694" s="16">
        <v>693</v>
      </c>
      <c r="F694" s="17" t="s">
        <v>1240</v>
      </c>
      <c r="G694" s="17" t="b">
        <v>0</v>
      </c>
      <c r="H694" s="16" t="b">
        <v>0</v>
      </c>
      <c r="I694" s="29" t="s">
        <v>44</v>
      </c>
      <c r="J694" s="4">
        <f t="shared" si="49"/>
        <v>15</v>
      </c>
      <c r="K694" s="4">
        <f ca="1">IF(AND(F694&lt;&gt;"", L694&lt;&gt;""), NETWORKDAYS(TODAY(), L694-1, FESTIVOS!A$1:A$55), "")</f>
        <v>-21</v>
      </c>
      <c r="L694" s="9">
        <f>IF(AND(F694&lt;&gt;"", J694&lt;&gt;""), WORKDAY(F694, J694, FESTIVOS!A$1:A$55), "")</f>
        <v>46162</v>
      </c>
      <c r="M694" s="16" t="s">
        <v>1199</v>
      </c>
      <c r="N694" s="4">
        <f t="shared" ca="1" si="46"/>
        <v>0</v>
      </c>
      <c r="O694" s="4" t="str">
        <f t="shared" ca="1" si="47"/>
        <v>Vencido</v>
      </c>
      <c r="P694" s="16" t="s">
        <v>1256</v>
      </c>
      <c r="Q694" s="17" t="b">
        <v>0</v>
      </c>
      <c r="R694" s="18" t="b">
        <v>0</v>
      </c>
    </row>
    <row r="695" spans="1:18" x14ac:dyDescent="0.25">
      <c r="A695" s="8" t="s">
        <v>16</v>
      </c>
      <c r="B695" s="7" t="s">
        <v>1257</v>
      </c>
      <c r="C695" s="4" t="s">
        <v>25</v>
      </c>
      <c r="D695" s="4" t="s">
        <v>1258</v>
      </c>
      <c r="E695" s="16">
        <v>694</v>
      </c>
      <c r="F695" s="17" t="s">
        <v>1240</v>
      </c>
      <c r="G695" s="17" t="b">
        <v>0</v>
      </c>
      <c r="H695" s="16" t="b">
        <v>0</v>
      </c>
      <c r="I695" s="28" t="s">
        <v>20</v>
      </c>
      <c r="J695" s="4">
        <f t="shared" si="49"/>
        <v>15</v>
      </c>
      <c r="K695" s="4">
        <f ca="1">IF(AND(F695&lt;&gt;"", L695&lt;&gt;""), NETWORKDAYS(TODAY(), L695-1, FESTIVOS!A$1:A$55), "")</f>
        <v>-21</v>
      </c>
      <c r="L695" s="9">
        <f>IF(AND(F695&lt;&gt;"", J695&lt;&gt;""), WORKDAY(F695, J695, FESTIVOS!A$1:A$55), "")</f>
        <v>46162</v>
      </c>
      <c r="M695" s="16" t="s">
        <v>1199</v>
      </c>
      <c r="N695" s="4">
        <f t="shared" ca="1" si="46"/>
        <v>0</v>
      </c>
      <c r="O695" s="4" t="str">
        <f t="shared" ca="1" si="47"/>
        <v>Vencido</v>
      </c>
      <c r="P695" s="4" t="s">
        <v>1259</v>
      </c>
      <c r="Q695" s="9" t="b">
        <v>0</v>
      </c>
      <c r="R695" s="12" t="b">
        <v>0</v>
      </c>
    </row>
    <row r="696" spans="1:18" x14ac:dyDescent="0.25">
      <c r="A696" s="8" t="s">
        <v>16</v>
      </c>
      <c r="B696" s="7" t="s">
        <v>1260</v>
      </c>
      <c r="C696" s="4" t="s">
        <v>25</v>
      </c>
      <c r="D696" s="4" t="s">
        <v>1261</v>
      </c>
      <c r="E696" s="16">
        <v>695</v>
      </c>
      <c r="F696" s="17" t="s">
        <v>1240</v>
      </c>
      <c r="G696" s="17" t="b">
        <v>0</v>
      </c>
      <c r="H696" s="16" t="b">
        <v>0</v>
      </c>
      <c r="I696" s="28" t="s">
        <v>80</v>
      </c>
      <c r="J696" s="4">
        <f t="shared" si="49"/>
        <v>15</v>
      </c>
      <c r="K696" s="4">
        <f ca="1">IF(AND(F696&lt;&gt;"", L696&lt;&gt;""), NETWORKDAYS(TODAY(), L696-1, FESTIVOS!A$1:A$55), "")</f>
        <v>-21</v>
      </c>
      <c r="L696" s="9">
        <f>IF(AND(F696&lt;&gt;"", J696&lt;&gt;""), WORKDAY(F696, J696, FESTIVOS!A$1:A$55), "")</f>
        <v>46162</v>
      </c>
      <c r="M696" s="16" t="s">
        <v>1199</v>
      </c>
      <c r="N696" s="4">
        <f t="shared" ca="1" si="46"/>
        <v>0</v>
      </c>
      <c r="O696" s="4" t="str">
        <f t="shared" ca="1" si="47"/>
        <v>Vencido</v>
      </c>
      <c r="P696" s="4" t="b">
        <v>0</v>
      </c>
      <c r="Q696" s="9" t="b">
        <v>0</v>
      </c>
      <c r="R696" s="12" t="b">
        <v>0</v>
      </c>
    </row>
    <row r="697" spans="1:18" x14ac:dyDescent="0.25">
      <c r="A697" s="8" t="s">
        <v>16</v>
      </c>
      <c r="B697" s="7" t="s">
        <v>1262</v>
      </c>
      <c r="C697" s="4" t="s">
        <v>25</v>
      </c>
      <c r="D697" s="4" t="s">
        <v>1263</v>
      </c>
      <c r="E697" s="16">
        <v>696</v>
      </c>
      <c r="F697" s="17" t="s">
        <v>1240</v>
      </c>
      <c r="G697" s="17" t="b">
        <v>0</v>
      </c>
      <c r="H697" s="16" t="b">
        <v>0</v>
      </c>
      <c r="I697" s="28" t="s">
        <v>80</v>
      </c>
      <c r="J697" s="4">
        <f t="shared" si="49"/>
        <v>15</v>
      </c>
      <c r="K697" s="4">
        <f ca="1">IF(AND(F697&lt;&gt;"", L697&lt;&gt;""), NETWORKDAYS(TODAY(), L697-1, FESTIVOS!A$1:A$55), "")</f>
        <v>-21</v>
      </c>
      <c r="L697" s="9">
        <f>IF(AND(F697&lt;&gt;"", J697&lt;&gt;""), WORKDAY(F697, J697, FESTIVOS!A$1:A$55), "")</f>
        <v>46162</v>
      </c>
      <c r="M697" s="16" t="s">
        <v>1199</v>
      </c>
      <c r="N697" s="4">
        <f t="shared" ca="1" si="46"/>
        <v>0</v>
      </c>
      <c r="O697" s="4" t="str">
        <f t="shared" ca="1" si="47"/>
        <v>Vencido</v>
      </c>
      <c r="P697" s="4" t="b">
        <v>0</v>
      </c>
      <c r="Q697" s="9" t="b">
        <v>0</v>
      </c>
      <c r="R697" s="12" t="b">
        <v>0</v>
      </c>
    </row>
    <row r="698" spans="1:18" x14ac:dyDescent="0.25">
      <c r="A698" s="8" t="s">
        <v>16</v>
      </c>
      <c r="B698" s="7" t="s">
        <v>1264</v>
      </c>
      <c r="C698" s="4" t="s">
        <v>25</v>
      </c>
      <c r="D698" s="4" t="s">
        <v>1039</v>
      </c>
      <c r="E698" s="16">
        <v>697</v>
      </c>
      <c r="F698" s="17" t="s">
        <v>1240</v>
      </c>
      <c r="G698" s="17" t="b">
        <v>0</v>
      </c>
      <c r="H698" s="16" t="b">
        <v>0</v>
      </c>
      <c r="I698" s="28" t="s">
        <v>20</v>
      </c>
      <c r="J698" s="4">
        <f t="shared" si="49"/>
        <v>15</v>
      </c>
      <c r="K698" s="4">
        <f ca="1">IF(AND(F698&lt;&gt;"", L698&lt;&gt;""), NETWORKDAYS(TODAY(), L698-1, FESTIVOS!A$1:A$55), "")</f>
        <v>-21</v>
      </c>
      <c r="L698" s="9">
        <f>IF(AND(F698&lt;&gt;"", J698&lt;&gt;""), WORKDAY(F698, J698, FESTIVOS!A$1:A$55), "")</f>
        <v>46162</v>
      </c>
      <c r="M698" s="16" t="s">
        <v>1199</v>
      </c>
      <c r="N698" s="4">
        <f t="shared" ca="1" si="46"/>
        <v>0</v>
      </c>
      <c r="O698" s="4" t="str">
        <f t="shared" ca="1" si="47"/>
        <v>Vencido</v>
      </c>
      <c r="P698" s="4" t="s">
        <v>1265</v>
      </c>
      <c r="Q698" s="9" t="b">
        <v>0</v>
      </c>
      <c r="R698" s="12" t="b">
        <v>0</v>
      </c>
    </row>
    <row r="699" spans="1:18" x14ac:dyDescent="0.25">
      <c r="A699" s="8" t="s">
        <v>16</v>
      </c>
      <c r="B699" s="7" t="s">
        <v>1266</v>
      </c>
      <c r="C699" s="4" t="s">
        <v>25</v>
      </c>
      <c r="D699" s="4" t="s">
        <v>1267</v>
      </c>
      <c r="E699" s="16">
        <v>698</v>
      </c>
      <c r="F699" s="17" t="s">
        <v>1240</v>
      </c>
      <c r="G699" s="17" t="b">
        <v>0</v>
      </c>
      <c r="H699" s="16" t="b">
        <v>0</v>
      </c>
      <c r="I699" s="28" t="s">
        <v>66</v>
      </c>
      <c r="J699" s="4">
        <f t="shared" si="49"/>
        <v>15</v>
      </c>
      <c r="K699" s="4">
        <f ca="1">IF(AND(F699&lt;&gt;"", L699&lt;&gt;""), NETWORKDAYS(TODAY(), L699-1, FESTIVOS!A$1:A$55), "")</f>
        <v>-21</v>
      </c>
      <c r="L699" s="9">
        <f>IF(AND(F699&lt;&gt;"", J699&lt;&gt;""), WORKDAY(F699, J699, FESTIVOS!A$1:A$55), "")</f>
        <v>46162</v>
      </c>
      <c r="M699" s="16" t="s">
        <v>1199</v>
      </c>
      <c r="N699" s="4">
        <f t="shared" ca="1" si="46"/>
        <v>0</v>
      </c>
      <c r="O699" s="4" t="str">
        <f t="shared" ca="1" si="47"/>
        <v>Vencido</v>
      </c>
      <c r="P699" s="4" t="b">
        <v>1</v>
      </c>
      <c r="Q699" s="9" t="b">
        <v>0</v>
      </c>
      <c r="R699" s="12" t="b">
        <v>0</v>
      </c>
    </row>
    <row r="700" spans="1:18" x14ac:dyDescent="0.25">
      <c r="A700" s="8" t="s">
        <v>16</v>
      </c>
      <c r="B700" s="7" t="s">
        <v>574</v>
      </c>
      <c r="C700" s="4" t="s">
        <v>32</v>
      </c>
      <c r="D700" s="4" t="s">
        <v>1268</v>
      </c>
      <c r="E700" s="16">
        <v>699</v>
      </c>
      <c r="F700" s="17" t="s">
        <v>1240</v>
      </c>
      <c r="G700" s="17" t="b">
        <v>0</v>
      </c>
      <c r="H700" s="16" t="b">
        <v>0</v>
      </c>
      <c r="I700" s="28" t="s">
        <v>66</v>
      </c>
      <c r="J700" s="4">
        <f t="shared" si="49"/>
        <v>15</v>
      </c>
      <c r="K700" s="4">
        <f ca="1">IF(AND(F700&lt;&gt;"", L700&lt;&gt;""), NETWORKDAYS(TODAY(), L700-1, FESTIVOS!A$1:A$55), "")</f>
        <v>-21</v>
      </c>
      <c r="L700" s="9">
        <f>IF(AND(F700&lt;&gt;"", J700&lt;&gt;""), WORKDAY(F700, J700, FESTIVOS!A$1:A$55), "")</f>
        <v>46162</v>
      </c>
      <c r="M700" s="16" t="s">
        <v>1199</v>
      </c>
      <c r="N700" s="4">
        <f t="shared" ca="1" si="46"/>
        <v>0</v>
      </c>
      <c r="O700" s="4" t="str">
        <f t="shared" ca="1" si="47"/>
        <v>Vencido</v>
      </c>
      <c r="P700" s="4" t="b">
        <v>0</v>
      </c>
      <c r="Q700" s="9" t="b">
        <v>0</v>
      </c>
      <c r="R700" s="12" t="b">
        <v>0</v>
      </c>
    </row>
    <row r="701" spans="1:18" x14ac:dyDescent="0.25">
      <c r="A701" s="14" t="s">
        <v>16</v>
      </c>
      <c r="B701" s="15" t="s">
        <v>1269</v>
      </c>
      <c r="C701" s="16" t="s">
        <v>25</v>
      </c>
      <c r="D701" s="16" t="s">
        <v>1270</v>
      </c>
      <c r="E701" s="16">
        <v>700</v>
      </c>
      <c r="F701" s="17" t="s">
        <v>1240</v>
      </c>
      <c r="G701" s="17" t="b">
        <v>0</v>
      </c>
      <c r="H701" s="16" t="b">
        <v>0</v>
      </c>
      <c r="I701" s="28" t="s">
        <v>66</v>
      </c>
      <c r="J701" s="4">
        <f t="shared" si="49"/>
        <v>15</v>
      </c>
      <c r="K701" s="4">
        <f ca="1">IF(AND(F701&lt;&gt;"", L701&lt;&gt;""), NETWORKDAYS(TODAY(), L701-1, FESTIVOS!A$1:A$55), "")</f>
        <v>-21</v>
      </c>
      <c r="L701" s="9">
        <f>IF(AND(F701&lt;&gt;"", J701&lt;&gt;""), WORKDAY(F701, J701, FESTIVOS!A$1:A$55), "")</f>
        <v>46162</v>
      </c>
      <c r="M701" s="16" t="s">
        <v>1199</v>
      </c>
      <c r="N701" s="4">
        <f t="shared" ca="1" si="46"/>
        <v>0</v>
      </c>
      <c r="O701" s="4" t="str">
        <f t="shared" ca="1" si="47"/>
        <v>Vencido</v>
      </c>
      <c r="P701" s="16" t="b">
        <v>0</v>
      </c>
      <c r="Q701" s="17" t="b">
        <v>0</v>
      </c>
      <c r="R701" s="18" t="b">
        <v>0</v>
      </c>
    </row>
    <row r="702" spans="1:18" x14ac:dyDescent="0.25">
      <c r="A702" s="14" t="s">
        <v>16</v>
      </c>
      <c r="B702" s="7" t="s">
        <v>1271</v>
      </c>
      <c r="C702" s="4" t="s">
        <v>25</v>
      </c>
      <c r="D702" s="4" t="s">
        <v>1267</v>
      </c>
      <c r="E702" s="16">
        <v>701</v>
      </c>
      <c r="F702" s="17" t="s">
        <v>1240</v>
      </c>
      <c r="G702" s="17" t="b">
        <v>0</v>
      </c>
      <c r="H702" s="16" t="b">
        <v>0</v>
      </c>
      <c r="I702" s="28" t="s">
        <v>44</v>
      </c>
      <c r="J702" s="4">
        <f t="shared" si="49"/>
        <v>15</v>
      </c>
      <c r="K702" s="4">
        <f ca="1">IF(AND(F702&lt;&gt;"", L702&lt;&gt;""), NETWORKDAYS(TODAY(), L702-1, FESTIVOS!A$1:A$55), "")</f>
        <v>-21</v>
      </c>
      <c r="L702" s="9">
        <f>IF(AND(F702&lt;&gt;"", J702&lt;&gt;""), WORKDAY(F702, J702, FESTIVOS!A$1:A$55), "")</f>
        <v>46162</v>
      </c>
      <c r="M702" s="16" t="s">
        <v>1199</v>
      </c>
      <c r="N702" s="4">
        <f t="shared" ca="1" si="46"/>
        <v>0</v>
      </c>
      <c r="O702" s="4" t="str">
        <f t="shared" ca="1" si="47"/>
        <v>Vencido</v>
      </c>
      <c r="P702" s="4" t="b">
        <v>0</v>
      </c>
      <c r="Q702" s="9" t="b">
        <v>0</v>
      </c>
      <c r="R702" s="12" t="b">
        <v>0</v>
      </c>
    </row>
    <row r="703" spans="1:18" x14ac:dyDescent="0.25">
      <c r="A703" s="14" t="s">
        <v>16</v>
      </c>
      <c r="B703" s="7" t="s">
        <v>1272</v>
      </c>
      <c r="C703" s="4" t="s">
        <v>25</v>
      </c>
      <c r="D703" s="4" t="s">
        <v>135</v>
      </c>
      <c r="E703" s="16">
        <v>702</v>
      </c>
      <c r="F703" s="17" t="s">
        <v>1240</v>
      </c>
      <c r="G703" s="17" t="b">
        <v>0</v>
      </c>
      <c r="H703" s="16" t="b">
        <v>0</v>
      </c>
      <c r="I703" s="28" t="s">
        <v>66</v>
      </c>
      <c r="J703" s="4">
        <f t="shared" si="49"/>
        <v>15</v>
      </c>
      <c r="K703" s="4">
        <f ca="1">IF(AND(F703&lt;&gt;"", L703&lt;&gt;""), NETWORKDAYS(TODAY(), L703-1, FESTIVOS!A$1:A$55), "")</f>
        <v>-21</v>
      </c>
      <c r="L703" s="9">
        <f>IF(AND(F703&lt;&gt;"", J703&lt;&gt;""), WORKDAY(F703, J703, FESTIVOS!A$1:A$55), "")</f>
        <v>46162</v>
      </c>
      <c r="M703" s="16" t="s">
        <v>1199</v>
      </c>
      <c r="N703" s="4">
        <f t="shared" ca="1" si="46"/>
        <v>0</v>
      </c>
      <c r="O703" s="4" t="str">
        <f t="shared" ca="1" si="47"/>
        <v>Vencido</v>
      </c>
      <c r="P703" s="4" t="b">
        <v>0</v>
      </c>
      <c r="Q703" s="9" t="b">
        <v>0</v>
      </c>
      <c r="R703" s="12" t="b">
        <v>0</v>
      </c>
    </row>
    <row r="704" spans="1:18" x14ac:dyDescent="0.25">
      <c r="A704" s="14" t="s">
        <v>16</v>
      </c>
      <c r="B704" s="7" t="s">
        <v>1273</v>
      </c>
      <c r="C704" s="4" t="s">
        <v>25</v>
      </c>
      <c r="D704" s="4" t="s">
        <v>1274</v>
      </c>
      <c r="E704" s="16">
        <v>703</v>
      </c>
      <c r="F704" s="17" t="s">
        <v>1240</v>
      </c>
      <c r="G704" s="17" t="b">
        <v>0</v>
      </c>
      <c r="H704" s="16" t="b">
        <v>0</v>
      </c>
      <c r="I704" s="28" t="s">
        <v>20</v>
      </c>
      <c r="J704" s="4">
        <f t="shared" si="49"/>
        <v>15</v>
      </c>
      <c r="K704" s="4">
        <f ca="1">IF(AND(F704&lt;&gt;"", L704&lt;&gt;""), NETWORKDAYS(TODAY(), L704-1, FESTIVOS!A$1:A$55), "")</f>
        <v>-21</v>
      </c>
      <c r="L704" s="9">
        <f>IF(AND(F704&lt;&gt;"", J704&lt;&gt;""), WORKDAY(F704, J704, FESTIVOS!A$1:A$55), "")</f>
        <v>46162</v>
      </c>
      <c r="M704" s="16" t="s">
        <v>1199</v>
      </c>
      <c r="N704" s="4">
        <f t="shared" ca="1" si="46"/>
        <v>0</v>
      </c>
      <c r="O704" s="4" t="str">
        <f t="shared" ca="1" si="47"/>
        <v>Vencido</v>
      </c>
      <c r="P704" s="4" t="s">
        <v>1275</v>
      </c>
      <c r="Q704" s="9">
        <v>46150</v>
      </c>
      <c r="R704" s="12" t="b">
        <v>0</v>
      </c>
    </row>
    <row r="705" spans="1:18" x14ac:dyDescent="0.25">
      <c r="A705" s="14" t="s">
        <v>16</v>
      </c>
      <c r="B705" s="7" t="s">
        <v>918</v>
      </c>
      <c r="C705" s="4" t="s">
        <v>84</v>
      </c>
      <c r="D705" s="4" t="s">
        <v>919</v>
      </c>
      <c r="E705" s="16">
        <v>704</v>
      </c>
      <c r="F705" s="17" t="s">
        <v>1240</v>
      </c>
      <c r="G705" s="17" t="b">
        <v>0</v>
      </c>
      <c r="H705" s="16" t="b">
        <v>0</v>
      </c>
      <c r="I705" s="28" t="s">
        <v>20</v>
      </c>
      <c r="J705" s="4">
        <f t="shared" si="49"/>
        <v>15</v>
      </c>
      <c r="K705" s="4">
        <f ca="1">IF(AND(F705&lt;&gt;"", L705&lt;&gt;""), NETWORKDAYS(TODAY(), L705-1, FESTIVOS!A$1:A$55), "")</f>
        <v>-21</v>
      </c>
      <c r="L705" s="9">
        <f>IF(AND(F705&lt;&gt;"", J705&lt;&gt;""), WORKDAY(F705, J705, FESTIVOS!A$1:A$55), "")</f>
        <v>46162</v>
      </c>
      <c r="M705" s="16" t="s">
        <v>1199</v>
      </c>
      <c r="N705" s="4">
        <f t="shared" ca="1" si="46"/>
        <v>0</v>
      </c>
      <c r="O705" s="4" t="str">
        <f t="shared" ca="1" si="47"/>
        <v>Vencido</v>
      </c>
      <c r="P705" s="4" t="s">
        <v>37</v>
      </c>
      <c r="Q705" s="9" t="b">
        <v>0</v>
      </c>
      <c r="R705" s="12" t="b">
        <v>0</v>
      </c>
    </row>
    <row r="706" spans="1:18" x14ac:dyDescent="0.25">
      <c r="A706" s="14" t="s">
        <v>16</v>
      </c>
      <c r="B706" s="7" t="s">
        <v>918</v>
      </c>
      <c r="C706" s="4" t="s">
        <v>84</v>
      </c>
      <c r="D706" s="4" t="s">
        <v>919</v>
      </c>
      <c r="E706" s="16">
        <v>705</v>
      </c>
      <c r="F706" s="17" t="s">
        <v>1240</v>
      </c>
      <c r="G706" s="17" t="b">
        <v>0</v>
      </c>
      <c r="H706" s="16" t="b">
        <v>0</v>
      </c>
      <c r="I706" s="28" t="s">
        <v>20</v>
      </c>
      <c r="J706" s="4">
        <f t="shared" si="49"/>
        <v>15</v>
      </c>
      <c r="K706" s="4">
        <f ca="1">IF(AND(F706&lt;&gt;"", L706&lt;&gt;""), NETWORKDAYS(TODAY(), L706-1, FESTIVOS!A$1:A$55), "")</f>
        <v>-21</v>
      </c>
      <c r="L706" s="9">
        <f>IF(AND(F706&lt;&gt;"", J706&lt;&gt;""), WORKDAY(F706, J706, FESTIVOS!A$1:A$55), "")</f>
        <v>46162</v>
      </c>
      <c r="M706" s="16" t="s">
        <v>1199</v>
      </c>
      <c r="N706" s="4">
        <f t="shared" ca="1" si="46"/>
        <v>0</v>
      </c>
      <c r="O706" s="4" t="str">
        <f t="shared" ca="1" si="47"/>
        <v>Vencido</v>
      </c>
      <c r="P706" s="4" t="s">
        <v>37</v>
      </c>
      <c r="Q706" s="9" t="b">
        <v>0</v>
      </c>
      <c r="R706" s="12" t="b">
        <v>0</v>
      </c>
    </row>
    <row r="707" spans="1:18" x14ac:dyDescent="0.25">
      <c r="A707" s="14" t="s">
        <v>16</v>
      </c>
      <c r="B707" s="7" t="s">
        <v>918</v>
      </c>
      <c r="C707" s="4" t="s">
        <v>84</v>
      </c>
      <c r="D707" s="4" t="s">
        <v>919</v>
      </c>
      <c r="E707" s="16">
        <v>706</v>
      </c>
      <c r="F707" s="9">
        <v>46140</v>
      </c>
      <c r="G707" s="9" t="b">
        <v>0</v>
      </c>
      <c r="H707" s="4" t="b">
        <v>0</v>
      </c>
      <c r="I707" s="28" t="s">
        <v>20</v>
      </c>
      <c r="J707" s="4">
        <f t="shared" si="49"/>
        <v>15</v>
      </c>
      <c r="K707" s="4">
        <f ca="1">IF(AND(F707&lt;&gt;"", L707&lt;&gt;""), NETWORKDAYS(TODAY(), L707-1, FESTIVOS!A$1:A$55), "")</f>
        <v>-20</v>
      </c>
      <c r="L707" s="9">
        <f>IF(AND(F707&lt;&gt;"", J707&lt;&gt;""), WORKDAY(F707, J707, FESTIVOS!A$1:A$55), "")</f>
        <v>46163</v>
      </c>
      <c r="M707" s="16" t="s">
        <v>1199</v>
      </c>
      <c r="N707" s="4">
        <f t="shared" ca="1" si="46"/>
        <v>0</v>
      </c>
      <c r="O707" s="4" t="str">
        <f t="shared" ca="1" si="47"/>
        <v>Vencido</v>
      </c>
      <c r="P707" s="4" t="s">
        <v>37</v>
      </c>
      <c r="Q707" s="9" t="b">
        <v>0</v>
      </c>
      <c r="R707" s="12" t="b">
        <v>0</v>
      </c>
    </row>
    <row r="708" spans="1:18" x14ac:dyDescent="0.25">
      <c r="A708" s="8" t="s">
        <v>16</v>
      </c>
      <c r="B708" s="7" t="s">
        <v>401</v>
      </c>
      <c r="C708" s="4" t="s">
        <v>32</v>
      </c>
      <c r="D708" s="21" t="s">
        <v>1276</v>
      </c>
      <c r="E708" s="16">
        <v>707</v>
      </c>
      <c r="F708" s="9">
        <v>46140</v>
      </c>
      <c r="G708" s="9" t="b">
        <v>0</v>
      </c>
      <c r="H708" s="4">
        <v>0</v>
      </c>
      <c r="I708" s="28" t="s">
        <v>20</v>
      </c>
      <c r="J708" s="4">
        <f t="shared" si="49"/>
        <v>15</v>
      </c>
      <c r="K708" s="4">
        <f ca="1">IF(AND(F708&lt;&gt;"", L708&lt;&gt;""), NETWORKDAYS(TODAY(), L708-1, FESTIVOS!A$1:A$55), "")</f>
        <v>-20</v>
      </c>
      <c r="L708" s="9">
        <f>IF(AND(F708&lt;&gt;"", J708&lt;&gt;""), WORKDAY(F708, J708, FESTIVOS!A$1:A$55), "")</f>
        <v>46163</v>
      </c>
      <c r="M708" s="16" t="s">
        <v>1199</v>
      </c>
      <c r="N708" s="4">
        <f t="shared" ca="1" si="46"/>
        <v>0</v>
      </c>
      <c r="O708" s="4" t="str">
        <f t="shared" ca="1" si="47"/>
        <v>Vencido</v>
      </c>
      <c r="P708" s="4" t="s">
        <v>1277</v>
      </c>
      <c r="Q708" s="9">
        <v>46150</v>
      </c>
      <c r="R708" s="12" t="b">
        <v>0</v>
      </c>
    </row>
    <row r="709" spans="1:18" x14ac:dyDescent="0.25">
      <c r="A709" s="8" t="s">
        <v>16</v>
      </c>
      <c r="B709" s="7" t="b">
        <v>0</v>
      </c>
      <c r="C709" s="4" t="b">
        <v>0</v>
      </c>
      <c r="D709" s="4" t="b">
        <v>0</v>
      </c>
      <c r="E709" s="16">
        <v>708</v>
      </c>
      <c r="F709" s="9" t="b">
        <v>0</v>
      </c>
      <c r="G709" s="9" t="b">
        <v>0</v>
      </c>
      <c r="H709" s="4" t="b">
        <v>0</v>
      </c>
      <c r="I709" s="28" t="s">
        <v>20</v>
      </c>
      <c r="J709" s="4">
        <f t="shared" si="49"/>
        <v>15</v>
      </c>
      <c r="K709" s="4" t="e">
        <f ca="1">IF(AND(F709&lt;&gt;"", L709&lt;&gt;""), NETWORKDAYS(TODAY(), L709-1, FESTIVOS!A$1:A$55), "")</f>
        <v>#VALUE!</v>
      </c>
      <c r="L709" s="9" t="e">
        <f>IF(AND(F709&lt;&gt;"", J709&lt;&gt;""), WORKDAY(F709, J709, FESTIVOS!A$1:A$55), "")</f>
        <v>#VALUE!</v>
      </c>
      <c r="M709" s="16" t="s">
        <v>1199</v>
      </c>
      <c r="N709" s="4" t="e">
        <f t="shared" ca="1" si="46"/>
        <v>#VALUE!</v>
      </c>
      <c r="O709" s="4" t="e">
        <f t="shared" ca="1" si="47"/>
        <v>#VALUE!</v>
      </c>
      <c r="P709" s="4" t="s">
        <v>1278</v>
      </c>
      <c r="Q709" s="9">
        <v>46162</v>
      </c>
      <c r="R709" s="12" t="b">
        <v>0</v>
      </c>
    </row>
    <row r="710" spans="1:18" x14ac:dyDescent="0.25">
      <c r="A710" s="8" t="s">
        <v>16</v>
      </c>
      <c r="B710" s="7" t="b">
        <v>0</v>
      </c>
      <c r="C710" s="4" t="b">
        <v>0</v>
      </c>
      <c r="D710" s="4" t="b">
        <v>0</v>
      </c>
      <c r="E710" s="16">
        <v>709</v>
      </c>
      <c r="F710" s="9">
        <v>46139</v>
      </c>
      <c r="G710" s="9" t="b">
        <v>0</v>
      </c>
      <c r="H710" s="4" t="b">
        <v>0</v>
      </c>
      <c r="I710" s="28" t="s">
        <v>20</v>
      </c>
      <c r="J710" s="4">
        <f t="shared" si="49"/>
        <v>15</v>
      </c>
      <c r="K710" s="4">
        <f ca="1">IF(AND(F710&lt;&gt;"", L710&lt;&gt;""), NETWORKDAYS(TODAY(), L710-1, FESTIVOS!A$1:A$55), "")</f>
        <v>-21</v>
      </c>
      <c r="L710" s="9">
        <f>IF(AND(F710&lt;&gt;"", J710&lt;&gt;""), WORKDAY(F710, J710, FESTIVOS!A$1:A$55), "")</f>
        <v>46162</v>
      </c>
      <c r="M710" s="16" t="s">
        <v>1199</v>
      </c>
      <c r="N710" s="4">
        <f t="shared" ca="1" si="46"/>
        <v>0</v>
      </c>
      <c r="O710" s="4" t="str">
        <f t="shared" ca="1" si="47"/>
        <v>Vencido</v>
      </c>
      <c r="P710" s="4" t="s">
        <v>1279</v>
      </c>
      <c r="Q710" s="9">
        <v>46142</v>
      </c>
      <c r="R710" s="12" t="b">
        <v>0</v>
      </c>
    </row>
    <row r="711" spans="1:18" x14ac:dyDescent="0.25">
      <c r="A711" s="8" t="s">
        <v>16</v>
      </c>
      <c r="B711" s="7" t="s">
        <v>68</v>
      </c>
      <c r="C711" s="4" t="s">
        <v>186</v>
      </c>
      <c r="D711" s="4" t="s">
        <v>1280</v>
      </c>
      <c r="E711" s="16">
        <v>710</v>
      </c>
      <c r="F711" s="9">
        <v>46140</v>
      </c>
      <c r="G711" s="9" t="b">
        <v>0</v>
      </c>
      <c r="H711" s="4" t="b">
        <v>0</v>
      </c>
      <c r="I711" s="28" t="s">
        <v>20</v>
      </c>
      <c r="J711" s="4">
        <f t="shared" si="49"/>
        <v>15</v>
      </c>
      <c r="K711" s="4">
        <f ca="1">IF(AND(F711&lt;&gt;"", L711&lt;&gt;""), NETWORKDAYS(TODAY(), L711-1, FESTIVOS!A$1:A$55), "")</f>
        <v>-20</v>
      </c>
      <c r="L711" s="9">
        <f>IF(AND(F711&lt;&gt;"", J711&lt;&gt;""), WORKDAY(F711, J711, FESTIVOS!A$1:A$55), "")</f>
        <v>46163</v>
      </c>
      <c r="M711" s="16" t="s">
        <v>1199</v>
      </c>
      <c r="N711" s="4">
        <f t="shared" ca="1" si="46"/>
        <v>0</v>
      </c>
      <c r="O711" s="4" t="str">
        <f t="shared" ca="1" si="47"/>
        <v>Vencido</v>
      </c>
      <c r="P711" s="4" t="s">
        <v>37</v>
      </c>
      <c r="Q711" s="9" t="b">
        <v>0</v>
      </c>
      <c r="R711" s="12" t="b">
        <v>0</v>
      </c>
    </row>
    <row r="712" spans="1:18" x14ac:dyDescent="0.25">
      <c r="A712" s="14" t="s">
        <v>636</v>
      </c>
      <c r="B712" s="15" t="s">
        <v>1244</v>
      </c>
      <c r="C712" s="16" t="s">
        <v>1244</v>
      </c>
      <c r="D712" s="16" t="s">
        <v>1281</v>
      </c>
      <c r="E712" s="16">
        <v>711</v>
      </c>
      <c r="F712" s="17" t="s">
        <v>1282</v>
      </c>
      <c r="G712" s="17" t="b">
        <v>0</v>
      </c>
      <c r="H712" s="16" t="b">
        <v>0</v>
      </c>
      <c r="I712" s="29" t="s">
        <v>20</v>
      </c>
      <c r="J712" s="4">
        <f t="shared" si="49"/>
        <v>10</v>
      </c>
      <c r="K712" s="4">
        <f ca="1">IF(AND(F712&lt;&gt;"", L712&lt;&gt;""), NETWORKDAYS(TODAY(), L712-1, FESTIVOS!A$1:A$55), "")</f>
        <v>-25</v>
      </c>
      <c r="L712" s="9">
        <f>IF(AND(F712&lt;&gt;"", J712&lt;&gt;""), WORKDAY(F712, J712, FESTIVOS!A$1:A$55), "")</f>
        <v>46155</v>
      </c>
      <c r="M712" s="16" t="s">
        <v>1199</v>
      </c>
      <c r="N712" s="4">
        <f t="shared" ca="1" si="46"/>
        <v>0</v>
      </c>
      <c r="O712" s="4" t="str">
        <f t="shared" ca="1" si="47"/>
        <v>Vencido</v>
      </c>
      <c r="P712" s="16" t="s">
        <v>37</v>
      </c>
      <c r="Q712" s="17" t="b">
        <v>0</v>
      </c>
      <c r="R712" s="18" t="b">
        <v>0</v>
      </c>
    </row>
    <row r="713" spans="1:18" x14ac:dyDescent="0.25">
      <c r="A713" s="8" t="s">
        <v>1283</v>
      </c>
      <c r="B713" s="7" t="s">
        <v>1284</v>
      </c>
      <c r="C713" s="4" t="s">
        <v>25</v>
      </c>
      <c r="D713" s="4" t="s">
        <v>1285</v>
      </c>
      <c r="E713" s="16">
        <v>712</v>
      </c>
      <c r="F713" s="9">
        <v>46140</v>
      </c>
      <c r="G713" s="9" t="b">
        <v>0</v>
      </c>
      <c r="H713" s="4" t="b">
        <v>0</v>
      </c>
      <c r="I713" s="28" t="s">
        <v>20</v>
      </c>
      <c r="J713" s="4" t="str">
        <f t="shared" si="49"/>
        <v/>
      </c>
      <c r="K713" s="4" t="str">
        <f ca="1">IF(AND(F713&lt;&gt;"", L713&lt;&gt;""), NETWORKDAYS(TODAY(), L713-1, FESTIVOS!A$1:A$55), "")</f>
        <v/>
      </c>
      <c r="L713" s="9" t="str">
        <f>IF(AND(F713&lt;&gt;"", J713&lt;&gt;""), WORKDAY(F713, J713, FESTIVOS!A$1:A$55), "")</f>
        <v/>
      </c>
      <c r="M713" s="4" t="s">
        <v>1199</v>
      </c>
      <c r="N713" s="4" t="str">
        <f t="shared" ca="1" si="46"/>
        <v/>
      </c>
      <c r="O713" s="4" t="str">
        <f t="shared" ca="1" si="47"/>
        <v/>
      </c>
      <c r="P713" s="4" t="s">
        <v>1286</v>
      </c>
      <c r="Q713" s="9">
        <v>46150</v>
      </c>
      <c r="R713" s="12" t="b">
        <v>0</v>
      </c>
    </row>
    <row r="714" spans="1:18" x14ac:dyDescent="0.25">
      <c r="A714" s="8" t="s">
        <v>16</v>
      </c>
      <c r="B714" s="7" t="s">
        <v>1287</v>
      </c>
      <c r="C714" s="4" t="s">
        <v>25</v>
      </c>
      <c r="D714" s="4" t="s">
        <v>1288</v>
      </c>
      <c r="E714" s="16">
        <v>713</v>
      </c>
      <c r="F714" s="9">
        <v>46140</v>
      </c>
      <c r="G714" s="9" t="b">
        <v>0</v>
      </c>
      <c r="H714" s="4" t="b">
        <v>0</v>
      </c>
      <c r="I714" s="28" t="s">
        <v>20</v>
      </c>
      <c r="J714" s="4">
        <f t="shared" si="49"/>
        <v>15</v>
      </c>
      <c r="K714" s="4">
        <f ca="1">IF(AND(F714&lt;&gt;"", L714&lt;&gt;""), NETWORKDAYS(TODAY(), L714-1, FESTIVOS!A$1:A$55), "")</f>
        <v>-20</v>
      </c>
      <c r="L714" s="9">
        <f>IF(AND(F714&lt;&gt;"", J714&lt;&gt;""), WORKDAY(F714, J714, FESTIVOS!A$1:A$55), "")</f>
        <v>46163</v>
      </c>
      <c r="M714" s="4" t="s">
        <v>1199</v>
      </c>
      <c r="N714" s="4">
        <f t="shared" ca="1" si="46"/>
        <v>0</v>
      </c>
      <c r="O714" s="4" t="str">
        <f t="shared" ca="1" si="47"/>
        <v>Vencido</v>
      </c>
      <c r="P714" s="4" t="s">
        <v>1289</v>
      </c>
      <c r="Q714" s="9" t="b">
        <v>0</v>
      </c>
      <c r="R714" s="12" t="b">
        <v>0</v>
      </c>
    </row>
    <row r="715" spans="1:18" x14ac:dyDescent="0.25">
      <c r="A715" s="8" t="s">
        <v>16</v>
      </c>
      <c r="B715" s="7" t="s">
        <v>401</v>
      </c>
      <c r="C715" s="4" t="s">
        <v>32</v>
      </c>
      <c r="D715" s="4" t="s">
        <v>1290</v>
      </c>
      <c r="E715" s="16">
        <v>714</v>
      </c>
      <c r="F715" s="9">
        <v>46141</v>
      </c>
      <c r="G715" s="9" t="b">
        <v>0</v>
      </c>
      <c r="H715" s="4" t="b">
        <v>0</v>
      </c>
      <c r="I715" s="28" t="s">
        <v>66</v>
      </c>
      <c r="J715" s="4">
        <f t="shared" si="49"/>
        <v>15</v>
      </c>
      <c r="K715" s="4">
        <f ca="1">IF(AND(F715&lt;&gt;"", L715&lt;&gt;""), NETWORKDAYS(TODAY(), L715-1, FESTIVOS!A$1:A$55), "")</f>
        <v>-19</v>
      </c>
      <c r="L715" s="9">
        <f>IF(AND(F715&lt;&gt;"", J715&lt;&gt;""), WORKDAY(F715, J715, FESTIVOS!A$1:A$55), "")</f>
        <v>46164</v>
      </c>
      <c r="M715" s="4" t="s">
        <v>1199</v>
      </c>
      <c r="N715" s="4">
        <f t="shared" ca="1" si="46"/>
        <v>0</v>
      </c>
      <c r="O715" s="4" t="str">
        <f t="shared" ca="1" si="47"/>
        <v>Vencido</v>
      </c>
      <c r="P715" s="4" t="s">
        <v>1291</v>
      </c>
      <c r="Q715" s="9">
        <v>46147</v>
      </c>
      <c r="R715" s="12" t="b">
        <v>0</v>
      </c>
    </row>
    <row r="716" spans="1:18" x14ac:dyDescent="0.25">
      <c r="A716" s="8" t="s">
        <v>16</v>
      </c>
      <c r="B716" s="7" t="s">
        <v>1292</v>
      </c>
      <c r="C716" s="4" t="s">
        <v>25</v>
      </c>
      <c r="D716" s="21" t="s">
        <v>1293</v>
      </c>
      <c r="E716" s="16">
        <v>715</v>
      </c>
      <c r="F716" s="9">
        <v>46141</v>
      </c>
      <c r="G716" s="9" t="b">
        <v>0</v>
      </c>
      <c r="H716" s="4" t="b">
        <v>0</v>
      </c>
      <c r="I716" s="28" t="s">
        <v>20</v>
      </c>
      <c r="J716" s="4">
        <f t="shared" si="49"/>
        <v>15</v>
      </c>
      <c r="K716" s="4">
        <f ca="1">IF(AND(F716&lt;&gt;"", L716&lt;&gt;""), NETWORKDAYS(TODAY(), L716-1, FESTIVOS!A$1:A$55), "")</f>
        <v>-19</v>
      </c>
      <c r="L716" s="9">
        <f>IF(AND(F716&lt;&gt;"", J716&lt;&gt;""), WORKDAY(F716, J716, FESTIVOS!A$1:A$55), "")</f>
        <v>46164</v>
      </c>
      <c r="M716" s="4" t="s">
        <v>1199</v>
      </c>
      <c r="N716" s="4">
        <f t="shared" ca="1" si="46"/>
        <v>0</v>
      </c>
      <c r="O716" s="4" t="str">
        <f t="shared" ca="1" si="47"/>
        <v>Vencido</v>
      </c>
      <c r="P716" s="4" t="s">
        <v>1294</v>
      </c>
      <c r="Q716" s="9">
        <v>46150</v>
      </c>
      <c r="R716" s="12" t="b">
        <v>0</v>
      </c>
    </row>
    <row r="717" spans="1:18" x14ac:dyDescent="0.25">
      <c r="A717" s="8" t="s">
        <v>16</v>
      </c>
      <c r="B717" s="7" t="s">
        <v>17</v>
      </c>
      <c r="C717" s="4" t="s">
        <v>84</v>
      </c>
      <c r="D717" s="4" t="s">
        <v>102</v>
      </c>
      <c r="E717" s="16">
        <v>716</v>
      </c>
      <c r="F717" s="9">
        <v>46141</v>
      </c>
      <c r="G717" s="9" t="b">
        <v>0</v>
      </c>
      <c r="H717" s="4" t="b">
        <v>0</v>
      </c>
      <c r="I717" s="28" t="s">
        <v>20</v>
      </c>
      <c r="J717" s="4">
        <f t="shared" si="49"/>
        <v>15</v>
      </c>
      <c r="K717" s="4">
        <f ca="1">IF(AND(F717&lt;&gt;"", L717&lt;&gt;""), NETWORKDAYS(TODAY(), L717-1, FESTIVOS!A$1:A$55), "")</f>
        <v>-19</v>
      </c>
      <c r="L717" s="9">
        <f>IF(AND(F717&lt;&gt;"", J717&lt;&gt;""), WORKDAY(F717, J717, FESTIVOS!A$1:A$55), "")</f>
        <v>46164</v>
      </c>
      <c r="M717" s="4" t="s">
        <v>1199</v>
      </c>
      <c r="N717" s="4">
        <f t="shared" ca="1" si="46"/>
        <v>0</v>
      </c>
      <c r="O717" s="4" t="str">
        <f t="shared" ca="1" si="47"/>
        <v>Vencido</v>
      </c>
      <c r="P717" s="4" t="s">
        <v>1295</v>
      </c>
      <c r="Q717" s="9">
        <v>46147</v>
      </c>
      <c r="R717" s="12" t="b">
        <v>0</v>
      </c>
    </row>
    <row r="718" spans="1:18" x14ac:dyDescent="0.25">
      <c r="A718" s="8" t="s">
        <v>16</v>
      </c>
      <c r="B718" s="7" t="s">
        <v>17</v>
      </c>
      <c r="C718" s="4" t="s">
        <v>84</v>
      </c>
      <c r="D718" s="4" t="s">
        <v>102</v>
      </c>
      <c r="E718" s="16">
        <v>717</v>
      </c>
      <c r="F718" s="9">
        <v>46141</v>
      </c>
      <c r="G718" s="9" t="b">
        <v>0</v>
      </c>
      <c r="H718" s="4" t="b">
        <v>0</v>
      </c>
      <c r="I718" s="28" t="s">
        <v>20</v>
      </c>
      <c r="J718" s="4">
        <f t="shared" si="49"/>
        <v>15</v>
      </c>
      <c r="K718" s="4">
        <f ca="1">IF(AND(F718&lt;&gt;"", L718&lt;&gt;""), NETWORKDAYS(TODAY(), L718-1, FESTIVOS!A$1:A$55), "")</f>
        <v>-19</v>
      </c>
      <c r="L718" s="9">
        <f>IF(AND(F718&lt;&gt;"", J718&lt;&gt;""), WORKDAY(F718, J718, FESTIVOS!A$1:A$55), "")</f>
        <v>46164</v>
      </c>
      <c r="M718" s="4" t="s">
        <v>1199</v>
      </c>
      <c r="N718" s="4">
        <f t="shared" ca="1" si="46"/>
        <v>0</v>
      </c>
      <c r="O718" s="4" t="str">
        <f t="shared" ca="1" si="47"/>
        <v>Vencido</v>
      </c>
      <c r="P718" s="4" t="s">
        <v>1295</v>
      </c>
      <c r="Q718" s="9">
        <v>46147</v>
      </c>
      <c r="R718" s="12" t="b">
        <v>0</v>
      </c>
    </row>
    <row r="719" spans="1:18" x14ac:dyDescent="0.25">
      <c r="A719" s="8" t="s">
        <v>16</v>
      </c>
      <c r="B719" s="7" t="s">
        <v>17</v>
      </c>
      <c r="C719" s="4" t="s">
        <v>84</v>
      </c>
      <c r="D719" s="4" t="s">
        <v>102</v>
      </c>
      <c r="E719" s="16">
        <v>718</v>
      </c>
      <c r="F719" s="9">
        <v>46141</v>
      </c>
      <c r="G719" s="9" t="b">
        <v>0</v>
      </c>
      <c r="H719" s="4" t="b">
        <v>0</v>
      </c>
      <c r="I719" s="28" t="s">
        <v>20</v>
      </c>
      <c r="J719" s="4">
        <f t="shared" si="49"/>
        <v>15</v>
      </c>
      <c r="K719" s="4">
        <f ca="1">IF(AND(F719&lt;&gt;"", L719&lt;&gt;""), NETWORKDAYS(TODAY(), L719-1, FESTIVOS!A$1:A$55), "")</f>
        <v>-19</v>
      </c>
      <c r="L719" s="9">
        <f>IF(AND(F719&lt;&gt;"", J719&lt;&gt;""), WORKDAY(F719, J719, FESTIVOS!A$1:A$55), "")</f>
        <v>46164</v>
      </c>
      <c r="M719" s="4" t="s">
        <v>1199</v>
      </c>
      <c r="N719" s="4">
        <f t="shared" ca="1" si="46"/>
        <v>0</v>
      </c>
      <c r="O719" s="4" t="str">
        <f t="shared" ca="1" si="47"/>
        <v>Vencido</v>
      </c>
      <c r="P719" s="4" t="s">
        <v>1295</v>
      </c>
      <c r="Q719" s="9">
        <v>46147</v>
      </c>
      <c r="R719" s="12" t="b">
        <v>0</v>
      </c>
    </row>
    <row r="720" spans="1:18" x14ac:dyDescent="0.25">
      <c r="A720" s="8" t="s">
        <v>16</v>
      </c>
      <c r="B720" s="7" t="s">
        <v>17</v>
      </c>
      <c r="C720" s="4" t="s">
        <v>84</v>
      </c>
      <c r="D720" s="4" t="s">
        <v>102</v>
      </c>
      <c r="E720" s="16">
        <v>719</v>
      </c>
      <c r="F720" s="9">
        <v>46141</v>
      </c>
      <c r="G720" s="9" t="b">
        <v>0</v>
      </c>
      <c r="H720" s="4" t="b">
        <v>0</v>
      </c>
      <c r="I720" s="28" t="s">
        <v>20</v>
      </c>
      <c r="J720" s="4">
        <f t="shared" si="49"/>
        <v>15</v>
      </c>
      <c r="K720" s="4">
        <f ca="1">IF(AND(F720&lt;&gt;"", L720&lt;&gt;""), NETWORKDAYS(TODAY(), L720-1, FESTIVOS!A$1:A$55), "")</f>
        <v>-19</v>
      </c>
      <c r="L720" s="9">
        <f>IF(AND(F720&lt;&gt;"", J720&lt;&gt;""), WORKDAY(F720, J720, FESTIVOS!A$1:A$55), "")</f>
        <v>46164</v>
      </c>
      <c r="M720" s="4" t="s">
        <v>1199</v>
      </c>
      <c r="N720" s="4">
        <f t="shared" ca="1" si="46"/>
        <v>0</v>
      </c>
      <c r="O720" s="4" t="str">
        <f t="shared" ca="1" si="47"/>
        <v>Vencido</v>
      </c>
      <c r="P720" s="4" t="s">
        <v>1295</v>
      </c>
      <c r="Q720" s="9">
        <v>46147</v>
      </c>
      <c r="R720" s="12" t="b">
        <v>0</v>
      </c>
    </row>
    <row r="721" spans="1:18" x14ac:dyDescent="0.25">
      <c r="A721" s="14" t="s">
        <v>16</v>
      </c>
      <c r="B721" s="15" t="s">
        <v>1036</v>
      </c>
      <c r="C721" s="16" t="s">
        <v>25</v>
      </c>
      <c r="D721" s="16" t="s">
        <v>1296</v>
      </c>
      <c r="E721" s="16">
        <v>720</v>
      </c>
      <c r="F721" s="17" t="s">
        <v>1297</v>
      </c>
      <c r="G721" s="17" t="b">
        <v>0</v>
      </c>
      <c r="H721" s="16" t="b">
        <v>0</v>
      </c>
      <c r="I721" s="28" t="s">
        <v>20</v>
      </c>
      <c r="J721" s="4">
        <f t="shared" si="49"/>
        <v>15</v>
      </c>
      <c r="K721" s="4">
        <f ca="1">IF(AND(F721&lt;&gt;"", L721&lt;&gt;""), NETWORKDAYS(TODAY(), L721-1, FESTIVOS!A$1:A$55), "")</f>
        <v>-19</v>
      </c>
      <c r="L721" s="9">
        <f>IF(AND(F721&lt;&gt;"", J721&lt;&gt;""), WORKDAY(F721, J721, FESTIVOS!A$1:A$55), "")</f>
        <v>46164</v>
      </c>
      <c r="M721" s="16" t="s">
        <v>1199</v>
      </c>
      <c r="N721" s="4">
        <f t="shared" ca="1" si="46"/>
        <v>0</v>
      </c>
      <c r="O721" s="4" t="str">
        <f t="shared" ca="1" si="47"/>
        <v>Vencido</v>
      </c>
      <c r="P721" s="4" t="s">
        <v>1298</v>
      </c>
      <c r="Q721" s="9">
        <v>46164</v>
      </c>
      <c r="R721" s="18" t="b">
        <v>0</v>
      </c>
    </row>
    <row r="722" spans="1:18" x14ac:dyDescent="0.25">
      <c r="A722" s="8" t="s">
        <v>16</v>
      </c>
      <c r="B722" s="7" t="s">
        <v>1299</v>
      </c>
      <c r="C722" s="4" t="s">
        <v>25</v>
      </c>
      <c r="D722" s="4" t="s">
        <v>1300</v>
      </c>
      <c r="E722" s="16">
        <v>721</v>
      </c>
      <c r="F722" s="17" t="s">
        <v>1297</v>
      </c>
      <c r="G722" s="17" t="b">
        <v>0</v>
      </c>
      <c r="H722" s="16" t="b">
        <v>0</v>
      </c>
      <c r="I722" s="28" t="s">
        <v>20</v>
      </c>
      <c r="J722" s="4">
        <f t="shared" si="49"/>
        <v>15</v>
      </c>
      <c r="K722" s="4">
        <f ca="1">IF(AND(F722&lt;&gt;"", L722&lt;&gt;""), NETWORKDAYS(TODAY(), L722-1, FESTIVOS!A$1:A$55), "")</f>
        <v>-19</v>
      </c>
      <c r="L722" s="9">
        <f>IF(AND(F722&lt;&gt;"", J722&lt;&gt;""), WORKDAY(F722, J722, FESTIVOS!A$1:A$55), "")</f>
        <v>46164</v>
      </c>
      <c r="M722" s="16" t="s">
        <v>1199</v>
      </c>
      <c r="N722" s="4">
        <f t="shared" ca="1" si="46"/>
        <v>0</v>
      </c>
      <c r="O722" s="4" t="str">
        <f t="shared" ca="1" si="47"/>
        <v>Vencido</v>
      </c>
      <c r="P722" s="4" t="s">
        <v>1301</v>
      </c>
      <c r="Q722" s="9" t="b">
        <v>0</v>
      </c>
      <c r="R722" s="12" t="b">
        <v>0</v>
      </c>
    </row>
    <row r="723" spans="1:18" x14ac:dyDescent="0.25">
      <c r="A723" s="8" t="s">
        <v>16</v>
      </c>
      <c r="B723" s="7" t="s">
        <v>1302</v>
      </c>
      <c r="C723" s="4" t="s">
        <v>25</v>
      </c>
      <c r="D723" s="4" t="s">
        <v>1303</v>
      </c>
      <c r="E723" s="16">
        <v>722</v>
      </c>
      <c r="F723" s="17" t="s">
        <v>1297</v>
      </c>
      <c r="G723" s="17" t="b">
        <v>0</v>
      </c>
      <c r="H723" s="16" t="b">
        <v>0</v>
      </c>
      <c r="I723" s="28" t="s">
        <v>66</v>
      </c>
      <c r="J723" s="4">
        <f t="shared" si="49"/>
        <v>15</v>
      </c>
      <c r="K723" s="4">
        <f ca="1">IF(AND(F723&lt;&gt;"", L723&lt;&gt;""), NETWORKDAYS(TODAY(), L723-1, FESTIVOS!A$1:A$55), "")</f>
        <v>-19</v>
      </c>
      <c r="L723" s="9">
        <f>IF(AND(F723&lt;&gt;"", J723&lt;&gt;""), WORKDAY(F723, J723, FESTIVOS!A$1:A$55), "")</f>
        <v>46164</v>
      </c>
      <c r="M723" s="16" t="s">
        <v>1199</v>
      </c>
      <c r="N723" s="4">
        <f t="shared" ca="1" si="46"/>
        <v>0</v>
      </c>
      <c r="O723" s="4" t="str">
        <f t="shared" ca="1" si="47"/>
        <v>Vencido</v>
      </c>
      <c r="P723" s="4" t="s">
        <v>1304</v>
      </c>
      <c r="Q723" s="9" t="b">
        <v>0</v>
      </c>
      <c r="R723" s="12" t="b">
        <v>0</v>
      </c>
    </row>
    <row r="724" spans="1:18" x14ac:dyDescent="0.25">
      <c r="A724" s="8" t="s">
        <v>16</v>
      </c>
      <c r="B724" s="7" t="s">
        <v>401</v>
      </c>
      <c r="C724" s="4" t="s">
        <v>32</v>
      </c>
      <c r="D724" s="4" t="s">
        <v>1305</v>
      </c>
      <c r="E724" s="16">
        <v>723</v>
      </c>
      <c r="F724" s="17" t="s">
        <v>1297</v>
      </c>
      <c r="G724" s="17" t="b">
        <v>0</v>
      </c>
      <c r="H724" s="16" t="b">
        <v>0</v>
      </c>
      <c r="I724" s="28" t="s">
        <v>20</v>
      </c>
      <c r="J724" s="4">
        <f t="shared" si="49"/>
        <v>15</v>
      </c>
      <c r="K724" s="4">
        <f ca="1">IF(AND(F724&lt;&gt;"", L724&lt;&gt;""), NETWORKDAYS(TODAY(), L724-1, FESTIVOS!A$1:A$55), "")</f>
        <v>-19</v>
      </c>
      <c r="L724" s="9">
        <f>IF(AND(F724&lt;&gt;"", J724&lt;&gt;""), WORKDAY(F724, J724, FESTIVOS!A$1:A$55), "")</f>
        <v>46164</v>
      </c>
      <c r="M724" s="16" t="s">
        <v>1199</v>
      </c>
      <c r="N724" s="4">
        <f t="shared" ca="1" si="46"/>
        <v>0</v>
      </c>
      <c r="O724" s="4" t="str">
        <f t="shared" ca="1" si="47"/>
        <v>Vencido</v>
      </c>
      <c r="P724" s="4" t="s">
        <v>1306</v>
      </c>
      <c r="Q724" s="9" t="b">
        <v>0</v>
      </c>
      <c r="R724" s="12" t="b">
        <v>0</v>
      </c>
    </row>
    <row r="725" spans="1:18" x14ac:dyDescent="0.25">
      <c r="A725" s="8" t="s">
        <v>16</v>
      </c>
      <c r="B725" s="7" t="s">
        <v>1307</v>
      </c>
      <c r="C725" s="4" t="s">
        <v>57</v>
      </c>
      <c r="D725" s="4" t="s">
        <v>1308</v>
      </c>
      <c r="E725" s="16">
        <v>724</v>
      </c>
      <c r="F725" s="17" t="s">
        <v>1297</v>
      </c>
      <c r="G725" s="17" t="b">
        <v>0</v>
      </c>
      <c r="H725" s="16" t="b">
        <v>0</v>
      </c>
      <c r="I725" s="28" t="s">
        <v>20</v>
      </c>
      <c r="J725" s="4">
        <f t="shared" si="49"/>
        <v>15</v>
      </c>
      <c r="K725" s="4">
        <f ca="1">IF(AND(F725&lt;&gt;"", L725&lt;&gt;""), NETWORKDAYS(TODAY(), L725-1, FESTIVOS!A$1:A$55), "")</f>
        <v>-19</v>
      </c>
      <c r="L725" s="9">
        <f>IF(AND(F725&lt;&gt;"", J725&lt;&gt;""), WORKDAY(F725, J725, FESTIVOS!A$1:A$55), "")</f>
        <v>46164</v>
      </c>
      <c r="M725" s="16" t="s">
        <v>1199</v>
      </c>
      <c r="N725" s="4">
        <f t="shared" ca="1" si="46"/>
        <v>0</v>
      </c>
      <c r="O725" s="4" t="str">
        <f t="shared" ca="1" si="47"/>
        <v>Vencido</v>
      </c>
      <c r="P725" s="4" t="s">
        <v>1309</v>
      </c>
      <c r="Q725" s="9">
        <v>46132</v>
      </c>
      <c r="R725" s="12" t="b">
        <v>0</v>
      </c>
    </row>
    <row r="726" spans="1:18" x14ac:dyDescent="0.25">
      <c r="A726" s="8" t="s">
        <v>16</v>
      </c>
      <c r="B726" s="7" t="s">
        <v>1310</v>
      </c>
      <c r="C726" s="4" t="s">
        <v>57</v>
      </c>
      <c r="D726" s="4" t="s">
        <v>1311</v>
      </c>
      <c r="E726" s="16">
        <v>725</v>
      </c>
      <c r="F726" s="17" t="s">
        <v>1297</v>
      </c>
      <c r="G726" s="17" t="b">
        <v>0</v>
      </c>
      <c r="H726" s="16" t="b">
        <v>0</v>
      </c>
      <c r="I726" s="28" t="s">
        <v>20</v>
      </c>
      <c r="J726" s="4">
        <f t="shared" si="49"/>
        <v>15</v>
      </c>
      <c r="K726" s="4">
        <f ca="1">IF(AND(F726&lt;&gt;"", L726&lt;&gt;""), NETWORKDAYS(TODAY(), L726-1, FESTIVOS!A$1:A$55), "")</f>
        <v>-19</v>
      </c>
      <c r="L726" s="9">
        <f>IF(AND(F726&lt;&gt;"", J726&lt;&gt;""), WORKDAY(F726, J726, FESTIVOS!A$1:A$55), "")</f>
        <v>46164</v>
      </c>
      <c r="M726" s="16" t="s">
        <v>1199</v>
      </c>
      <c r="N726" s="4">
        <f t="shared" ca="1" si="46"/>
        <v>0</v>
      </c>
      <c r="O726" s="4" t="str">
        <f t="shared" ca="1" si="47"/>
        <v>Vencido</v>
      </c>
      <c r="P726" s="4" t="s">
        <v>37</v>
      </c>
      <c r="Q726" s="9" t="b">
        <v>0</v>
      </c>
      <c r="R726" s="12" t="b">
        <v>0</v>
      </c>
    </row>
    <row r="727" spans="1:18" x14ac:dyDescent="0.25">
      <c r="A727" s="8" t="s">
        <v>16</v>
      </c>
      <c r="B727" s="7" t="s">
        <v>1312</v>
      </c>
      <c r="C727" s="4" t="s">
        <v>171</v>
      </c>
      <c r="D727" s="4" t="s">
        <v>1313</v>
      </c>
      <c r="E727" s="16">
        <v>726</v>
      </c>
      <c r="F727" s="17" t="s">
        <v>1297</v>
      </c>
      <c r="G727" s="17" t="b">
        <v>0</v>
      </c>
      <c r="H727" s="16" t="b">
        <v>0</v>
      </c>
      <c r="I727" s="28" t="s">
        <v>254</v>
      </c>
      <c r="J727" s="4">
        <f t="shared" si="49"/>
        <v>15</v>
      </c>
      <c r="K727" s="4">
        <f ca="1">IF(AND(F727&lt;&gt;"", L727&lt;&gt;""), NETWORKDAYS(TODAY(), L727-1, FESTIVOS!A$1:A$55), "")</f>
        <v>-19</v>
      </c>
      <c r="L727" s="9">
        <f>IF(AND(F727&lt;&gt;"", J727&lt;&gt;""), WORKDAY(F727, J727, FESTIVOS!A$1:A$55), "")</f>
        <v>46164</v>
      </c>
      <c r="M727" s="16" t="s">
        <v>1199</v>
      </c>
      <c r="N727" s="4">
        <f t="shared" ca="1" si="46"/>
        <v>0</v>
      </c>
      <c r="O727" s="4" t="str">
        <f t="shared" ca="1" si="47"/>
        <v>Vencido</v>
      </c>
      <c r="P727" s="4" t="b">
        <v>0</v>
      </c>
      <c r="Q727" s="9" t="b">
        <v>0</v>
      </c>
      <c r="R727" s="12" t="b">
        <v>0</v>
      </c>
    </row>
    <row r="728" spans="1:18" x14ac:dyDescent="0.25">
      <c r="A728" s="8" t="s">
        <v>16</v>
      </c>
      <c r="B728" s="7" t="s">
        <v>1314</v>
      </c>
      <c r="C728" s="4" t="s">
        <v>25</v>
      </c>
      <c r="D728" s="4" t="s">
        <v>1315</v>
      </c>
      <c r="E728" s="16">
        <v>727</v>
      </c>
      <c r="F728" s="17" t="s">
        <v>1297</v>
      </c>
      <c r="G728" s="17" t="b">
        <v>0</v>
      </c>
      <c r="H728" s="16" t="b">
        <v>0</v>
      </c>
      <c r="I728" s="28" t="s">
        <v>254</v>
      </c>
      <c r="J728" s="4">
        <f t="shared" si="49"/>
        <v>15</v>
      </c>
      <c r="K728" s="4">
        <f ca="1">IF(AND(F728&lt;&gt;"", L728&lt;&gt;""), NETWORKDAYS(TODAY(), L728-1, FESTIVOS!A$1:A$55), "")</f>
        <v>-19</v>
      </c>
      <c r="L728" s="9">
        <f>IF(AND(F728&lt;&gt;"", J728&lt;&gt;""), WORKDAY(F728, J728, FESTIVOS!A$1:A$55), "")</f>
        <v>46164</v>
      </c>
      <c r="M728" s="16" t="s">
        <v>1199</v>
      </c>
      <c r="N728" s="4">
        <f t="shared" ca="1" si="46"/>
        <v>0</v>
      </c>
      <c r="O728" s="4" t="str">
        <f t="shared" ca="1" si="47"/>
        <v>Vencido</v>
      </c>
      <c r="P728" s="4" t="b">
        <v>0</v>
      </c>
      <c r="Q728" s="9" t="b">
        <v>0</v>
      </c>
      <c r="R728" s="12" t="b">
        <v>0</v>
      </c>
    </row>
    <row r="729" spans="1:18" x14ac:dyDescent="0.25">
      <c r="A729" s="8" t="s">
        <v>16</v>
      </c>
      <c r="B729" s="7" t="s">
        <v>1316</v>
      </c>
      <c r="C729" s="4" t="s">
        <v>25</v>
      </c>
      <c r="D729" s="4" t="s">
        <v>96</v>
      </c>
      <c r="E729" s="16">
        <v>728</v>
      </c>
      <c r="F729" s="9">
        <v>46142</v>
      </c>
      <c r="G729" s="9" t="b">
        <v>0</v>
      </c>
      <c r="H729" s="4" t="b">
        <v>0</v>
      </c>
      <c r="I729" s="28" t="s">
        <v>20</v>
      </c>
      <c r="J729" s="4">
        <f t="shared" si="49"/>
        <v>15</v>
      </c>
      <c r="K729" s="4">
        <f ca="1">IF(AND(F729&lt;&gt;"", L729&lt;&gt;""), NETWORKDAYS(TODAY(), L729-1, FESTIVOS!A$1:A$55), "")</f>
        <v>-17</v>
      </c>
      <c r="L729" s="9">
        <f>IF(AND(F729&lt;&gt;"", J729&lt;&gt;""), WORKDAY(F729, J729, FESTIVOS!A$1:A$55), "")</f>
        <v>46167</v>
      </c>
      <c r="M729" s="16" t="s">
        <v>1199</v>
      </c>
      <c r="N729" s="4">
        <f t="shared" ca="1" si="46"/>
        <v>0</v>
      </c>
      <c r="O729" s="4" t="str">
        <f t="shared" ca="1" si="47"/>
        <v>Vencido</v>
      </c>
      <c r="P729" s="4" t="s">
        <v>1317</v>
      </c>
      <c r="Q729" s="9">
        <v>46150</v>
      </c>
      <c r="R729" s="12" t="b">
        <v>0</v>
      </c>
    </row>
    <row r="730" spans="1:18" x14ac:dyDescent="0.25">
      <c r="A730" s="8" t="s">
        <v>16</v>
      </c>
      <c r="B730" s="7" t="s">
        <v>1318</v>
      </c>
      <c r="C730" s="4" t="s">
        <v>25</v>
      </c>
      <c r="D730" s="4" t="s">
        <v>1319</v>
      </c>
      <c r="E730" s="16">
        <v>729</v>
      </c>
      <c r="F730" s="9">
        <v>46142</v>
      </c>
      <c r="G730" s="9" t="b">
        <v>0</v>
      </c>
      <c r="H730" s="4" t="b">
        <v>0</v>
      </c>
      <c r="I730" s="28" t="s">
        <v>20</v>
      </c>
      <c r="J730" s="4">
        <f t="shared" si="49"/>
        <v>15</v>
      </c>
      <c r="K730" s="4">
        <f ca="1">IF(AND(F730&lt;&gt;"", L730&lt;&gt;""), NETWORKDAYS(TODAY(), L730-1, FESTIVOS!A$1:A$55), "")</f>
        <v>-17</v>
      </c>
      <c r="L730" s="9">
        <f>IF(AND(F730&lt;&gt;"", J730&lt;&gt;""), WORKDAY(F730, J730, FESTIVOS!A$1:A$55), "")</f>
        <v>46167</v>
      </c>
      <c r="M730" s="16" t="s">
        <v>1199</v>
      </c>
      <c r="N730" s="4">
        <f t="shared" ca="1" si="46"/>
        <v>0</v>
      </c>
      <c r="O730" s="4" t="str">
        <f t="shared" ca="1" si="47"/>
        <v>Vencido</v>
      </c>
      <c r="P730" s="4" t="s">
        <v>1320</v>
      </c>
      <c r="Q730" s="9">
        <v>46150</v>
      </c>
      <c r="R730" s="12" t="b">
        <v>0</v>
      </c>
    </row>
    <row r="731" spans="1:18" x14ac:dyDescent="0.25">
      <c r="A731" s="8" t="s">
        <v>16</v>
      </c>
      <c r="B731" s="7" t="s">
        <v>1321</v>
      </c>
      <c r="C731" s="4" t="s">
        <v>25</v>
      </c>
      <c r="D731" s="4" t="s">
        <v>61</v>
      </c>
      <c r="E731" s="16">
        <v>730</v>
      </c>
      <c r="F731" s="9">
        <v>46142</v>
      </c>
      <c r="G731" s="9" t="b">
        <v>0</v>
      </c>
      <c r="H731" s="4" t="b">
        <v>0</v>
      </c>
      <c r="I731" s="28" t="s">
        <v>20</v>
      </c>
      <c r="J731" s="4">
        <f t="shared" si="49"/>
        <v>15</v>
      </c>
      <c r="K731" s="4">
        <f ca="1">IF(AND(F731&lt;&gt;"", L731&lt;&gt;""), NETWORKDAYS(TODAY(), L731-1, FESTIVOS!A$1:A$55), "")</f>
        <v>-17</v>
      </c>
      <c r="L731" s="9">
        <f>IF(AND(F731&lt;&gt;"", J731&lt;&gt;""), WORKDAY(F731, J731, FESTIVOS!A$1:A$55), "")</f>
        <v>46167</v>
      </c>
      <c r="M731" s="16" t="s">
        <v>1199</v>
      </c>
      <c r="N731" s="4">
        <f t="shared" ca="1" si="46"/>
        <v>0</v>
      </c>
      <c r="O731" s="4" t="str">
        <f t="shared" ca="1" si="47"/>
        <v>Vencido</v>
      </c>
      <c r="P731" s="4" t="s">
        <v>1322</v>
      </c>
      <c r="Q731" s="9" t="b">
        <v>0</v>
      </c>
      <c r="R731" s="12" t="b">
        <v>0</v>
      </c>
    </row>
    <row r="732" spans="1:18" x14ac:dyDescent="0.25">
      <c r="A732" s="8" t="s">
        <v>16</v>
      </c>
      <c r="B732" s="7" t="s">
        <v>1323</v>
      </c>
      <c r="C732" s="4" t="s">
        <v>25</v>
      </c>
      <c r="D732" s="4" t="s">
        <v>949</v>
      </c>
      <c r="E732" s="16">
        <v>731</v>
      </c>
      <c r="F732" s="9">
        <v>46142</v>
      </c>
      <c r="G732" s="9" t="b">
        <v>0</v>
      </c>
      <c r="H732" s="4" t="b">
        <v>0</v>
      </c>
      <c r="I732" s="28" t="s">
        <v>20</v>
      </c>
      <c r="J732" s="4">
        <f t="shared" si="49"/>
        <v>15</v>
      </c>
      <c r="K732" s="4">
        <f ca="1">IF(AND(F732&lt;&gt;"", L732&lt;&gt;""), NETWORKDAYS(TODAY(), L732-1, FESTIVOS!A$1:A$55), "")</f>
        <v>-17</v>
      </c>
      <c r="L732" s="9">
        <f>IF(AND(F732&lt;&gt;"", J732&lt;&gt;""), WORKDAY(F732, J732, FESTIVOS!A$1:A$55), "")</f>
        <v>46167</v>
      </c>
      <c r="M732" s="16" t="s">
        <v>1199</v>
      </c>
      <c r="N732" s="4">
        <f t="shared" ca="1" si="46"/>
        <v>0</v>
      </c>
      <c r="O732" s="4" t="str">
        <f t="shared" ca="1" si="47"/>
        <v>Vencido</v>
      </c>
      <c r="P732" s="4" t="s">
        <v>1324</v>
      </c>
      <c r="Q732" s="9" t="b">
        <v>0</v>
      </c>
      <c r="R732" s="12" t="b">
        <v>0</v>
      </c>
    </row>
    <row r="733" spans="1:18" x14ac:dyDescent="0.25">
      <c r="A733" s="14" t="s">
        <v>16</v>
      </c>
      <c r="B733" s="15" t="s">
        <v>1325</v>
      </c>
      <c r="C733" s="16" t="s">
        <v>25</v>
      </c>
      <c r="D733" s="16" t="s">
        <v>1326</v>
      </c>
      <c r="E733" s="16">
        <v>732</v>
      </c>
      <c r="F733" s="17" t="s">
        <v>1327</v>
      </c>
      <c r="G733" s="17" t="b">
        <v>0</v>
      </c>
      <c r="H733" s="16" t="b">
        <v>0</v>
      </c>
      <c r="I733" s="29" t="s">
        <v>66</v>
      </c>
      <c r="J733" s="4">
        <f t="shared" si="49"/>
        <v>15</v>
      </c>
      <c r="K733" s="4">
        <f ca="1">IF(AND(F733&lt;&gt;"", L733&lt;&gt;""), NETWORKDAYS(TODAY(), L733-1, FESTIVOS!A$1:A$55), "")</f>
        <v>-17</v>
      </c>
      <c r="L733" s="9">
        <f>IF(AND(F733&lt;&gt;"", J733&lt;&gt;""), WORKDAY(F733, J733, FESTIVOS!A$1:A$55), "")</f>
        <v>46167</v>
      </c>
      <c r="M733" s="16" t="s">
        <v>1199</v>
      </c>
      <c r="N733" s="4">
        <f t="shared" ca="1" si="46"/>
        <v>0</v>
      </c>
      <c r="O733" s="4" t="str">
        <f t="shared" ca="1" si="47"/>
        <v>Vencido</v>
      </c>
      <c r="P733" s="16" t="b">
        <v>0</v>
      </c>
      <c r="Q733" s="17" t="b">
        <v>0</v>
      </c>
      <c r="R733" s="18" t="b">
        <v>0</v>
      </c>
    </row>
    <row r="734" spans="1:18" x14ac:dyDescent="0.25">
      <c r="A734" s="14" t="s">
        <v>16</v>
      </c>
      <c r="B734" s="15" t="s">
        <v>429</v>
      </c>
      <c r="C734" s="16" t="s">
        <v>186</v>
      </c>
      <c r="D734" s="16" t="s">
        <v>1328</v>
      </c>
      <c r="E734" s="16">
        <v>733</v>
      </c>
      <c r="F734" s="17" t="s">
        <v>1327</v>
      </c>
      <c r="G734" s="17" t="b">
        <v>0</v>
      </c>
      <c r="H734" s="16" t="b">
        <v>0</v>
      </c>
      <c r="I734" s="29" t="s">
        <v>20</v>
      </c>
      <c r="J734" s="4">
        <f t="shared" si="49"/>
        <v>15</v>
      </c>
      <c r="K734" s="4">
        <f ca="1">IF(AND(F734&lt;&gt;"", L734&lt;&gt;""), NETWORKDAYS(TODAY(), L734-1, FESTIVOS!A$1:A$55), "")</f>
        <v>-17</v>
      </c>
      <c r="L734" s="9">
        <f>IF(AND(F734&lt;&gt;"", J734&lt;&gt;""), WORKDAY(F734, J734, FESTIVOS!A$1:A$55), "")</f>
        <v>46167</v>
      </c>
      <c r="M734" s="16" t="s">
        <v>1199</v>
      </c>
      <c r="N734" s="4">
        <f t="shared" ca="1" si="46"/>
        <v>0</v>
      </c>
      <c r="O734" s="4" t="str">
        <f t="shared" ca="1" si="47"/>
        <v>Vencido</v>
      </c>
      <c r="P734" s="16" t="s">
        <v>37</v>
      </c>
      <c r="Q734" s="17" t="b">
        <v>0</v>
      </c>
      <c r="R734" s="18" t="b">
        <v>0</v>
      </c>
    </row>
    <row r="735" spans="1:18" x14ac:dyDescent="0.25">
      <c r="A735" s="8"/>
      <c r="B735" s="7" t="b">
        <v>0</v>
      </c>
      <c r="C735" s="4" t="b">
        <v>0</v>
      </c>
      <c r="D735" s="4" t="b">
        <v>0</v>
      </c>
      <c r="E735" s="16">
        <v>734</v>
      </c>
      <c r="F735" s="16">
        <v>734</v>
      </c>
      <c r="G735" s="16" t="b">
        <v>0</v>
      </c>
      <c r="H735" s="16" t="b">
        <v>0</v>
      </c>
      <c r="I735" s="28" t="s">
        <v>66</v>
      </c>
      <c r="J735" s="4" t="str">
        <f t="shared" si="49"/>
        <v/>
      </c>
      <c r="K735" s="4" t="str">
        <f ca="1">IF(AND(F735&lt;&gt;"", L735&lt;&gt;""), NETWORKDAYS(TODAY(), L735-1, FESTIVOS!A$1:A$55), "")</f>
        <v/>
      </c>
      <c r="L735" s="9" t="str">
        <f>IF(AND(F735&lt;&gt;"", J735&lt;&gt;""), WORKDAY(F735, J735, FESTIVOS!A$1:A$55), "")</f>
        <v/>
      </c>
      <c r="M735" s="16" t="s">
        <v>1199</v>
      </c>
      <c r="N735" s="4" t="str">
        <f t="shared" ca="1" si="46"/>
        <v/>
      </c>
      <c r="O735" s="4" t="str">
        <f t="shared" ca="1" si="47"/>
        <v/>
      </c>
      <c r="P735" s="4" t="b">
        <v>0</v>
      </c>
      <c r="Q735" s="9" t="b">
        <v>0</v>
      </c>
      <c r="R735" s="12" t="b">
        <v>0</v>
      </c>
    </row>
    <row r="736" spans="1:18" x14ac:dyDescent="0.25">
      <c r="A736" s="14" t="s">
        <v>16</v>
      </c>
      <c r="B736" s="15" t="s">
        <v>1244</v>
      </c>
      <c r="C736" s="16" t="s">
        <v>1244</v>
      </c>
      <c r="D736" s="16" t="s">
        <v>1329</v>
      </c>
      <c r="E736" s="16">
        <v>735</v>
      </c>
      <c r="F736" s="17" t="s">
        <v>1327</v>
      </c>
      <c r="G736" s="17" t="b">
        <v>0</v>
      </c>
      <c r="H736" s="16" t="b">
        <v>0</v>
      </c>
      <c r="I736" s="29" t="s">
        <v>20</v>
      </c>
      <c r="J736" s="4">
        <f t="shared" si="49"/>
        <v>15</v>
      </c>
      <c r="K736" s="4">
        <f ca="1">IF(AND(F736&lt;&gt;"", L736&lt;&gt;""), NETWORKDAYS(TODAY(), L736-1, FESTIVOS!A$1:A$55), "")</f>
        <v>-17</v>
      </c>
      <c r="L736" s="9">
        <f>IF(AND(F736&lt;&gt;"", J736&lt;&gt;""), WORKDAY(F736, J736, FESTIVOS!A$1:A$55), "")</f>
        <v>46167</v>
      </c>
      <c r="M736" s="16" t="s">
        <v>1199</v>
      </c>
      <c r="N736" s="4">
        <f t="shared" ca="1" si="46"/>
        <v>0</v>
      </c>
      <c r="O736" s="4" t="str">
        <f t="shared" ca="1" si="47"/>
        <v>Vencido</v>
      </c>
      <c r="P736" s="16" t="s">
        <v>37</v>
      </c>
      <c r="Q736" s="17" t="b">
        <v>0</v>
      </c>
      <c r="R736" s="18" t="b">
        <v>0</v>
      </c>
    </row>
    <row r="737" spans="1:18" x14ac:dyDescent="0.25">
      <c r="A737" s="14" t="s">
        <v>16</v>
      </c>
      <c r="B737" s="7" t="s">
        <v>1330</v>
      </c>
      <c r="C737" s="4" t="s">
        <v>25</v>
      </c>
      <c r="D737" s="4" t="s">
        <v>1331</v>
      </c>
      <c r="E737" s="16">
        <v>736</v>
      </c>
      <c r="F737" s="17" t="s">
        <v>1327</v>
      </c>
      <c r="G737" s="17" t="b">
        <v>0</v>
      </c>
      <c r="H737" s="4" t="b">
        <v>0</v>
      </c>
      <c r="I737" s="28" t="s">
        <v>20</v>
      </c>
      <c r="J737" s="4">
        <f t="shared" si="49"/>
        <v>15</v>
      </c>
      <c r="K737" s="4">
        <f ca="1">IF(AND(F737&lt;&gt;"", L737&lt;&gt;""), NETWORKDAYS(TODAY(), L737-1, FESTIVOS!A$1:A$55), "")</f>
        <v>-17</v>
      </c>
      <c r="L737" s="9">
        <f>IF(AND(F737&lt;&gt;"", J737&lt;&gt;""), WORKDAY(F737, J737, FESTIVOS!A$1:A$55), "")</f>
        <v>46167</v>
      </c>
      <c r="M737" s="16" t="s">
        <v>1199</v>
      </c>
      <c r="N737" s="4">
        <f t="shared" ca="1" si="46"/>
        <v>0</v>
      </c>
      <c r="O737" s="4" t="str">
        <f t="shared" ca="1" si="47"/>
        <v>Vencido</v>
      </c>
      <c r="P737" s="4" t="s">
        <v>1301</v>
      </c>
      <c r="Q737" s="9" t="b">
        <v>0</v>
      </c>
      <c r="R737" s="12" t="b">
        <v>0</v>
      </c>
    </row>
    <row r="738" spans="1:18" x14ac:dyDescent="0.25">
      <c r="A738" s="14" t="s">
        <v>16</v>
      </c>
      <c r="B738" s="7" t="s">
        <v>429</v>
      </c>
      <c r="C738" s="4" t="s">
        <v>186</v>
      </c>
      <c r="D738" s="4" t="s">
        <v>1332</v>
      </c>
      <c r="E738" s="16">
        <v>737</v>
      </c>
      <c r="F738" s="17" t="s">
        <v>1327</v>
      </c>
      <c r="G738" s="17" t="b">
        <v>0</v>
      </c>
      <c r="H738" s="4" t="b">
        <v>0</v>
      </c>
      <c r="I738" s="28" t="s">
        <v>20</v>
      </c>
      <c r="J738" s="4">
        <f t="shared" si="49"/>
        <v>15</v>
      </c>
      <c r="K738" s="4">
        <f ca="1">IF(AND(F738&lt;&gt;"", L738&lt;&gt;""), NETWORKDAYS(TODAY(), L738-1, FESTIVOS!A$1:A$55), "")</f>
        <v>-17</v>
      </c>
      <c r="L738" s="9">
        <f>IF(AND(F738&lt;&gt;"", J738&lt;&gt;""), WORKDAY(F738, J738, FESTIVOS!A$1:A$55), "")</f>
        <v>46167</v>
      </c>
      <c r="M738" s="16" t="s">
        <v>1199</v>
      </c>
      <c r="N738" s="4">
        <f t="shared" ca="1" si="46"/>
        <v>0</v>
      </c>
      <c r="O738" s="4" t="str">
        <f t="shared" ca="1" si="47"/>
        <v>Vencido</v>
      </c>
      <c r="P738" s="4" t="s">
        <v>1333</v>
      </c>
      <c r="Q738" s="9" t="b">
        <v>0</v>
      </c>
      <c r="R738" s="12" t="b">
        <v>0</v>
      </c>
    </row>
    <row r="739" spans="1:18" x14ac:dyDescent="0.25">
      <c r="A739" s="14" t="s">
        <v>16</v>
      </c>
      <c r="B739" s="7" t="s">
        <v>1334</v>
      </c>
      <c r="C739" s="4" t="s">
        <v>25</v>
      </c>
      <c r="D739" s="4" t="s">
        <v>1335</v>
      </c>
      <c r="E739" s="16">
        <v>738</v>
      </c>
      <c r="F739" s="9">
        <v>46146</v>
      </c>
      <c r="G739" s="9" t="b">
        <v>0</v>
      </c>
      <c r="H739" s="4">
        <v>0</v>
      </c>
      <c r="I739" s="28" t="s">
        <v>44</v>
      </c>
      <c r="J739" s="4">
        <f t="shared" si="49"/>
        <v>15</v>
      </c>
      <c r="K739" s="4">
        <f ca="1">IF(AND(F739&lt;&gt;"", L739&lt;&gt;""), NETWORKDAYS(TODAY(), L739-1, FESTIVOS!A$1:A$55), "")</f>
        <v>-17</v>
      </c>
      <c r="L739" s="9">
        <f>IF(AND(F739&lt;&gt;"", J739&lt;&gt;""), WORKDAY(F739, J739, FESTIVOS!A$1:A$55), "")</f>
        <v>46168</v>
      </c>
      <c r="M739" s="16" t="s">
        <v>1199</v>
      </c>
      <c r="N739" s="4">
        <f t="shared" ca="1" si="46"/>
        <v>0</v>
      </c>
      <c r="O739" s="4" t="str">
        <f t="shared" ca="1" si="47"/>
        <v>Vencido</v>
      </c>
      <c r="P739" s="4" t="s">
        <v>37</v>
      </c>
      <c r="Q739" s="9" t="b">
        <v>0</v>
      </c>
      <c r="R739" s="12" t="b">
        <v>0</v>
      </c>
    </row>
    <row r="740" spans="1:18" x14ac:dyDescent="0.25">
      <c r="A740" s="14" t="s">
        <v>16</v>
      </c>
      <c r="B740" s="7" t="s">
        <v>1110</v>
      </c>
      <c r="C740" s="4" t="s">
        <v>25</v>
      </c>
      <c r="D740" s="4" t="s">
        <v>39</v>
      </c>
      <c r="E740" s="16">
        <v>739</v>
      </c>
      <c r="F740" s="9">
        <v>46146</v>
      </c>
      <c r="G740" s="9" t="b">
        <v>0</v>
      </c>
      <c r="H740" s="4" t="b">
        <v>0</v>
      </c>
      <c r="I740" s="28" t="s">
        <v>20</v>
      </c>
      <c r="J740" s="4">
        <f t="shared" si="49"/>
        <v>15</v>
      </c>
      <c r="K740" s="4">
        <f ca="1">IF(AND(F740&lt;&gt;"", L740&lt;&gt;""), NETWORKDAYS(TODAY(), L740-1, FESTIVOS!A$1:A$55), "")</f>
        <v>-17</v>
      </c>
      <c r="L740" s="9">
        <f>IF(AND(F740&lt;&gt;"", J740&lt;&gt;""), WORKDAY(F740, J740, FESTIVOS!A$1:A$55), "")</f>
        <v>46168</v>
      </c>
      <c r="M740" s="16" t="s">
        <v>1199</v>
      </c>
      <c r="N740" s="4">
        <f t="shared" ca="1" si="46"/>
        <v>0</v>
      </c>
      <c r="O740" s="4" t="str">
        <f t="shared" ca="1" si="47"/>
        <v>Vencido</v>
      </c>
      <c r="P740" s="4" t="s">
        <v>1336</v>
      </c>
      <c r="Q740" s="9">
        <v>46168</v>
      </c>
      <c r="R740" s="12" t="b">
        <v>0</v>
      </c>
    </row>
    <row r="741" spans="1:18" x14ac:dyDescent="0.25">
      <c r="A741" s="14" t="s">
        <v>16</v>
      </c>
      <c r="B741" s="7" t="s">
        <v>1337</v>
      </c>
      <c r="C741" s="4" t="s">
        <v>25</v>
      </c>
      <c r="D741" s="4" t="s">
        <v>1338</v>
      </c>
      <c r="E741" s="16">
        <v>740</v>
      </c>
      <c r="F741" s="9">
        <v>46146</v>
      </c>
      <c r="G741" s="9" t="b">
        <v>0</v>
      </c>
      <c r="H741" s="4">
        <v>2</v>
      </c>
      <c r="I741" s="28" t="s">
        <v>20</v>
      </c>
      <c r="J741" s="4">
        <f t="shared" ref="J741" si="50">IF(A741="INFORMACIÓN O DOCUMENTOS", 10, IF(A741="CONSULTA", 30, IF(A741="FACTURACIÓN Y COBROS", 15, IF(A741="VINCULACIÓN Y DESVINCULACIÓN", 15, IF(A741="NO ES DE NUESTRA COMPETENCIA", 5, IF(A741="OTRO", 15, ""))))))</f>
        <v>15</v>
      </c>
      <c r="K741" s="4">
        <f ca="1">IF(AND(F741&lt;&gt;"", L741&lt;&gt;""), NETWORKDAYS(TODAY(), L741-1, FESTIVOS!A$1:A$55), "")</f>
        <v>-17</v>
      </c>
      <c r="L741" s="9">
        <f>IF(AND(F741&lt;&gt;"", J741&lt;&gt;""), WORKDAY(F741, J741, FESTIVOS!A$1:A$55), "")</f>
        <v>46168</v>
      </c>
      <c r="M741" s="16" t="s">
        <v>1199</v>
      </c>
      <c r="N741" s="4">
        <f t="shared" ca="1" si="46"/>
        <v>0</v>
      </c>
      <c r="O741" s="4" t="str">
        <f t="shared" ca="1" si="47"/>
        <v>Vencido</v>
      </c>
      <c r="P741" s="4" t="s">
        <v>1339</v>
      </c>
      <c r="Q741" s="9">
        <v>46156</v>
      </c>
      <c r="R741" s="12" t="b">
        <v>0</v>
      </c>
    </row>
    <row r="742" spans="1:18" x14ac:dyDescent="0.25">
      <c r="A742" s="8" t="s">
        <v>16</v>
      </c>
      <c r="B742" s="7" t="s">
        <v>1340</v>
      </c>
      <c r="C742" s="4" t="s">
        <v>25</v>
      </c>
      <c r="D742" s="4" t="s">
        <v>1341</v>
      </c>
      <c r="E742" s="16">
        <v>741</v>
      </c>
      <c r="F742" s="9">
        <v>46146</v>
      </c>
      <c r="G742" s="9" t="b">
        <v>0</v>
      </c>
      <c r="H742" s="4">
        <v>0</v>
      </c>
      <c r="I742" s="28" t="s">
        <v>20</v>
      </c>
      <c r="J742" s="4">
        <f t="shared" si="49"/>
        <v>15</v>
      </c>
      <c r="K742" s="4">
        <f ca="1">IF(AND(F742&lt;&gt;"", L742&lt;&gt;""), NETWORKDAYS(TODAY(), L742-1, FESTIVOS!A$1:A$55), "")</f>
        <v>-17</v>
      </c>
      <c r="L742" s="9">
        <f>IF(AND(F742&lt;&gt;"", J742&lt;&gt;""), WORKDAY(F742, J742, FESTIVOS!A$1:A$55), "")</f>
        <v>46168</v>
      </c>
      <c r="M742" s="16" t="s">
        <v>1199</v>
      </c>
      <c r="N742" s="4">
        <f t="shared" ca="1" si="46"/>
        <v>0</v>
      </c>
      <c r="O742" s="4" t="str">
        <f t="shared" ca="1" si="47"/>
        <v>Vencido</v>
      </c>
      <c r="P742" s="4" t="s">
        <v>1342</v>
      </c>
      <c r="Q742" s="9">
        <v>46150</v>
      </c>
      <c r="R742" s="12" t="b">
        <v>0</v>
      </c>
    </row>
    <row r="743" spans="1:18" x14ac:dyDescent="0.25">
      <c r="A743" s="8" t="s">
        <v>16</v>
      </c>
      <c r="B743" s="7" t="s">
        <v>1343</v>
      </c>
      <c r="C743" s="4" t="s">
        <v>25</v>
      </c>
      <c r="D743" s="4" t="s">
        <v>1258</v>
      </c>
      <c r="E743" s="16">
        <v>742</v>
      </c>
      <c r="F743" s="9">
        <v>46146</v>
      </c>
      <c r="G743" s="9" t="b">
        <v>0</v>
      </c>
      <c r="H743" s="4">
        <v>0</v>
      </c>
      <c r="I743" s="28" t="s">
        <v>20</v>
      </c>
      <c r="J743" s="4">
        <f t="shared" si="49"/>
        <v>15</v>
      </c>
      <c r="K743" s="4">
        <f ca="1">IF(AND(F743&lt;&gt;"", L743&lt;&gt;""), NETWORKDAYS(TODAY(), L743-1, FESTIVOS!A$1:A$55), "")</f>
        <v>-17</v>
      </c>
      <c r="L743" s="9">
        <f>IF(AND(F743&lt;&gt;"", J743&lt;&gt;""), WORKDAY(F743, J743, FESTIVOS!A$1:A$55), "")</f>
        <v>46168</v>
      </c>
      <c r="M743" s="16" t="s">
        <v>1199</v>
      </c>
      <c r="N743" s="4">
        <f t="shared" ca="1" si="46"/>
        <v>0</v>
      </c>
      <c r="O743" s="4" t="str">
        <f t="shared" ca="1" si="47"/>
        <v>Vencido</v>
      </c>
      <c r="P743" s="4" t="s">
        <v>1342</v>
      </c>
      <c r="Q743" s="9" t="b">
        <v>0</v>
      </c>
      <c r="R743" s="12" t="b">
        <v>0</v>
      </c>
    </row>
    <row r="744" spans="1:18" x14ac:dyDescent="0.25">
      <c r="A744" s="8" t="s">
        <v>16</v>
      </c>
      <c r="B744" s="7" t="s">
        <v>1344</v>
      </c>
      <c r="C744" s="4" t="s">
        <v>25</v>
      </c>
      <c r="D744" s="4" t="s">
        <v>1084</v>
      </c>
      <c r="E744" s="16">
        <v>743</v>
      </c>
      <c r="F744" s="9">
        <v>46146</v>
      </c>
      <c r="G744" s="9" t="b">
        <v>0</v>
      </c>
      <c r="H744" s="4" t="b">
        <v>0</v>
      </c>
      <c r="I744" s="28" t="b">
        <v>0</v>
      </c>
      <c r="J744" s="4">
        <f t="shared" si="49"/>
        <v>15</v>
      </c>
      <c r="K744" s="4">
        <f ca="1">IF(AND(F744&lt;&gt;"", L744&lt;&gt;""), NETWORKDAYS(TODAY(), L744-1, FESTIVOS!A$1:A$55), "")</f>
        <v>-17</v>
      </c>
      <c r="L744" s="9">
        <f>IF(AND(F744&lt;&gt;"", J744&lt;&gt;""), WORKDAY(F744, J744, FESTIVOS!A$1:A$55), "")</f>
        <v>46168</v>
      </c>
      <c r="M744" s="16" t="s">
        <v>1199</v>
      </c>
      <c r="N744" s="4">
        <f t="shared" ca="1" si="46"/>
        <v>0</v>
      </c>
      <c r="O744" s="4" t="str">
        <f t="shared" ca="1" si="47"/>
        <v>Vencido</v>
      </c>
      <c r="P744" s="4" t="s">
        <v>37</v>
      </c>
      <c r="Q744" s="9" t="b">
        <v>0</v>
      </c>
      <c r="R744" s="12" t="b">
        <v>0</v>
      </c>
    </row>
    <row r="745" spans="1:18" x14ac:dyDescent="0.25">
      <c r="A745" s="8" t="s">
        <v>16</v>
      </c>
      <c r="B745" s="7" t="s">
        <v>1345</v>
      </c>
      <c r="C745" s="4" t="s">
        <v>25</v>
      </c>
      <c r="D745" s="4" t="s">
        <v>1077</v>
      </c>
      <c r="E745" s="16">
        <v>744</v>
      </c>
      <c r="F745" s="9">
        <v>46146</v>
      </c>
      <c r="G745" s="9" t="b">
        <v>0</v>
      </c>
      <c r="H745" s="4">
        <v>2</v>
      </c>
      <c r="I745" s="28" t="b">
        <v>0</v>
      </c>
      <c r="J745" s="4">
        <f t="shared" si="49"/>
        <v>15</v>
      </c>
      <c r="K745" s="4">
        <f ca="1">IF(AND(F745&lt;&gt;"", L745&lt;&gt;""), NETWORKDAYS(TODAY(), L745-1, FESTIVOS!A$1:A$55), "")</f>
        <v>-17</v>
      </c>
      <c r="L745" s="9">
        <f>IF(AND(F745&lt;&gt;"", J745&lt;&gt;""), WORKDAY(F745, J745, FESTIVOS!A$1:A$55), "")</f>
        <v>46168</v>
      </c>
      <c r="M745" s="16" t="s">
        <v>1199</v>
      </c>
      <c r="N745" s="4">
        <f t="shared" ca="1" si="46"/>
        <v>0</v>
      </c>
      <c r="O745" s="4" t="str">
        <f t="shared" ca="1" si="47"/>
        <v>Vencido</v>
      </c>
      <c r="P745" s="4" t="s">
        <v>1346</v>
      </c>
      <c r="Q745" s="9">
        <v>46157</v>
      </c>
      <c r="R745" s="12" t="b">
        <v>0</v>
      </c>
    </row>
    <row r="746" spans="1:18" x14ac:dyDescent="0.25">
      <c r="A746" s="8" t="s">
        <v>16</v>
      </c>
      <c r="B746" s="7" t="s">
        <v>1347</v>
      </c>
      <c r="C746" s="4" t="s">
        <v>25</v>
      </c>
      <c r="D746" s="4" t="s">
        <v>120</v>
      </c>
      <c r="E746" s="16">
        <v>745</v>
      </c>
      <c r="F746" s="9">
        <v>46146</v>
      </c>
      <c r="G746" s="9" t="b">
        <v>0</v>
      </c>
      <c r="H746" s="4" t="b">
        <v>0</v>
      </c>
      <c r="I746" s="28" t="b">
        <v>0</v>
      </c>
      <c r="J746" s="4">
        <f t="shared" si="49"/>
        <v>15</v>
      </c>
      <c r="K746" s="4">
        <f ca="1">IF(AND(F746&lt;&gt;"", L746&lt;&gt;""), NETWORKDAYS(TODAY(), L746-1, FESTIVOS!A$1:A$55), "")</f>
        <v>-17</v>
      </c>
      <c r="L746" s="9">
        <f>IF(AND(F746&lt;&gt;"", J746&lt;&gt;""), WORKDAY(F746, J746, FESTIVOS!A$1:A$55), "")</f>
        <v>46168</v>
      </c>
      <c r="M746" s="16" t="s">
        <v>1199</v>
      </c>
      <c r="N746" s="4">
        <f t="shared" ca="1" si="46"/>
        <v>0</v>
      </c>
      <c r="O746" s="4" t="str">
        <f t="shared" ca="1" si="47"/>
        <v>Vencido</v>
      </c>
      <c r="P746" s="4" t="s">
        <v>1348</v>
      </c>
      <c r="Q746" s="9" t="s">
        <v>1349</v>
      </c>
      <c r="R746" s="12" t="b">
        <v>0</v>
      </c>
    </row>
    <row r="747" spans="1:18" x14ac:dyDescent="0.25">
      <c r="A747" s="14" t="s">
        <v>16</v>
      </c>
      <c r="B747" s="15" t="s">
        <v>1350</v>
      </c>
      <c r="C747" s="16" t="s">
        <v>1350</v>
      </c>
      <c r="D747" s="16" t="s">
        <v>1351</v>
      </c>
      <c r="E747" s="16">
        <v>746</v>
      </c>
      <c r="F747" s="17">
        <v>46117</v>
      </c>
      <c r="G747" s="17" t="b">
        <v>0</v>
      </c>
      <c r="H747" s="16" t="b">
        <v>0</v>
      </c>
      <c r="I747" s="29" t="b">
        <v>0</v>
      </c>
      <c r="J747" s="4">
        <f t="shared" si="49"/>
        <v>15</v>
      </c>
      <c r="K747" s="4">
        <f ca="1">IF(AND(F747&lt;&gt;"", L747&lt;&gt;""), NETWORKDAYS(TODAY(), L747-1, FESTIVOS!A$1:A$55), "")</f>
        <v>-37</v>
      </c>
      <c r="L747" s="9">
        <f>IF(AND(F747&lt;&gt;"", J747&lt;&gt;""), WORKDAY(F747, J747, FESTIVOS!A$1:A$55), "")</f>
        <v>46136</v>
      </c>
      <c r="M747" s="16" t="s">
        <v>1199</v>
      </c>
      <c r="N747" s="4">
        <f t="shared" ca="1" si="46"/>
        <v>0</v>
      </c>
      <c r="O747" s="4" t="str">
        <f t="shared" ca="1" si="47"/>
        <v>Vencido</v>
      </c>
      <c r="P747" s="16" t="b">
        <v>0</v>
      </c>
      <c r="Q747" s="17" t="b">
        <v>0</v>
      </c>
      <c r="R747" s="18" t="b">
        <v>0</v>
      </c>
    </row>
    <row r="748" spans="1:18" x14ac:dyDescent="0.25">
      <c r="A748" s="8" t="s">
        <v>16</v>
      </c>
      <c r="B748" s="7" t="s">
        <v>1352</v>
      </c>
      <c r="C748" s="4" t="s">
        <v>25</v>
      </c>
      <c r="D748" s="4" t="s">
        <v>1353</v>
      </c>
      <c r="E748" s="16">
        <v>747</v>
      </c>
      <c r="F748" s="9">
        <v>46147</v>
      </c>
      <c r="G748" s="9" t="b">
        <v>0</v>
      </c>
      <c r="H748" s="4">
        <v>0</v>
      </c>
      <c r="I748" s="28" t="s">
        <v>20</v>
      </c>
      <c r="J748" s="4">
        <f t="shared" si="49"/>
        <v>15</v>
      </c>
      <c r="K748" s="4">
        <f ca="1">IF(AND(F748&lt;&gt;"", L748&lt;&gt;""), NETWORKDAYS(TODAY(), L748-1, FESTIVOS!A$1:A$55), "")</f>
        <v>-16</v>
      </c>
      <c r="L748" s="9">
        <f>IF(AND(F748&lt;&gt;"", J748&lt;&gt;""), WORKDAY(F748, J748, FESTIVOS!A$1:A$55), "")</f>
        <v>46169</v>
      </c>
      <c r="M748" s="16" t="s">
        <v>1199</v>
      </c>
      <c r="N748" s="4">
        <f t="shared" ca="1" si="46"/>
        <v>0</v>
      </c>
      <c r="O748" s="4" t="str">
        <f t="shared" ca="1" si="47"/>
        <v>Vencido</v>
      </c>
      <c r="P748" s="4" t="s">
        <v>1354</v>
      </c>
      <c r="Q748" s="9">
        <v>46150</v>
      </c>
      <c r="R748" s="12" t="b">
        <v>0</v>
      </c>
    </row>
    <row r="749" spans="1:18" x14ac:dyDescent="0.25">
      <c r="A749" s="14" t="s">
        <v>16</v>
      </c>
      <c r="B749" s="15" t="s">
        <v>1355</v>
      </c>
      <c r="C749" s="16" t="s">
        <v>1355</v>
      </c>
      <c r="D749" s="16" t="s">
        <v>1356</v>
      </c>
      <c r="E749" s="16">
        <v>748</v>
      </c>
      <c r="F749" s="17">
        <v>46147</v>
      </c>
      <c r="G749" s="17" t="b">
        <v>0</v>
      </c>
      <c r="H749" s="16" t="b">
        <v>0</v>
      </c>
      <c r="I749" s="29" t="b">
        <v>0</v>
      </c>
      <c r="J749" s="4">
        <f t="shared" si="49"/>
        <v>15</v>
      </c>
      <c r="K749" s="4">
        <f ca="1">IF(AND(F749&lt;&gt;"", L749&lt;&gt;""), NETWORKDAYS(TODAY(), L749-1, FESTIVOS!A$1:A$55), "")</f>
        <v>-16</v>
      </c>
      <c r="L749" s="9">
        <f>IF(AND(F749&lt;&gt;"", J749&lt;&gt;""), WORKDAY(F749, J749, FESTIVOS!A$1:A$55), "")</f>
        <v>46169</v>
      </c>
      <c r="M749" s="16" t="s">
        <v>1199</v>
      </c>
      <c r="N749" s="4">
        <f t="shared" ca="1" si="46"/>
        <v>0</v>
      </c>
      <c r="O749" s="4" t="str">
        <f t="shared" ca="1" si="47"/>
        <v>Vencido</v>
      </c>
      <c r="P749" s="16" t="s">
        <v>1357</v>
      </c>
      <c r="Q749" s="17">
        <v>46150</v>
      </c>
      <c r="R749" s="18" t="b">
        <v>0</v>
      </c>
    </row>
    <row r="750" spans="1:18" x14ac:dyDescent="0.25">
      <c r="A750" s="14" t="s">
        <v>16</v>
      </c>
      <c r="B750" s="15" t="s">
        <v>1358</v>
      </c>
      <c r="C750" s="16" t="s">
        <v>1358</v>
      </c>
      <c r="D750" s="16" t="s">
        <v>1359</v>
      </c>
      <c r="E750" s="16">
        <v>749</v>
      </c>
      <c r="F750" s="17">
        <v>46147</v>
      </c>
      <c r="G750" s="17" t="b">
        <v>0</v>
      </c>
      <c r="H750" s="16" t="b">
        <v>0</v>
      </c>
      <c r="I750" s="29" t="b">
        <v>0</v>
      </c>
      <c r="J750" s="4">
        <f t="shared" si="49"/>
        <v>15</v>
      </c>
      <c r="K750" s="4">
        <f ca="1">IF(AND(F750&lt;&gt;"", L750&lt;&gt;""), NETWORKDAYS(TODAY(), L750-1, FESTIVOS!A$1:A$55), "")</f>
        <v>-16</v>
      </c>
      <c r="L750" s="9">
        <f>IF(AND(F750&lt;&gt;"", J750&lt;&gt;""), WORKDAY(F750, J750, FESTIVOS!A$1:A$55), "")</f>
        <v>46169</v>
      </c>
      <c r="M750" s="16" t="s">
        <v>1199</v>
      </c>
      <c r="N750" s="4">
        <f t="shared" ca="1" si="46"/>
        <v>0</v>
      </c>
      <c r="O750" s="4" t="str">
        <f t="shared" ca="1" si="47"/>
        <v>Vencido</v>
      </c>
      <c r="P750" s="16" t="b">
        <v>0</v>
      </c>
      <c r="Q750" s="17" t="b">
        <v>0</v>
      </c>
      <c r="R750" s="18" t="b">
        <v>0</v>
      </c>
    </row>
    <row r="751" spans="1:18" x14ac:dyDescent="0.25">
      <c r="A751" s="8" t="s">
        <v>16</v>
      </c>
      <c r="B751" s="7" t="s">
        <v>1360</v>
      </c>
      <c r="C751" s="4" t="s">
        <v>25</v>
      </c>
      <c r="D751" s="4" t="s">
        <v>1361</v>
      </c>
      <c r="E751" s="16">
        <v>750</v>
      </c>
      <c r="F751" s="9">
        <v>46147</v>
      </c>
      <c r="G751" s="9" t="b">
        <v>0</v>
      </c>
      <c r="H751" s="4">
        <v>0</v>
      </c>
      <c r="I751" s="28" t="s">
        <v>20</v>
      </c>
      <c r="J751" s="4">
        <f t="shared" si="49"/>
        <v>15</v>
      </c>
      <c r="K751" s="4">
        <f ca="1">IF(AND(F751&lt;&gt;"", L751&lt;&gt;""), NETWORKDAYS(TODAY(), L751-1, FESTIVOS!A$1:A$55), "")</f>
        <v>-16</v>
      </c>
      <c r="L751" s="9">
        <f>IF(AND(F751&lt;&gt;"", J751&lt;&gt;""), WORKDAY(F751, J751, FESTIVOS!A$1:A$55), "")</f>
        <v>46169</v>
      </c>
      <c r="M751" s="16" t="s">
        <v>1199</v>
      </c>
      <c r="N751" s="4">
        <f t="shared" ca="1" si="46"/>
        <v>0</v>
      </c>
      <c r="O751" s="4" t="str">
        <f t="shared" ca="1" si="47"/>
        <v>Vencido</v>
      </c>
      <c r="P751" s="4" t="b">
        <v>0</v>
      </c>
      <c r="Q751" s="9" t="b">
        <v>0</v>
      </c>
      <c r="R751" s="12" t="b">
        <v>0</v>
      </c>
    </row>
    <row r="752" spans="1:18" x14ac:dyDescent="0.25">
      <c r="A752" s="14" t="s">
        <v>16</v>
      </c>
      <c r="B752" s="15" t="s">
        <v>1362</v>
      </c>
      <c r="C752" s="16" t="s">
        <v>1362</v>
      </c>
      <c r="D752" s="16" t="s">
        <v>1363</v>
      </c>
      <c r="E752" s="16">
        <v>751</v>
      </c>
      <c r="F752" s="17">
        <v>46147</v>
      </c>
      <c r="G752" s="17" t="b">
        <v>0</v>
      </c>
      <c r="H752" s="16" t="b">
        <v>0</v>
      </c>
      <c r="I752" s="29" t="s">
        <v>20</v>
      </c>
      <c r="J752" s="4">
        <f t="shared" si="49"/>
        <v>15</v>
      </c>
      <c r="K752" s="4">
        <f ca="1">IF(AND(F752&lt;&gt;"", L752&lt;&gt;""), NETWORKDAYS(TODAY(), L752-1, FESTIVOS!A$1:A$55), "")</f>
        <v>-16</v>
      </c>
      <c r="L752" s="9">
        <f>IF(AND(F752&lt;&gt;"", J752&lt;&gt;""), WORKDAY(F752, J752, FESTIVOS!A$1:A$55), "")</f>
        <v>46169</v>
      </c>
      <c r="M752" s="16" t="s">
        <v>1199</v>
      </c>
      <c r="N752" s="4">
        <f t="shared" ref="N752:N766" ca="1" si="51">IF(K752="", "", MAX(0, K752 - (TODAY() - TODAY())))</f>
        <v>0</v>
      </c>
      <c r="O752" s="4" t="str">
        <f ca="1">IF(OR(K752="", J752=""), "", IF(K752&lt;0, "Vencido", IF(K752&gt;(J752/2), "Supere la mitad", "Bajo la mitad")))</f>
        <v>Vencido</v>
      </c>
      <c r="P752" s="16" t="s">
        <v>1364</v>
      </c>
      <c r="Q752" s="17">
        <v>46147</v>
      </c>
      <c r="R752" s="18" t="b">
        <v>0</v>
      </c>
    </row>
    <row r="753" spans="1:18" x14ac:dyDescent="0.25">
      <c r="A753" s="8" t="s">
        <v>16</v>
      </c>
      <c r="B753" s="7" t="s">
        <v>1365</v>
      </c>
      <c r="C753" s="4" t="s">
        <v>25</v>
      </c>
      <c r="D753" s="4" t="s">
        <v>1366</v>
      </c>
      <c r="E753" s="16">
        <v>752</v>
      </c>
      <c r="F753" s="9">
        <v>46147</v>
      </c>
      <c r="G753" s="9" t="b">
        <v>0</v>
      </c>
      <c r="H753" s="4" t="b">
        <v>0</v>
      </c>
      <c r="I753" s="28" t="s">
        <v>20</v>
      </c>
      <c r="J753" s="4">
        <f t="shared" si="49"/>
        <v>15</v>
      </c>
      <c r="K753" s="4">
        <f ca="1">IF(AND(F753&lt;&gt;"", L753&lt;&gt;""), NETWORKDAYS(TODAY(), L753-1, FESTIVOS!A$1:A$55), "")</f>
        <v>-16</v>
      </c>
      <c r="L753" s="9">
        <f>IF(AND(F753&lt;&gt;"", J753&lt;&gt;""), WORKDAY(F753, J753, FESTIVOS!A$1:A$55), "")</f>
        <v>46169</v>
      </c>
      <c r="M753" s="16" t="s">
        <v>1199</v>
      </c>
      <c r="N753" s="4">
        <f t="shared" ca="1" si="51"/>
        <v>0</v>
      </c>
      <c r="O753" s="4" t="str">
        <f t="shared" ref="O753:O816" ca="1" si="52">IF(OR(K753="", J753=""), "", IF(K753&lt;0, "Vencido", IF(K753&gt;(J753/2), "Supere la mitad", "Bajo la mitad")))</f>
        <v>Vencido</v>
      </c>
      <c r="P753" s="4" t="s">
        <v>1367</v>
      </c>
      <c r="Q753" s="9">
        <v>46153</v>
      </c>
      <c r="R753" s="12" t="b">
        <v>0</v>
      </c>
    </row>
    <row r="754" spans="1:18" x14ac:dyDescent="0.25">
      <c r="A754" s="8" t="s">
        <v>16</v>
      </c>
      <c r="B754" s="7" t="s">
        <v>1368</v>
      </c>
      <c r="C754" s="4" t="s">
        <v>25</v>
      </c>
      <c r="D754" s="4" t="s">
        <v>518</v>
      </c>
      <c r="E754" s="16">
        <v>753</v>
      </c>
      <c r="F754" s="9">
        <v>46147</v>
      </c>
      <c r="G754" s="9" t="b">
        <v>0</v>
      </c>
      <c r="H754" s="4">
        <v>0</v>
      </c>
      <c r="I754" s="28" t="s">
        <v>66</v>
      </c>
      <c r="J754" s="4">
        <f t="shared" si="49"/>
        <v>15</v>
      </c>
      <c r="K754" s="4">
        <f ca="1">IF(AND(F754&lt;&gt;"", L754&lt;&gt;""), NETWORKDAYS(TODAY(), L754-1, FESTIVOS!A$1:A$55), "")</f>
        <v>-16</v>
      </c>
      <c r="L754" s="9">
        <f>IF(AND(F754&lt;&gt;"", J754&lt;&gt;""), WORKDAY(F754, J754, FESTIVOS!A$1:A$55), "")</f>
        <v>46169</v>
      </c>
      <c r="M754" s="16" t="s">
        <v>1199</v>
      </c>
      <c r="N754" s="4">
        <f t="shared" ca="1" si="51"/>
        <v>0</v>
      </c>
      <c r="O754" s="4" t="str">
        <f t="shared" ca="1" si="52"/>
        <v>Vencido</v>
      </c>
      <c r="P754" s="4" t="s">
        <v>1369</v>
      </c>
      <c r="Q754" s="9" t="b">
        <v>0</v>
      </c>
      <c r="R754" s="12" t="b">
        <v>0</v>
      </c>
    </row>
    <row r="755" spans="1:18" x14ac:dyDescent="0.25">
      <c r="A755" s="8" t="s">
        <v>16</v>
      </c>
      <c r="B755" s="7" t="s">
        <v>1370</v>
      </c>
      <c r="C755" s="4" t="s">
        <v>25</v>
      </c>
      <c r="D755" s="4" t="s">
        <v>1371</v>
      </c>
      <c r="E755" s="16">
        <v>754</v>
      </c>
      <c r="F755" s="9">
        <v>46147</v>
      </c>
      <c r="G755" s="9" t="b">
        <v>0</v>
      </c>
      <c r="H755" s="4">
        <v>0</v>
      </c>
      <c r="I755" s="28" t="s">
        <v>66</v>
      </c>
      <c r="J755" s="4">
        <f t="shared" si="49"/>
        <v>15</v>
      </c>
      <c r="K755" s="4">
        <f ca="1">IF(AND(F755&lt;&gt;"", L755&lt;&gt;""), NETWORKDAYS(TODAY(), L755-1, FESTIVOS!A$1:A$55), "")</f>
        <v>-16</v>
      </c>
      <c r="L755" s="9">
        <f>IF(AND(F755&lt;&gt;"", J755&lt;&gt;""), WORKDAY(F755, J755, FESTIVOS!A$1:A$55), "")</f>
        <v>46169</v>
      </c>
      <c r="M755" s="16" t="s">
        <v>1199</v>
      </c>
      <c r="N755" s="4">
        <f t="shared" ca="1" si="51"/>
        <v>0</v>
      </c>
      <c r="O755" s="4" t="str">
        <f t="shared" ca="1" si="52"/>
        <v>Vencido</v>
      </c>
      <c r="P755" s="4" t="s">
        <v>1372</v>
      </c>
      <c r="Q755" s="9">
        <v>46148</v>
      </c>
      <c r="R755" s="12" t="b">
        <v>0</v>
      </c>
    </row>
    <row r="756" spans="1:18" x14ac:dyDescent="0.25">
      <c r="A756" s="8" t="s">
        <v>16</v>
      </c>
      <c r="B756" s="7" t="s">
        <v>401</v>
      </c>
      <c r="C756" s="4" t="s">
        <v>32</v>
      </c>
      <c r="D756" s="4" t="s">
        <v>1373</v>
      </c>
      <c r="E756" s="16">
        <v>755</v>
      </c>
      <c r="F756" s="9">
        <v>46147</v>
      </c>
      <c r="G756" s="9" t="b">
        <v>0</v>
      </c>
      <c r="H756" s="4">
        <v>0</v>
      </c>
      <c r="I756" s="28" t="s">
        <v>20</v>
      </c>
      <c r="J756" s="4">
        <f t="shared" si="49"/>
        <v>15</v>
      </c>
      <c r="K756" s="4">
        <f ca="1">IF(AND(F756&lt;&gt;"", L756&lt;&gt;""), NETWORKDAYS(TODAY(), L756-1, FESTIVOS!A$1:A$55), "")</f>
        <v>-16</v>
      </c>
      <c r="L756" s="9">
        <f>IF(AND(F756&lt;&gt;"", J756&lt;&gt;""), WORKDAY(F756, J756, FESTIVOS!A$1:A$55), "")</f>
        <v>46169</v>
      </c>
      <c r="M756" s="16" t="s">
        <v>1199</v>
      </c>
      <c r="N756" s="4">
        <f t="shared" ca="1" si="51"/>
        <v>0</v>
      </c>
      <c r="O756" s="4" t="str">
        <f t="shared" ca="1" si="52"/>
        <v>Vencido</v>
      </c>
      <c r="P756" s="4" t="s">
        <v>1374</v>
      </c>
      <c r="Q756" s="9">
        <v>46150</v>
      </c>
      <c r="R756" s="12" t="b">
        <v>0</v>
      </c>
    </row>
    <row r="757" spans="1:18" x14ac:dyDescent="0.25">
      <c r="A757" s="8" t="s">
        <v>16</v>
      </c>
      <c r="B757" s="7" t="s">
        <v>68</v>
      </c>
      <c r="C757" s="4" t="s">
        <v>186</v>
      </c>
      <c r="D757" s="4" t="s">
        <v>1375</v>
      </c>
      <c r="E757" s="16">
        <v>756</v>
      </c>
      <c r="F757" s="9">
        <v>46147</v>
      </c>
      <c r="G757" s="9" t="b">
        <v>0</v>
      </c>
      <c r="H757" s="4" t="b">
        <v>0</v>
      </c>
      <c r="I757" s="28" t="s">
        <v>20</v>
      </c>
      <c r="J757" s="4">
        <f t="shared" ref="J757:J780" si="53">IF(A757="INFORMACIÓN O DOCUMENTOS", 10, IF(A757="CONSULTA", 30, IF(A757="FACTURACIÓN Y COBROS", 15, IF(A757="VINCULACIÓN Y DESVINCULACIÓN", 15, IF(A757="NO ES DE NUESTRA COMPETENCIA", 5, IF(A757="OTRO", 15, ""))))))</f>
        <v>15</v>
      </c>
      <c r="K757" s="4">
        <f ca="1">IF(AND(F757&lt;&gt;"", L757&lt;&gt;""), NETWORKDAYS(TODAY(), L757-1, FESTIVOS!A$1:A$55), "")</f>
        <v>-16</v>
      </c>
      <c r="L757" s="9">
        <f>IF(AND(F757&lt;&gt;"", J757&lt;&gt;""), WORKDAY(F757, J757, FESTIVOS!A$1:A$55), "")</f>
        <v>46169</v>
      </c>
      <c r="M757" s="16" t="s">
        <v>1199</v>
      </c>
      <c r="N757" s="4">
        <f t="shared" ca="1" si="51"/>
        <v>0</v>
      </c>
      <c r="O757" s="4" t="str">
        <f t="shared" ca="1" si="52"/>
        <v>Vencido</v>
      </c>
      <c r="P757" s="4" t="s">
        <v>37</v>
      </c>
      <c r="Q757" s="9" t="b">
        <v>0</v>
      </c>
      <c r="R757" s="12" t="b">
        <v>0</v>
      </c>
    </row>
    <row r="758" spans="1:18" x14ac:dyDescent="0.25">
      <c r="A758" s="14" t="s">
        <v>16</v>
      </c>
      <c r="B758" s="15" t="s">
        <v>1219</v>
      </c>
      <c r="C758" s="16" t="s">
        <v>1219</v>
      </c>
      <c r="D758" s="16" t="s">
        <v>1376</v>
      </c>
      <c r="E758" s="16">
        <v>757</v>
      </c>
      <c r="F758" s="17">
        <v>46147</v>
      </c>
      <c r="G758" s="17" t="b">
        <v>0</v>
      </c>
      <c r="H758" s="16" t="b">
        <v>0</v>
      </c>
      <c r="I758" s="29" t="s">
        <v>20</v>
      </c>
      <c r="J758" s="4">
        <f t="shared" si="53"/>
        <v>15</v>
      </c>
      <c r="K758" s="4">
        <f ca="1">IF(AND(F758&lt;&gt;"", L758&lt;&gt;""), NETWORKDAYS(TODAY(), L758-1, FESTIVOS!A$1:A$55), "")</f>
        <v>-16</v>
      </c>
      <c r="L758" s="9">
        <f>IF(AND(F758&lt;&gt;"", J758&lt;&gt;""), WORKDAY(F758, J758, FESTIVOS!A$1:A$55), "")</f>
        <v>46169</v>
      </c>
      <c r="M758" s="16" t="s">
        <v>1199</v>
      </c>
      <c r="N758" s="4">
        <f t="shared" ca="1" si="51"/>
        <v>0</v>
      </c>
      <c r="O758" s="4" t="str">
        <f t="shared" ca="1" si="52"/>
        <v>Vencido</v>
      </c>
      <c r="P758" s="16" t="s">
        <v>1377</v>
      </c>
      <c r="Q758" s="17" t="b">
        <v>0</v>
      </c>
      <c r="R758" s="18" t="b">
        <v>0</v>
      </c>
    </row>
    <row r="759" spans="1:18" x14ac:dyDescent="0.25">
      <c r="A759" s="8" t="s">
        <v>16</v>
      </c>
      <c r="B759" s="7" t="s">
        <v>1378</v>
      </c>
      <c r="C759" s="4" t="s">
        <v>32</v>
      </c>
      <c r="D759" s="4" t="s">
        <v>1379</v>
      </c>
      <c r="E759" s="16">
        <v>758</v>
      </c>
      <c r="F759" s="9">
        <v>46147</v>
      </c>
      <c r="G759" s="9" t="b">
        <v>0</v>
      </c>
      <c r="H759" s="4" t="b">
        <v>0</v>
      </c>
      <c r="I759" s="28" t="s">
        <v>66</v>
      </c>
      <c r="J759" s="4">
        <f t="shared" si="53"/>
        <v>15</v>
      </c>
      <c r="K759" s="4">
        <f ca="1">IF(AND(F759&lt;&gt;"", L759&lt;&gt;""), NETWORKDAYS(TODAY(), L759-1, FESTIVOS!A$1:A$55), "")</f>
        <v>-16</v>
      </c>
      <c r="L759" s="9">
        <f>IF(AND(F759&lt;&gt;"", J759&lt;&gt;""), WORKDAY(F759, J759, FESTIVOS!A$1:A$55), "")</f>
        <v>46169</v>
      </c>
      <c r="M759" s="16" t="s">
        <v>1199</v>
      </c>
      <c r="N759" s="4">
        <f t="shared" ca="1" si="51"/>
        <v>0</v>
      </c>
      <c r="O759" s="4" t="str">
        <f t="shared" ca="1" si="52"/>
        <v>Vencido</v>
      </c>
      <c r="P759" s="4" t="s">
        <v>37</v>
      </c>
      <c r="Q759" s="9" t="b">
        <v>0</v>
      </c>
      <c r="R759" s="12" t="b">
        <v>0</v>
      </c>
    </row>
    <row r="760" spans="1:18" x14ac:dyDescent="0.25">
      <c r="A760" s="14" t="s">
        <v>16</v>
      </c>
      <c r="B760" s="15" t="s">
        <v>1380</v>
      </c>
      <c r="C760" s="16" t="s">
        <v>1380</v>
      </c>
      <c r="D760" s="16" t="s">
        <v>1381</v>
      </c>
      <c r="E760" s="16">
        <v>759</v>
      </c>
      <c r="F760" s="17">
        <v>46147</v>
      </c>
      <c r="G760" s="17" t="b">
        <v>0</v>
      </c>
      <c r="H760" s="16" t="b">
        <v>0</v>
      </c>
      <c r="I760" s="29" t="s">
        <v>66</v>
      </c>
      <c r="J760" s="4">
        <f t="shared" si="53"/>
        <v>15</v>
      </c>
      <c r="K760" s="4">
        <f ca="1">IF(AND(F760&lt;&gt;"", L760&lt;&gt;""), NETWORKDAYS(TODAY(), L760-1, FESTIVOS!A$1:A$55), "")</f>
        <v>-16</v>
      </c>
      <c r="L760" s="9">
        <f>IF(AND(F760&lt;&gt;"", J760&lt;&gt;""), WORKDAY(F760, J760, FESTIVOS!A$1:A$55), "")</f>
        <v>46169</v>
      </c>
      <c r="M760" s="16" t="s">
        <v>1199</v>
      </c>
      <c r="N760" s="4">
        <f t="shared" ca="1" si="51"/>
        <v>0</v>
      </c>
      <c r="O760" s="4" t="str">
        <f t="shared" ca="1" si="52"/>
        <v>Vencido</v>
      </c>
      <c r="P760" s="16" t="s">
        <v>1382</v>
      </c>
      <c r="Q760" s="17">
        <v>46148</v>
      </c>
      <c r="R760" s="18" t="b">
        <v>0</v>
      </c>
    </row>
    <row r="761" spans="1:18" x14ac:dyDescent="0.25">
      <c r="A761" s="14" t="s">
        <v>16</v>
      </c>
      <c r="B761" s="15" t="s">
        <v>1383</v>
      </c>
      <c r="C761" s="16" t="s">
        <v>1383</v>
      </c>
      <c r="D761" s="16" t="s">
        <v>1384</v>
      </c>
      <c r="E761" s="16">
        <v>760</v>
      </c>
      <c r="F761" s="17">
        <v>46147</v>
      </c>
      <c r="G761" s="17" t="b">
        <v>0</v>
      </c>
      <c r="H761" s="16" t="b">
        <v>0</v>
      </c>
      <c r="I761" s="29" t="s">
        <v>20</v>
      </c>
      <c r="J761" s="4">
        <f t="shared" si="53"/>
        <v>15</v>
      </c>
      <c r="K761" s="4">
        <f ca="1">IF(AND(F761&lt;&gt;"", L761&lt;&gt;""), NETWORKDAYS(TODAY(), L761-1, FESTIVOS!A$1:A$55), "")</f>
        <v>-16</v>
      </c>
      <c r="L761" s="9">
        <f>IF(AND(F761&lt;&gt;"", J761&lt;&gt;""), WORKDAY(F761, J761, FESTIVOS!A$1:A$55), "")</f>
        <v>46169</v>
      </c>
      <c r="M761" s="16" t="s">
        <v>1199</v>
      </c>
      <c r="N761" s="4">
        <f t="shared" ca="1" si="51"/>
        <v>0</v>
      </c>
      <c r="O761" s="4" t="str">
        <f t="shared" ca="1" si="52"/>
        <v>Vencido</v>
      </c>
      <c r="P761" s="16" t="s">
        <v>1385</v>
      </c>
      <c r="Q761" s="17">
        <v>46169</v>
      </c>
      <c r="R761" s="18" t="b">
        <v>0</v>
      </c>
    </row>
    <row r="762" spans="1:18" x14ac:dyDescent="0.25">
      <c r="A762" s="8" t="s">
        <v>16</v>
      </c>
      <c r="B762" s="7" t="s">
        <v>1386</v>
      </c>
      <c r="C762" s="4" t="s">
        <v>25</v>
      </c>
      <c r="D762" s="4" t="s">
        <v>1387</v>
      </c>
      <c r="E762" s="16">
        <v>761</v>
      </c>
      <c r="F762" s="17">
        <v>46147</v>
      </c>
      <c r="G762" s="17" t="b">
        <v>0</v>
      </c>
      <c r="H762" s="16" t="b">
        <v>0</v>
      </c>
      <c r="I762" s="28" t="s">
        <v>20</v>
      </c>
      <c r="J762" s="4">
        <f t="shared" si="53"/>
        <v>15</v>
      </c>
      <c r="K762" s="4">
        <f ca="1">IF(AND(F762&lt;&gt;"", L762&lt;&gt;""), NETWORKDAYS(TODAY(), L762-1, FESTIVOS!A$1:A$55), "")</f>
        <v>-16</v>
      </c>
      <c r="L762" s="9">
        <f>IF(AND(F762&lt;&gt;"", J762&lt;&gt;""), WORKDAY(F762, J762, FESTIVOS!A$1:A$55), "")</f>
        <v>46169</v>
      </c>
      <c r="M762" s="16" t="s">
        <v>1199</v>
      </c>
      <c r="N762" s="4">
        <f t="shared" ca="1" si="51"/>
        <v>0</v>
      </c>
      <c r="O762" s="4" t="str">
        <f t="shared" ca="1" si="52"/>
        <v>Vencido</v>
      </c>
      <c r="P762" s="4" t="s">
        <v>1388</v>
      </c>
      <c r="Q762" s="9" t="b">
        <v>0</v>
      </c>
      <c r="R762" s="12" t="b">
        <v>0</v>
      </c>
    </row>
    <row r="763" spans="1:18" x14ac:dyDescent="0.25">
      <c r="A763" s="14" t="s">
        <v>16</v>
      </c>
      <c r="B763" s="15" t="s">
        <v>1389</v>
      </c>
      <c r="C763" s="16" t="s">
        <v>1389</v>
      </c>
      <c r="D763" s="16" t="s">
        <v>1390</v>
      </c>
      <c r="E763" s="16">
        <v>762</v>
      </c>
      <c r="F763" s="17">
        <v>46147</v>
      </c>
      <c r="G763" s="17" t="b">
        <v>0</v>
      </c>
      <c r="H763" s="16" t="b">
        <v>0</v>
      </c>
      <c r="I763" s="29" t="s">
        <v>44</v>
      </c>
      <c r="J763" s="4">
        <f t="shared" si="53"/>
        <v>15</v>
      </c>
      <c r="K763" s="4">
        <f ca="1">IF(AND(F763&lt;&gt;"", L763&lt;&gt;""), NETWORKDAYS(TODAY(), L763-1, FESTIVOS!A$1:A$55), "")</f>
        <v>-16</v>
      </c>
      <c r="L763" s="9">
        <f>IF(AND(F763&lt;&gt;"", J763&lt;&gt;""), WORKDAY(F763, J763, FESTIVOS!A$1:A$55), "")</f>
        <v>46169</v>
      </c>
      <c r="M763" s="16" t="s">
        <v>1199</v>
      </c>
      <c r="N763" s="4">
        <f t="shared" ca="1" si="51"/>
        <v>0</v>
      </c>
      <c r="O763" s="4" t="str">
        <f t="shared" ca="1" si="52"/>
        <v>Vencido</v>
      </c>
      <c r="P763" s="16" t="s">
        <v>37</v>
      </c>
      <c r="Q763" s="17" t="b">
        <v>0</v>
      </c>
      <c r="R763" s="18" t="b">
        <v>0</v>
      </c>
    </row>
    <row r="764" spans="1:18" x14ac:dyDescent="0.25">
      <c r="A764" s="14" t="s">
        <v>16</v>
      </c>
      <c r="B764" s="15" t="s">
        <v>1244</v>
      </c>
      <c r="C764" s="16" t="s">
        <v>1244</v>
      </c>
      <c r="D764" s="16" t="s">
        <v>1391</v>
      </c>
      <c r="E764" s="16">
        <v>763</v>
      </c>
      <c r="F764" s="17">
        <v>46147</v>
      </c>
      <c r="G764" s="17" t="b">
        <v>0</v>
      </c>
      <c r="H764" s="16" t="b">
        <v>0</v>
      </c>
      <c r="I764" s="29" t="s">
        <v>20</v>
      </c>
      <c r="J764" s="4">
        <f t="shared" si="53"/>
        <v>15</v>
      </c>
      <c r="K764" s="4">
        <f ca="1">IF(AND(F764&lt;&gt;"", L764&lt;&gt;""), NETWORKDAYS(TODAY(), L764-1, FESTIVOS!A$1:A$55), "")</f>
        <v>-16</v>
      </c>
      <c r="L764" s="9">
        <f>IF(AND(F764&lt;&gt;"", J764&lt;&gt;""), WORKDAY(F764, J764, FESTIVOS!A$1:A$55), "")</f>
        <v>46169</v>
      </c>
      <c r="M764" s="16" t="s">
        <v>1199</v>
      </c>
      <c r="N764" s="4">
        <f t="shared" ca="1" si="51"/>
        <v>0</v>
      </c>
      <c r="O764" s="4" t="str">
        <f t="shared" ca="1" si="52"/>
        <v>Vencido</v>
      </c>
      <c r="P764" s="16" t="s">
        <v>1298</v>
      </c>
      <c r="Q764" s="17" t="b">
        <v>0</v>
      </c>
      <c r="R764" s="18" t="b">
        <v>0</v>
      </c>
    </row>
    <row r="765" spans="1:18" x14ac:dyDescent="0.25">
      <c r="A765" s="14" t="s">
        <v>16</v>
      </c>
      <c r="B765" s="15" t="s">
        <v>1392</v>
      </c>
      <c r="C765" s="16" t="s">
        <v>1392</v>
      </c>
      <c r="D765" s="16" t="s">
        <v>1393</v>
      </c>
      <c r="E765" s="16">
        <v>764</v>
      </c>
      <c r="F765" s="17">
        <v>46147</v>
      </c>
      <c r="G765" s="17" t="b">
        <v>0</v>
      </c>
      <c r="H765" s="16" t="b">
        <v>0</v>
      </c>
      <c r="I765" s="29" t="s">
        <v>20</v>
      </c>
      <c r="J765" s="4">
        <f t="shared" si="53"/>
        <v>15</v>
      </c>
      <c r="K765" s="4">
        <f ca="1">IF(AND(F765&lt;&gt;"", L765&lt;&gt;""), NETWORKDAYS(TODAY(), L765-1, FESTIVOS!A$1:A$55), "")</f>
        <v>-16</v>
      </c>
      <c r="L765" s="9">
        <f>IF(AND(F765&lt;&gt;"", J765&lt;&gt;""), WORKDAY(F765, J765, FESTIVOS!A$1:A$55), "")</f>
        <v>46169</v>
      </c>
      <c r="M765" s="16" t="s">
        <v>1199</v>
      </c>
      <c r="N765" s="4">
        <f t="shared" ca="1" si="51"/>
        <v>0</v>
      </c>
      <c r="O765" s="4" t="str">
        <f t="shared" ca="1" si="52"/>
        <v>Vencido</v>
      </c>
      <c r="P765" s="16" t="s">
        <v>1394</v>
      </c>
      <c r="Q765" s="17">
        <v>46157</v>
      </c>
      <c r="R765" s="18" t="b">
        <v>0</v>
      </c>
    </row>
    <row r="766" spans="1:18" x14ac:dyDescent="0.25">
      <c r="A766" s="8" t="s">
        <v>16</v>
      </c>
      <c r="B766" s="7" t="s">
        <v>1395</v>
      </c>
      <c r="C766" s="4" t="s">
        <v>32</v>
      </c>
      <c r="D766" s="4" t="s">
        <v>1396</v>
      </c>
      <c r="E766" s="16">
        <v>765</v>
      </c>
      <c r="F766" s="17">
        <v>46147</v>
      </c>
      <c r="G766" s="17" t="b">
        <v>0</v>
      </c>
      <c r="H766" s="16" t="b">
        <v>0</v>
      </c>
      <c r="I766" s="28" t="s">
        <v>20</v>
      </c>
      <c r="J766" s="4">
        <f t="shared" si="53"/>
        <v>15</v>
      </c>
      <c r="K766" s="4">
        <f ca="1">IF(AND(F766&lt;&gt;"", L766&lt;&gt;""), NETWORKDAYS(TODAY(), L766-1, FESTIVOS!A$1:A$55), "")</f>
        <v>-16</v>
      </c>
      <c r="L766" s="9">
        <f>IF(AND(F766&lt;&gt;"", J766&lt;&gt;""), WORKDAY(F766, J766, FESTIVOS!A$1:A$55), "")</f>
        <v>46169</v>
      </c>
      <c r="M766" s="16" t="s">
        <v>1199</v>
      </c>
      <c r="N766" s="4">
        <f t="shared" ca="1" si="51"/>
        <v>0</v>
      </c>
      <c r="O766" s="4" t="str">
        <f t="shared" ca="1" si="52"/>
        <v>Vencido</v>
      </c>
      <c r="P766" s="23" t="s">
        <v>1397</v>
      </c>
      <c r="Q766" s="9">
        <v>46156</v>
      </c>
      <c r="R766" s="12" t="b">
        <v>0</v>
      </c>
    </row>
    <row r="767" spans="1:18" x14ac:dyDescent="0.25">
      <c r="A767" s="8" t="s">
        <v>16</v>
      </c>
      <c r="B767" s="7" t="s">
        <v>1398</v>
      </c>
      <c r="C767" s="4" t="s">
        <v>25</v>
      </c>
      <c r="D767" s="4" t="s">
        <v>1399</v>
      </c>
      <c r="E767" s="16">
        <v>766</v>
      </c>
      <c r="F767" s="17">
        <v>46147</v>
      </c>
      <c r="G767" s="17" t="b">
        <v>0</v>
      </c>
      <c r="H767" s="16" t="b">
        <v>0</v>
      </c>
      <c r="I767" s="28" t="s">
        <v>20</v>
      </c>
      <c r="J767" s="4">
        <f t="shared" si="53"/>
        <v>15</v>
      </c>
      <c r="K767" s="4">
        <f ca="1">IF(AND(F767&lt;&gt;"", L767&lt;&gt;""), NETWORKDAYS(TODAY(), L767-1, FESTIVOS!A$1:A$55), "")</f>
        <v>-16</v>
      </c>
      <c r="L767" s="9">
        <f>IF(AND(F767&lt;&gt;"", J767&lt;&gt;""), WORKDAY(F767, J767, FESTIVOS!A$1:A$55), "")</f>
        <v>46169</v>
      </c>
      <c r="M767" s="16" t="s">
        <v>1199</v>
      </c>
      <c r="N767" s="4" t="b">
        <v>0</v>
      </c>
      <c r="O767" s="4" t="str">
        <f t="shared" ca="1" si="52"/>
        <v>Vencido</v>
      </c>
      <c r="P767" s="4" t="s">
        <v>1400</v>
      </c>
      <c r="Q767" s="9">
        <v>46164</v>
      </c>
      <c r="R767" s="12" t="b">
        <v>0</v>
      </c>
    </row>
    <row r="768" spans="1:18" x14ac:dyDescent="0.25">
      <c r="A768" s="8" t="s">
        <v>16</v>
      </c>
      <c r="B768" s="7" t="s">
        <v>1401</v>
      </c>
      <c r="C768" s="4" t="s">
        <v>25</v>
      </c>
      <c r="D768" s="4" t="s">
        <v>1402</v>
      </c>
      <c r="E768" s="16">
        <v>767</v>
      </c>
      <c r="F768" s="17">
        <v>46148</v>
      </c>
      <c r="G768" s="17" t="b">
        <v>0</v>
      </c>
      <c r="H768" s="16" t="b">
        <v>0</v>
      </c>
      <c r="I768" s="28" t="s">
        <v>254</v>
      </c>
      <c r="J768" s="4">
        <f t="shared" si="53"/>
        <v>15</v>
      </c>
      <c r="K768" s="4">
        <f ca="1">IF(AND(F768&lt;&gt;"", L768&lt;&gt;""), NETWORKDAYS(TODAY(), L768-1, FESTIVOS!A$1:A$55), "")</f>
        <v>-15</v>
      </c>
      <c r="L768" s="9">
        <f>IF(AND(F768&lt;&gt;"", J768&lt;&gt;""), WORKDAY(F768, J768, FESTIVOS!A$1:A$55), "")</f>
        <v>46170</v>
      </c>
      <c r="M768" s="16" t="s">
        <v>1199</v>
      </c>
      <c r="N768" s="4" t="b">
        <v>0</v>
      </c>
      <c r="O768" s="4" t="str">
        <f t="shared" ca="1" si="52"/>
        <v>Vencido</v>
      </c>
      <c r="P768" s="4" t="b">
        <v>0</v>
      </c>
      <c r="Q768" s="9" t="b">
        <v>0</v>
      </c>
      <c r="R768" s="12" t="b">
        <v>0</v>
      </c>
    </row>
    <row r="769" spans="1:18" x14ac:dyDescent="0.25">
      <c r="A769" s="8" t="s">
        <v>16</v>
      </c>
      <c r="B769" s="7" t="s">
        <v>918</v>
      </c>
      <c r="C769" s="4" t="s">
        <v>84</v>
      </c>
      <c r="D769" s="4" t="s">
        <v>85</v>
      </c>
      <c r="E769" s="16">
        <v>768</v>
      </c>
      <c r="F769" s="17">
        <v>46147</v>
      </c>
      <c r="G769" s="17" t="b">
        <v>0</v>
      </c>
      <c r="H769" s="16">
        <v>2</v>
      </c>
      <c r="I769" s="28" t="s">
        <v>20</v>
      </c>
      <c r="J769" s="4">
        <f t="shared" si="53"/>
        <v>15</v>
      </c>
      <c r="K769" s="4">
        <f ca="1">IF(AND(F769&lt;&gt;"", L769&lt;&gt;""), NETWORKDAYS(TODAY(), L769-1, FESTIVOS!A$1:A$55), "")</f>
        <v>-16</v>
      </c>
      <c r="L769" s="9">
        <f>IF(AND(F769&lt;&gt;"", J769&lt;&gt;""), WORKDAY(F769, J769, FESTIVOS!A$1:A$55), "")</f>
        <v>46169</v>
      </c>
      <c r="M769" s="16" t="s">
        <v>1199</v>
      </c>
      <c r="N769" s="4" t="b">
        <v>0</v>
      </c>
      <c r="O769" s="4" t="str">
        <f t="shared" ca="1" si="52"/>
        <v>Vencido</v>
      </c>
      <c r="P769" s="4" t="s">
        <v>37</v>
      </c>
      <c r="Q769" s="9" t="b">
        <v>0</v>
      </c>
      <c r="R769" s="12" t="b">
        <v>0</v>
      </c>
    </row>
    <row r="770" spans="1:18" ht="19.899999999999999" customHeight="1" x14ac:dyDescent="0.25">
      <c r="A770" s="8" t="s">
        <v>16</v>
      </c>
      <c r="B770" s="7" t="s">
        <v>1403</v>
      </c>
      <c r="C770" s="4" t="s">
        <v>25</v>
      </c>
      <c r="D770" s="4" t="s">
        <v>1404</v>
      </c>
      <c r="E770" s="16">
        <v>769</v>
      </c>
      <c r="F770" s="9">
        <v>46150</v>
      </c>
      <c r="G770" s="17" t="b">
        <v>0</v>
      </c>
      <c r="H770" s="16">
        <v>1</v>
      </c>
      <c r="I770" s="28" t="s">
        <v>20</v>
      </c>
      <c r="J770" s="4">
        <f t="shared" si="53"/>
        <v>15</v>
      </c>
      <c r="K770" s="4">
        <f ca="1">IF(AND(F770&lt;&gt;"", L770&lt;&gt;""), NETWORKDAYS(TODAY(), L770-1, FESTIVOS!A$1:A$55), "")</f>
        <v>-12</v>
      </c>
      <c r="L770" s="9">
        <f>IF(AND(F770&lt;&gt;"", J770&lt;&gt;""), WORKDAY(F770, J770, FESTIVOS!A$1:A$55), "")</f>
        <v>46174</v>
      </c>
      <c r="M770" s="16" t="s">
        <v>1199</v>
      </c>
      <c r="N770" s="4" t="b">
        <v>0</v>
      </c>
      <c r="O770" s="4" t="str">
        <f t="shared" ca="1" si="52"/>
        <v>Vencido</v>
      </c>
      <c r="P770" s="4" t="s">
        <v>37</v>
      </c>
      <c r="Q770" s="9" t="b">
        <v>0</v>
      </c>
      <c r="R770" s="12" t="b">
        <v>0</v>
      </c>
    </row>
    <row r="771" spans="1:18" x14ac:dyDescent="0.25">
      <c r="A771" s="8" t="s">
        <v>16</v>
      </c>
      <c r="B771" s="7" t="s">
        <v>1405</v>
      </c>
      <c r="C771" s="4" t="s">
        <v>126</v>
      </c>
      <c r="D771" s="4" t="s">
        <v>1406</v>
      </c>
      <c r="E771" s="16">
        <v>770</v>
      </c>
      <c r="F771" s="9">
        <v>46150</v>
      </c>
      <c r="G771" s="17" t="b">
        <v>0</v>
      </c>
      <c r="H771" s="16" t="b">
        <v>0</v>
      </c>
      <c r="I771" s="28" t="s">
        <v>80</v>
      </c>
      <c r="J771" s="4">
        <f t="shared" si="53"/>
        <v>15</v>
      </c>
      <c r="K771" s="4">
        <f ca="1">IF(AND(F771&lt;&gt;"", L771&lt;&gt;""), NETWORKDAYS(TODAY(), L771-1, FESTIVOS!A$1:A$55), "")</f>
        <v>-12</v>
      </c>
      <c r="L771" s="9">
        <f>IF(AND(F771&lt;&gt;"", J771&lt;&gt;""), WORKDAY(F771, J771, FESTIVOS!A$1:A$55), "")</f>
        <v>46174</v>
      </c>
      <c r="M771" s="16" t="s">
        <v>1199</v>
      </c>
      <c r="N771" s="4" t="b">
        <v>0</v>
      </c>
      <c r="O771" s="4" t="str">
        <f t="shared" ca="1" si="52"/>
        <v>Vencido</v>
      </c>
      <c r="P771" s="4" t="s">
        <v>1407</v>
      </c>
      <c r="Q771" s="9">
        <v>46153</v>
      </c>
      <c r="R771" s="12" t="b">
        <v>0</v>
      </c>
    </row>
    <row r="772" spans="1:18" x14ac:dyDescent="0.25">
      <c r="A772" s="14" t="s">
        <v>16</v>
      </c>
      <c r="B772" s="15" t="s">
        <v>1244</v>
      </c>
      <c r="C772" s="16" t="s">
        <v>1244</v>
      </c>
      <c r="D772" s="16" t="s">
        <v>1408</v>
      </c>
      <c r="E772" s="16">
        <v>771</v>
      </c>
      <c r="F772" s="17">
        <v>46208</v>
      </c>
      <c r="G772" s="17" t="b">
        <v>0</v>
      </c>
      <c r="H772" s="16" t="b">
        <v>0</v>
      </c>
      <c r="I772" s="29" t="s">
        <v>20</v>
      </c>
      <c r="J772" s="4">
        <f t="shared" si="53"/>
        <v>15</v>
      </c>
      <c r="K772" s="4">
        <f ca="1">IF(AND(F772&lt;&gt;"", L772&lt;&gt;""), NETWORKDAYS(TODAY(), L772-1, FESTIVOS!A$1:A$55), "")</f>
        <v>25</v>
      </c>
      <c r="L772" s="9">
        <f>IF(AND(F772&lt;&gt;"", J772&lt;&gt;""), WORKDAY(F772, J772, FESTIVOS!A$1:A$55), "")</f>
        <v>46230</v>
      </c>
      <c r="M772" s="16" t="s">
        <v>1199</v>
      </c>
      <c r="N772" s="16" t="b">
        <v>0</v>
      </c>
      <c r="O772" s="4" t="str">
        <f t="shared" ca="1" si="52"/>
        <v>Supere la mitad</v>
      </c>
      <c r="P772" s="16" t="s">
        <v>37</v>
      </c>
      <c r="Q772" s="17" t="b">
        <v>0</v>
      </c>
      <c r="R772" s="18" t="b">
        <v>0</v>
      </c>
    </row>
    <row r="773" spans="1:18" x14ac:dyDescent="0.25">
      <c r="A773" s="14" t="s">
        <v>16</v>
      </c>
      <c r="B773" s="15" t="s">
        <v>1392</v>
      </c>
      <c r="C773" s="16" t="s">
        <v>1392</v>
      </c>
      <c r="D773" s="16" t="s">
        <v>1409</v>
      </c>
      <c r="E773" s="16">
        <v>772</v>
      </c>
      <c r="F773" s="17">
        <v>46149</v>
      </c>
      <c r="G773" s="17" t="b">
        <v>0</v>
      </c>
      <c r="H773" s="16" t="b">
        <v>0</v>
      </c>
      <c r="I773" s="29" t="s">
        <v>20</v>
      </c>
      <c r="J773" s="4">
        <f t="shared" si="53"/>
        <v>15</v>
      </c>
      <c r="K773" s="4">
        <f ca="1">IF(AND(F773&lt;&gt;"", L773&lt;&gt;""), NETWORKDAYS(TODAY(), L773-1, FESTIVOS!A$1:A$55), "")</f>
        <v>-14</v>
      </c>
      <c r="L773" s="9">
        <f>IF(AND(F773&lt;&gt;"", J773&lt;&gt;""), WORKDAY(F773, J773, FESTIVOS!A$1:A$55), "")</f>
        <v>46171</v>
      </c>
      <c r="M773" s="16" t="s">
        <v>1199</v>
      </c>
      <c r="N773" s="16" t="b">
        <v>0</v>
      </c>
      <c r="O773" s="4" t="str">
        <f t="shared" ca="1" si="52"/>
        <v>Vencido</v>
      </c>
      <c r="P773" s="16" t="s">
        <v>1410</v>
      </c>
      <c r="Q773" s="17" t="b">
        <v>0</v>
      </c>
      <c r="R773" s="18" t="b">
        <v>0</v>
      </c>
    </row>
    <row r="774" spans="1:18" x14ac:dyDescent="0.25">
      <c r="A774" s="8" t="s">
        <v>16</v>
      </c>
      <c r="B774" s="7" t="s">
        <v>208</v>
      </c>
      <c r="C774" s="4" t="s">
        <v>209</v>
      </c>
      <c r="D774" s="4" t="s">
        <v>1296</v>
      </c>
      <c r="E774" s="16">
        <v>773</v>
      </c>
      <c r="F774" s="9">
        <v>46149</v>
      </c>
      <c r="G774" s="17" t="b">
        <v>0</v>
      </c>
      <c r="H774" s="16">
        <v>3</v>
      </c>
      <c r="I774" s="28" t="s">
        <v>80</v>
      </c>
      <c r="J774" s="4">
        <f t="shared" si="53"/>
        <v>15</v>
      </c>
      <c r="K774" s="4">
        <f ca="1">IF(AND(F774&lt;&gt;"", L774&lt;&gt;""), NETWORKDAYS(TODAY(), L774-1, FESTIVOS!A$1:A$55), "")</f>
        <v>-14</v>
      </c>
      <c r="L774" s="9">
        <f>IF(AND(F774&lt;&gt;"", J774&lt;&gt;""), WORKDAY(F774, J774, FESTIVOS!A$1:A$55), "")</f>
        <v>46171</v>
      </c>
      <c r="M774" s="16" t="s">
        <v>1199</v>
      </c>
      <c r="N774" s="4" t="b">
        <v>0</v>
      </c>
      <c r="O774" s="4" t="str">
        <f t="shared" ca="1" si="52"/>
        <v>Vencido</v>
      </c>
      <c r="P774" s="4" t="s">
        <v>1411</v>
      </c>
      <c r="Q774" s="9">
        <v>46167</v>
      </c>
      <c r="R774" s="12" t="b">
        <v>0</v>
      </c>
    </row>
    <row r="775" spans="1:18" x14ac:dyDescent="0.25">
      <c r="A775" s="8" t="s">
        <v>16</v>
      </c>
      <c r="B775" s="7" t="s">
        <v>208</v>
      </c>
      <c r="C775" s="4" t="s">
        <v>209</v>
      </c>
      <c r="D775" s="4" t="s">
        <v>1412</v>
      </c>
      <c r="E775" s="16">
        <v>774</v>
      </c>
      <c r="F775" s="9">
        <v>46149</v>
      </c>
      <c r="G775" s="17" t="b">
        <v>0</v>
      </c>
      <c r="H775" s="16" t="b">
        <v>0</v>
      </c>
      <c r="I775" s="28" t="s">
        <v>80</v>
      </c>
      <c r="J775" s="4">
        <f t="shared" si="53"/>
        <v>15</v>
      </c>
      <c r="K775" s="4">
        <f ca="1">IF(AND(F775&lt;&gt;"", L775&lt;&gt;""), NETWORKDAYS(TODAY(), L775-1, FESTIVOS!A$1:A$55), "")</f>
        <v>-14</v>
      </c>
      <c r="L775" s="9">
        <f>IF(AND(F775&lt;&gt;"", J775&lt;&gt;""), WORKDAY(F775, J775, FESTIVOS!A$1:A$55), "")</f>
        <v>46171</v>
      </c>
      <c r="M775" s="16" t="s">
        <v>1199</v>
      </c>
      <c r="N775" s="4" t="b">
        <v>0</v>
      </c>
      <c r="O775" s="4" t="str">
        <f t="shared" ca="1" si="52"/>
        <v>Vencido</v>
      </c>
      <c r="P775" s="4" t="b">
        <v>0</v>
      </c>
      <c r="Q775" s="9" t="b">
        <v>0</v>
      </c>
      <c r="R775" s="12" t="b">
        <v>0</v>
      </c>
    </row>
    <row r="776" spans="1:18" x14ac:dyDescent="0.25">
      <c r="A776" s="8" t="s">
        <v>16</v>
      </c>
      <c r="B776" s="7" t="s">
        <v>281</v>
      </c>
      <c r="C776" s="4" t="s">
        <v>32</v>
      </c>
      <c r="D776" s="21" t="s">
        <v>1413</v>
      </c>
      <c r="E776" s="16">
        <v>775</v>
      </c>
      <c r="F776" s="9">
        <v>46150</v>
      </c>
      <c r="G776" s="17" t="b">
        <v>0</v>
      </c>
      <c r="H776" s="16" t="b">
        <v>0</v>
      </c>
      <c r="I776" s="28" t="s">
        <v>66</v>
      </c>
      <c r="J776" s="4">
        <f t="shared" si="53"/>
        <v>15</v>
      </c>
      <c r="K776" s="4">
        <f ca="1">IF(AND(F776&lt;&gt;"", L776&lt;&gt;""), NETWORKDAYS(TODAY(), L776-1, FESTIVOS!A$1:A$55), "")</f>
        <v>-12</v>
      </c>
      <c r="L776" s="9">
        <f>IF(AND(F776&lt;&gt;"", J776&lt;&gt;""), WORKDAY(F776, J776, FESTIVOS!A$1:A$55), "")</f>
        <v>46174</v>
      </c>
      <c r="M776" s="16" t="s">
        <v>1199</v>
      </c>
      <c r="N776" s="4" t="b">
        <v>0</v>
      </c>
      <c r="O776" s="4" t="str">
        <f t="shared" ca="1" si="52"/>
        <v>Vencido</v>
      </c>
      <c r="P776" s="4" t="b">
        <v>0</v>
      </c>
      <c r="Q776" s="9" t="b">
        <v>0</v>
      </c>
      <c r="R776" s="12" t="b">
        <v>0</v>
      </c>
    </row>
    <row r="777" spans="1:18" x14ac:dyDescent="0.25">
      <c r="A777" s="8" t="s">
        <v>16</v>
      </c>
      <c r="B777" s="7" t="s">
        <v>1378</v>
      </c>
      <c r="C777" s="4" t="s">
        <v>87</v>
      </c>
      <c r="D777" s="4" t="s">
        <v>1414</v>
      </c>
      <c r="E777" s="16">
        <v>776</v>
      </c>
      <c r="F777" s="9">
        <v>46150</v>
      </c>
      <c r="G777" s="17" t="b">
        <v>0</v>
      </c>
      <c r="H777" s="16" t="b">
        <v>0</v>
      </c>
      <c r="I777" s="28" t="s">
        <v>20</v>
      </c>
      <c r="J777" s="4">
        <f t="shared" si="53"/>
        <v>15</v>
      </c>
      <c r="K777" s="4">
        <f ca="1">IF(AND(F777&lt;&gt;"", L777&lt;&gt;""), NETWORKDAYS(TODAY(), L777-1, FESTIVOS!A$1:A$55), "")</f>
        <v>-12</v>
      </c>
      <c r="L777" s="9">
        <f>IF(AND(F777&lt;&gt;"", J777&lt;&gt;""), WORKDAY(F777, J777, FESTIVOS!A$1:A$55), "")</f>
        <v>46174</v>
      </c>
      <c r="M777" s="16" t="s">
        <v>1199</v>
      </c>
      <c r="N777" s="4" t="b">
        <v>0</v>
      </c>
      <c r="O777" s="4" t="str">
        <f t="shared" ca="1" si="52"/>
        <v>Vencido</v>
      </c>
      <c r="P777" s="4" t="s">
        <v>1415</v>
      </c>
      <c r="Q777" s="9">
        <v>46154</v>
      </c>
      <c r="R777" s="12" t="b">
        <v>0</v>
      </c>
    </row>
    <row r="778" spans="1:18" x14ac:dyDescent="0.25">
      <c r="A778" s="8" t="s">
        <v>16</v>
      </c>
      <c r="B778" s="7" t="s">
        <v>1416</v>
      </c>
      <c r="C778" s="4" t="s">
        <v>32</v>
      </c>
      <c r="D778" s="4" t="s">
        <v>1417</v>
      </c>
      <c r="E778" s="16">
        <v>777</v>
      </c>
      <c r="F778" s="9">
        <v>46150</v>
      </c>
      <c r="G778" s="17" t="b">
        <v>0</v>
      </c>
      <c r="H778" s="16" t="b">
        <v>0</v>
      </c>
      <c r="I778" s="28" t="s">
        <v>20</v>
      </c>
      <c r="J778" s="4">
        <f t="shared" si="53"/>
        <v>15</v>
      </c>
      <c r="K778" s="4">
        <f ca="1">IF(AND(F778&lt;&gt;"", L778&lt;&gt;""), NETWORKDAYS(TODAY(), L778-1, FESTIVOS!A$1:A$55), "")</f>
        <v>-12</v>
      </c>
      <c r="L778" s="9">
        <f>IF(AND(F778&lt;&gt;"", J778&lt;&gt;""), WORKDAY(F778, J778, FESTIVOS!A$1:A$55), "")</f>
        <v>46174</v>
      </c>
      <c r="M778" s="16" t="s">
        <v>1199</v>
      </c>
      <c r="N778" s="4" t="b">
        <v>0</v>
      </c>
      <c r="O778" s="4" t="str">
        <f t="shared" ca="1" si="52"/>
        <v>Vencido</v>
      </c>
      <c r="P778" s="4" t="s">
        <v>1418</v>
      </c>
      <c r="Q778" s="9">
        <v>46167</v>
      </c>
      <c r="R778" s="12" t="b">
        <v>0</v>
      </c>
    </row>
    <row r="779" spans="1:18" x14ac:dyDescent="0.25">
      <c r="A779" s="8" t="s">
        <v>16</v>
      </c>
      <c r="B779" s="7" t="s">
        <v>1234</v>
      </c>
      <c r="C779" s="4" t="s">
        <v>25</v>
      </c>
      <c r="D779" s="4" t="s">
        <v>1419</v>
      </c>
      <c r="E779" s="16">
        <v>778</v>
      </c>
      <c r="F779" s="9">
        <v>46150</v>
      </c>
      <c r="G779" s="17" t="b">
        <v>0</v>
      </c>
      <c r="H779" s="16" t="b">
        <v>0</v>
      </c>
      <c r="I779" s="28" t="s">
        <v>66</v>
      </c>
      <c r="J779" s="4">
        <f t="shared" si="53"/>
        <v>15</v>
      </c>
      <c r="K779" s="4">
        <f ca="1">IF(AND(F779&lt;&gt;"", L779&lt;&gt;""), NETWORKDAYS(TODAY(), L779-1, FESTIVOS!A$1:A$55), "")</f>
        <v>-12</v>
      </c>
      <c r="L779" s="9">
        <f>IF(AND(F779&lt;&gt;"", J779&lt;&gt;""), WORKDAY(F779, J779, FESTIVOS!A$1:A$55), "")</f>
        <v>46174</v>
      </c>
      <c r="M779" s="16" t="s">
        <v>1199</v>
      </c>
      <c r="N779" s="4" t="b">
        <v>0</v>
      </c>
      <c r="O779" s="4" t="str">
        <f t="shared" ca="1" si="52"/>
        <v>Vencido</v>
      </c>
      <c r="P779" s="4" t="b">
        <v>0</v>
      </c>
      <c r="Q779" s="9" t="b">
        <v>0</v>
      </c>
      <c r="R779" s="12" t="b">
        <v>0</v>
      </c>
    </row>
    <row r="780" spans="1:18" x14ac:dyDescent="0.25">
      <c r="A780" s="8" t="s">
        <v>16</v>
      </c>
      <c r="B780" s="7" t="s">
        <v>774</v>
      </c>
      <c r="C780" s="4" t="s">
        <v>32</v>
      </c>
      <c r="D780" s="4" t="s">
        <v>1046</v>
      </c>
      <c r="E780" s="16">
        <v>779</v>
      </c>
      <c r="F780" s="9">
        <v>46150</v>
      </c>
      <c r="G780" s="17" t="b">
        <v>0</v>
      </c>
      <c r="H780" s="16" t="b">
        <v>0</v>
      </c>
      <c r="I780" s="28" t="s">
        <v>20</v>
      </c>
      <c r="J780" s="4">
        <f t="shared" si="53"/>
        <v>15</v>
      </c>
      <c r="K780" s="4">
        <f ca="1">IF(AND(F780&lt;&gt;"", L780&lt;&gt;""), NETWORKDAYS(TODAY(), L780-1, FESTIVOS!A$1:A$55), "")</f>
        <v>-12</v>
      </c>
      <c r="L780" s="9">
        <f>IF(AND(F780&lt;&gt;"", J780&lt;&gt;""), WORKDAY(F780, J780, FESTIVOS!A$1:A$55), "")</f>
        <v>46174</v>
      </c>
      <c r="M780" s="16" t="s">
        <v>1199</v>
      </c>
      <c r="N780" s="4" t="b">
        <v>0</v>
      </c>
      <c r="O780" s="4" t="str">
        <f t="shared" ca="1" si="52"/>
        <v>Vencido</v>
      </c>
      <c r="P780" s="4" t="s">
        <v>37</v>
      </c>
      <c r="Q780" s="9" t="b">
        <v>0</v>
      </c>
      <c r="R780" s="12" t="b">
        <v>0</v>
      </c>
    </row>
    <row r="781" spans="1:18" x14ac:dyDescent="0.25">
      <c r="A781" s="14" t="s">
        <v>16</v>
      </c>
      <c r="B781" s="24" t="s">
        <v>1420</v>
      </c>
      <c r="C781" s="16" t="s">
        <v>32</v>
      </c>
      <c r="D781" s="16" t="s">
        <v>1421</v>
      </c>
      <c r="E781" s="16">
        <v>780</v>
      </c>
      <c r="F781" s="9">
        <v>46150</v>
      </c>
      <c r="G781" s="17" t="b">
        <v>0</v>
      </c>
      <c r="H781" s="16">
        <v>0</v>
      </c>
      <c r="I781" s="29" t="s">
        <v>20</v>
      </c>
      <c r="J781" s="4">
        <f t="shared" ref="J781:J783" si="54">IF(A781="INFORMACIÓN O DOCUMENTOS", 10, IF(A781="CONSULTA", 30, IF(A781="FACTURACIÓN Y COBROS", 15, IF(A781="VINCULACIÓN Y DESVINCULACIÓN", 15, IF(A781="NO ES DE NUESTRA COMPETENCIA", 5, IF(A781="OTRO", 15, ""))))))</f>
        <v>15</v>
      </c>
      <c r="K781" s="4">
        <f ca="1">IF(AND(F781&lt;&gt;"", L781&lt;&gt;""), NETWORKDAYS(TODAY(), L781-1, FESTIVOS!A$1:A$55), "")</f>
        <v>-12</v>
      </c>
      <c r="L781" s="9">
        <f>IF(AND(F781&lt;&gt;"", J781&lt;&gt;""), WORKDAY(F781, J781, FESTIVOS!A$1:A$55), "")</f>
        <v>46174</v>
      </c>
      <c r="M781" s="16" t="s">
        <v>1199</v>
      </c>
      <c r="N781" s="16" t="b">
        <v>0</v>
      </c>
      <c r="O781" s="4" t="str">
        <f t="shared" ca="1" si="52"/>
        <v>Vencido</v>
      </c>
      <c r="P781" s="16" t="b">
        <v>0</v>
      </c>
      <c r="Q781" s="17" t="b">
        <v>0</v>
      </c>
      <c r="R781" s="18" t="b">
        <v>0</v>
      </c>
    </row>
    <row r="782" spans="1:18" x14ac:dyDescent="0.25">
      <c r="A782" s="8" t="s">
        <v>16</v>
      </c>
      <c r="B782" s="7" t="s">
        <v>1422</v>
      </c>
      <c r="C782" s="4" t="s">
        <v>25</v>
      </c>
      <c r="D782" s="4" t="s">
        <v>1404</v>
      </c>
      <c r="E782" s="16">
        <v>781</v>
      </c>
      <c r="F782" s="9">
        <v>46150</v>
      </c>
      <c r="G782" s="17" t="b">
        <v>0</v>
      </c>
      <c r="H782" s="16">
        <v>2</v>
      </c>
      <c r="I782" s="29" t="s">
        <v>20</v>
      </c>
      <c r="J782" s="4">
        <f t="shared" si="54"/>
        <v>15</v>
      </c>
      <c r="K782" s="4">
        <f ca="1">IF(AND(F782&lt;&gt;"", L782&lt;&gt;""), NETWORKDAYS(TODAY(), L782-1, FESTIVOS!A$1:A$55), "")</f>
        <v>-12</v>
      </c>
      <c r="L782" s="9">
        <f>IF(AND(F782&lt;&gt;"", J782&lt;&gt;""), WORKDAY(F782, J782, FESTIVOS!A$1:A$55), "")</f>
        <v>46174</v>
      </c>
      <c r="M782" s="16" t="s">
        <v>1199</v>
      </c>
      <c r="N782" s="4" t="b">
        <v>0</v>
      </c>
      <c r="O782" s="4" t="str">
        <f t="shared" ca="1" si="52"/>
        <v>Vencido</v>
      </c>
      <c r="P782" s="4" t="s">
        <v>37</v>
      </c>
      <c r="Q782" s="9" t="b">
        <v>0</v>
      </c>
      <c r="R782" s="12" t="b">
        <v>0</v>
      </c>
    </row>
    <row r="783" spans="1:18" x14ac:dyDescent="0.25">
      <c r="A783" s="8" t="s">
        <v>16</v>
      </c>
      <c r="B783" s="7" t="s">
        <v>1423</v>
      </c>
      <c r="C783" s="4" t="s">
        <v>25</v>
      </c>
      <c r="D783" s="4" t="s">
        <v>1424</v>
      </c>
      <c r="E783" s="16">
        <v>782</v>
      </c>
      <c r="F783" s="9">
        <v>46150</v>
      </c>
      <c r="G783" s="17" t="b">
        <v>0</v>
      </c>
      <c r="H783" s="16">
        <v>0</v>
      </c>
      <c r="I783" s="29" t="s">
        <v>20</v>
      </c>
      <c r="J783" s="4">
        <f t="shared" si="54"/>
        <v>15</v>
      </c>
      <c r="K783" s="4">
        <f ca="1">IF(AND(F783&lt;&gt;"", L783&lt;&gt;""), NETWORKDAYS(TODAY(), L783-1, FESTIVOS!A$1:A$55), "")</f>
        <v>-12</v>
      </c>
      <c r="L783" s="9">
        <f>IF(AND(F783&lt;&gt;"", J783&lt;&gt;""), WORKDAY(F783, J783, FESTIVOS!A$1:A$55), "")</f>
        <v>46174</v>
      </c>
      <c r="M783" s="16" t="s">
        <v>1199</v>
      </c>
      <c r="N783" s="4" t="b">
        <v>0</v>
      </c>
      <c r="O783" s="4" t="str">
        <f t="shared" ca="1" si="52"/>
        <v>Vencido</v>
      </c>
      <c r="P783" s="4" t="s">
        <v>1425</v>
      </c>
      <c r="Q783" s="9" t="s">
        <v>1426</v>
      </c>
      <c r="R783" s="12" t="b">
        <v>0</v>
      </c>
    </row>
    <row r="784" spans="1:18" x14ac:dyDescent="0.25">
      <c r="A784" s="8" t="s">
        <v>636</v>
      </c>
      <c r="B784" s="7" t="s">
        <v>1427</v>
      </c>
      <c r="C784" s="4" t="s">
        <v>25</v>
      </c>
      <c r="D784" s="4" t="s">
        <v>1428</v>
      </c>
      <c r="E784" s="16">
        <v>783</v>
      </c>
      <c r="F784" s="9">
        <v>46150</v>
      </c>
      <c r="G784" s="17" t="b">
        <v>0</v>
      </c>
      <c r="H784" s="16">
        <v>0</v>
      </c>
      <c r="I784" s="28" t="s">
        <v>80</v>
      </c>
      <c r="J784" s="4">
        <f t="shared" ref="J784:J794" si="55">IF(A784="INFORMACIÓN O DOCUMENTOS", 10, IF(A784="CONSULTA", 30, IF(A784="FACTURACIÓN Y COBROS", 15, IF(A784="VINCULACIÓN Y DESVINCULACIÓN", 15, IF(A784="NO ES DE NUESTRA COMPETENCIA", 5, IF(A784="OTRO", 15, ""))))))</f>
        <v>10</v>
      </c>
      <c r="K784" s="4">
        <f ca="1">IF(AND(F784&lt;&gt;"", L784&lt;&gt;""), NETWORKDAYS(TODAY(), L784-1, FESTIVOS!A$1:A$55), "")</f>
        <v>-17</v>
      </c>
      <c r="L784" s="9">
        <f>IF(AND(F784&lt;&gt;"", J784&lt;&gt;""), WORKDAY(F784, J784, FESTIVOS!A$1:A$55), "")</f>
        <v>46167</v>
      </c>
      <c r="M784" s="16" t="s">
        <v>1199</v>
      </c>
      <c r="N784" s="4" t="b">
        <v>0</v>
      </c>
      <c r="O784" s="4" t="str">
        <f t="shared" ca="1" si="52"/>
        <v>Vencido</v>
      </c>
      <c r="P784" s="4" t="s">
        <v>1429</v>
      </c>
      <c r="Q784" s="9">
        <v>46164</v>
      </c>
      <c r="R784" s="12" t="b">
        <v>0</v>
      </c>
    </row>
    <row r="785" spans="1:18" x14ac:dyDescent="0.25">
      <c r="A785" s="8" t="s">
        <v>16</v>
      </c>
      <c r="B785" s="7" t="s">
        <v>1430</v>
      </c>
      <c r="C785" s="4" t="s">
        <v>25</v>
      </c>
      <c r="D785" s="4" t="s">
        <v>1431</v>
      </c>
      <c r="E785" s="16">
        <v>784</v>
      </c>
      <c r="F785" s="9">
        <v>46153</v>
      </c>
      <c r="G785" s="17" t="b">
        <v>0</v>
      </c>
      <c r="H785" s="16">
        <v>0</v>
      </c>
      <c r="I785" s="28" t="s">
        <v>66</v>
      </c>
      <c r="J785" s="4">
        <f t="shared" si="55"/>
        <v>15</v>
      </c>
      <c r="K785" s="4">
        <f ca="1">IF(AND(F785&lt;&gt;"", L785&lt;&gt;""), NETWORKDAYS(TODAY(), L785-1, FESTIVOS!A$1:A$55), "")</f>
        <v>-12</v>
      </c>
      <c r="L785" s="9">
        <f>IF(AND(F785&lt;&gt;"", J785&lt;&gt;""), WORKDAY(F785, J785, FESTIVOS!A$1:A$55), "")</f>
        <v>46175</v>
      </c>
      <c r="M785" s="16" t="s">
        <v>1199</v>
      </c>
      <c r="N785" s="4" t="b">
        <v>0</v>
      </c>
      <c r="O785" s="4" t="str">
        <f t="shared" ca="1" si="52"/>
        <v>Vencido</v>
      </c>
      <c r="P785" s="4" t="s">
        <v>1432</v>
      </c>
      <c r="Q785" s="9">
        <v>46162</v>
      </c>
      <c r="R785" s="12" t="b">
        <v>0</v>
      </c>
    </row>
    <row r="786" spans="1:18" x14ac:dyDescent="0.25">
      <c r="A786" s="14" t="s">
        <v>16</v>
      </c>
      <c r="B786" s="15" t="s">
        <v>1433</v>
      </c>
      <c r="C786" s="16" t="s">
        <v>1433</v>
      </c>
      <c r="D786" s="16" t="s">
        <v>1434</v>
      </c>
      <c r="E786" s="16">
        <v>785</v>
      </c>
      <c r="F786" s="9">
        <v>46153</v>
      </c>
      <c r="G786" s="17" t="b">
        <v>0</v>
      </c>
      <c r="H786" s="16">
        <v>0</v>
      </c>
      <c r="I786" s="29" t="s">
        <v>20</v>
      </c>
      <c r="J786" s="4">
        <f t="shared" si="55"/>
        <v>15</v>
      </c>
      <c r="K786" s="4">
        <f ca="1">IF(AND(F786&lt;&gt;"", L786&lt;&gt;""), NETWORKDAYS(TODAY(), L786-1, FESTIVOS!A$1:A$55), "")</f>
        <v>-12</v>
      </c>
      <c r="L786" s="9">
        <f>IF(AND(F786&lt;&gt;"", J786&lt;&gt;""), WORKDAY(F786, J786, FESTIVOS!A$1:A$55), "")</f>
        <v>46175</v>
      </c>
      <c r="M786" s="16" t="s">
        <v>1199</v>
      </c>
      <c r="N786" s="16" t="b">
        <v>0</v>
      </c>
      <c r="O786" s="4" t="str">
        <f t="shared" ca="1" si="52"/>
        <v>Vencido</v>
      </c>
      <c r="P786" s="16" t="s">
        <v>1435</v>
      </c>
      <c r="Q786" s="17">
        <v>46169</v>
      </c>
      <c r="R786" s="18" t="b">
        <v>0</v>
      </c>
    </row>
    <row r="787" spans="1:18" x14ac:dyDescent="0.25">
      <c r="A787" s="14" t="s">
        <v>16</v>
      </c>
      <c r="B787" s="15" t="s">
        <v>1436</v>
      </c>
      <c r="C787" s="16" t="s">
        <v>1436</v>
      </c>
      <c r="D787" s="16" t="s">
        <v>1437</v>
      </c>
      <c r="E787" s="16">
        <v>786</v>
      </c>
      <c r="F787" s="9">
        <v>46153</v>
      </c>
      <c r="G787" s="17" t="b">
        <v>0</v>
      </c>
      <c r="H787" s="16" t="b">
        <v>0</v>
      </c>
      <c r="I787" s="29" t="s">
        <v>20</v>
      </c>
      <c r="J787" s="4">
        <f t="shared" si="55"/>
        <v>15</v>
      </c>
      <c r="K787" s="4">
        <f ca="1">IF(AND(F787&lt;&gt;"", L787&lt;&gt;""), NETWORKDAYS(TODAY(), L787-1, FESTIVOS!A$1:A$55), "")</f>
        <v>-12</v>
      </c>
      <c r="L787" s="9">
        <f>IF(AND(F787&lt;&gt;"", J787&lt;&gt;""), WORKDAY(F787, J787, FESTIVOS!A$1:A$55), "")</f>
        <v>46175</v>
      </c>
      <c r="M787" s="16" t="s">
        <v>1199</v>
      </c>
      <c r="N787" s="16" t="b">
        <v>0</v>
      </c>
      <c r="O787" s="4" t="str">
        <f t="shared" ca="1" si="52"/>
        <v>Vencido</v>
      </c>
      <c r="P787" s="16" t="s">
        <v>1438</v>
      </c>
      <c r="Q787" s="17">
        <v>46157</v>
      </c>
      <c r="R787" s="18" t="b">
        <v>0</v>
      </c>
    </row>
    <row r="788" spans="1:18" x14ac:dyDescent="0.25">
      <c r="A788" s="14" t="s">
        <v>16</v>
      </c>
      <c r="B788" s="15" t="s">
        <v>1439</v>
      </c>
      <c r="C788" s="16" t="s">
        <v>1440</v>
      </c>
      <c r="D788" s="16" t="s">
        <v>1441</v>
      </c>
      <c r="E788" s="16">
        <v>787</v>
      </c>
      <c r="F788" s="9">
        <v>46153</v>
      </c>
      <c r="G788" s="17" t="b">
        <v>0</v>
      </c>
      <c r="H788" s="16" t="b">
        <v>0</v>
      </c>
      <c r="I788" s="29" t="s">
        <v>20</v>
      </c>
      <c r="J788" s="4">
        <f t="shared" si="55"/>
        <v>15</v>
      </c>
      <c r="K788" s="4">
        <f ca="1">IF(AND(F788&lt;&gt;"", L788&lt;&gt;""), NETWORKDAYS(TODAY(), L788-1, FESTIVOS!A$1:A$55), "")</f>
        <v>-12</v>
      </c>
      <c r="L788" s="9">
        <f>IF(AND(F788&lt;&gt;"", J788&lt;&gt;""), WORKDAY(F788, J788, FESTIVOS!A$1:A$55), "")</f>
        <v>46175</v>
      </c>
      <c r="M788" s="16" t="s">
        <v>1199</v>
      </c>
      <c r="N788" s="16" t="b">
        <v>0</v>
      </c>
      <c r="O788" s="4" t="str">
        <f t="shared" ca="1" si="52"/>
        <v>Vencido</v>
      </c>
      <c r="P788" s="16" t="s">
        <v>1442</v>
      </c>
      <c r="Q788" s="17">
        <v>4</v>
      </c>
      <c r="R788" s="18" t="b">
        <v>0</v>
      </c>
    </row>
    <row r="789" spans="1:18" x14ac:dyDescent="0.25">
      <c r="A789" s="14" t="s">
        <v>16</v>
      </c>
      <c r="B789" s="15" t="s">
        <v>1219</v>
      </c>
      <c r="C789" s="16" t="s">
        <v>1219</v>
      </c>
      <c r="D789" s="16" t="s">
        <v>1443</v>
      </c>
      <c r="E789" s="16">
        <v>788</v>
      </c>
      <c r="F789" s="9">
        <v>46153</v>
      </c>
      <c r="G789" s="17" t="b">
        <v>0</v>
      </c>
      <c r="H789" s="16" t="b">
        <v>0</v>
      </c>
      <c r="I789" s="29" t="s">
        <v>20</v>
      </c>
      <c r="J789" s="4">
        <f t="shared" si="55"/>
        <v>15</v>
      </c>
      <c r="K789" s="4">
        <f ca="1">IF(AND(F789&lt;&gt;"", L789&lt;&gt;""), NETWORKDAYS(TODAY(), L789-1, FESTIVOS!A$1:A$55), "")</f>
        <v>-12</v>
      </c>
      <c r="L789" s="9">
        <f>IF(AND(F789&lt;&gt;"", J789&lt;&gt;""), WORKDAY(F789, J789, FESTIVOS!A$1:A$55), "")</f>
        <v>46175</v>
      </c>
      <c r="M789" s="16" t="s">
        <v>1199</v>
      </c>
      <c r="N789" s="16" t="b">
        <v>0</v>
      </c>
      <c r="O789" s="4" t="str">
        <f t="shared" ca="1" si="52"/>
        <v>Vencido</v>
      </c>
      <c r="P789" s="16" t="s">
        <v>1444</v>
      </c>
      <c r="Q789" s="17" t="b">
        <v>0</v>
      </c>
      <c r="R789" s="18" t="b">
        <v>0</v>
      </c>
    </row>
    <row r="790" spans="1:18" x14ac:dyDescent="0.25">
      <c r="A790" s="8" t="s">
        <v>16</v>
      </c>
      <c r="B790" s="7" t="b">
        <v>0</v>
      </c>
      <c r="C790" s="4" t="b">
        <v>0</v>
      </c>
      <c r="D790" s="4" t="b">
        <v>0</v>
      </c>
      <c r="E790" s="16">
        <v>789</v>
      </c>
      <c r="F790" s="9">
        <v>46154</v>
      </c>
      <c r="G790" s="17" t="b">
        <v>0</v>
      </c>
      <c r="H790" s="16" t="b">
        <v>0</v>
      </c>
      <c r="I790" s="28" t="s">
        <v>20</v>
      </c>
      <c r="J790" s="4">
        <f t="shared" si="55"/>
        <v>15</v>
      </c>
      <c r="K790" s="4">
        <f ca="1">IF(AND(F790&lt;&gt;"", L790&lt;&gt;""), NETWORKDAYS(TODAY(), L790-1, FESTIVOS!A$1:A$55), "")</f>
        <v>-11</v>
      </c>
      <c r="L790" s="9">
        <f>IF(AND(F790&lt;&gt;"", J790&lt;&gt;""), WORKDAY(F790, J790, FESTIVOS!A$1:A$55), "")</f>
        <v>46176</v>
      </c>
      <c r="M790" s="16" t="s">
        <v>1199</v>
      </c>
      <c r="N790" s="4" t="b">
        <v>0</v>
      </c>
      <c r="O790" s="4" t="str">
        <f t="shared" ca="1" si="52"/>
        <v>Vencido</v>
      </c>
      <c r="P790" s="4" t="s">
        <v>1445</v>
      </c>
      <c r="Q790" s="9" t="b">
        <v>0</v>
      </c>
      <c r="R790" s="12" t="b">
        <v>0</v>
      </c>
    </row>
    <row r="791" spans="1:18" x14ac:dyDescent="0.25">
      <c r="A791" s="14" t="s">
        <v>16</v>
      </c>
      <c r="B791" s="15" t="s">
        <v>1446</v>
      </c>
      <c r="C791" s="16" t="s">
        <v>1446</v>
      </c>
      <c r="D791" s="16" t="s">
        <v>1447</v>
      </c>
      <c r="E791" s="16">
        <v>790</v>
      </c>
      <c r="F791" s="9">
        <v>46154</v>
      </c>
      <c r="G791" s="17" t="b">
        <v>0</v>
      </c>
      <c r="H791" s="16" t="b">
        <v>0</v>
      </c>
      <c r="I791" s="29" t="s">
        <v>20</v>
      </c>
      <c r="J791" s="4">
        <f t="shared" si="55"/>
        <v>15</v>
      </c>
      <c r="K791" s="4">
        <f ca="1">IF(AND(F791&lt;&gt;"", L791&lt;&gt;""), NETWORKDAYS(TODAY(), L791-1, FESTIVOS!A$1:A$55), "")</f>
        <v>-11</v>
      </c>
      <c r="L791" s="9">
        <f>IF(AND(F791&lt;&gt;"", J791&lt;&gt;""), WORKDAY(F791, J791, FESTIVOS!A$1:A$55), "")</f>
        <v>46176</v>
      </c>
      <c r="M791" s="16" t="s">
        <v>1199</v>
      </c>
      <c r="N791" s="16" t="b">
        <v>0</v>
      </c>
      <c r="O791" s="4" t="str">
        <f t="shared" ca="1" si="52"/>
        <v>Vencido</v>
      </c>
      <c r="P791" s="16" t="s">
        <v>1448</v>
      </c>
      <c r="Q791" s="17" t="b">
        <v>0</v>
      </c>
      <c r="R791" s="18" t="b">
        <v>0</v>
      </c>
    </row>
    <row r="792" spans="1:18" x14ac:dyDescent="0.25">
      <c r="A792" s="8" t="s">
        <v>16</v>
      </c>
      <c r="B792" s="7" t="b">
        <v>0</v>
      </c>
      <c r="C792" s="4" t="b">
        <v>0</v>
      </c>
      <c r="D792" s="4" t="b">
        <v>0</v>
      </c>
      <c r="E792" s="16">
        <v>791</v>
      </c>
      <c r="F792" s="9">
        <v>46154</v>
      </c>
      <c r="G792" s="17" t="b">
        <v>0</v>
      </c>
      <c r="H792" s="16" t="b">
        <v>0</v>
      </c>
      <c r="I792" s="28" t="s">
        <v>20</v>
      </c>
      <c r="J792" s="4">
        <f t="shared" si="55"/>
        <v>15</v>
      </c>
      <c r="K792" s="4">
        <f ca="1">IF(AND(F792&lt;&gt;"", L792&lt;&gt;""), NETWORKDAYS(TODAY(), L792-1, FESTIVOS!A$1:A$55), "")</f>
        <v>-11</v>
      </c>
      <c r="L792" s="9">
        <f>IF(AND(F792&lt;&gt;"", J792&lt;&gt;""), WORKDAY(F792, J792, FESTIVOS!A$1:A$55), "")</f>
        <v>46176</v>
      </c>
      <c r="M792" s="16" t="s">
        <v>1199</v>
      </c>
      <c r="N792" s="4" t="b">
        <v>0</v>
      </c>
      <c r="O792" s="4" t="str">
        <f t="shared" ca="1" si="52"/>
        <v>Vencido</v>
      </c>
      <c r="P792" s="4" t="s">
        <v>37</v>
      </c>
      <c r="Q792" s="9" t="b">
        <v>0</v>
      </c>
      <c r="R792" s="12" t="b">
        <v>0</v>
      </c>
    </row>
    <row r="793" spans="1:18" x14ac:dyDescent="0.25">
      <c r="A793" s="8" t="s">
        <v>16</v>
      </c>
      <c r="B793" s="7" t="b">
        <v>0</v>
      </c>
      <c r="C793" s="4" t="b">
        <v>0</v>
      </c>
      <c r="D793" s="4" t="b">
        <v>0</v>
      </c>
      <c r="E793" s="16">
        <v>792</v>
      </c>
      <c r="F793" s="9">
        <v>46154</v>
      </c>
      <c r="G793" s="17" t="b">
        <v>0</v>
      </c>
      <c r="H793" s="16" t="b">
        <v>0</v>
      </c>
      <c r="I793" s="28" t="s">
        <v>20</v>
      </c>
      <c r="J793" s="4">
        <f t="shared" si="55"/>
        <v>15</v>
      </c>
      <c r="K793" s="4">
        <f ca="1">IF(AND(F793&lt;&gt;"", L793&lt;&gt;""), NETWORKDAYS(TODAY(), L793-1, FESTIVOS!A$1:A$55), "")</f>
        <v>-11</v>
      </c>
      <c r="L793" s="9">
        <f>IF(AND(F793&lt;&gt;"", J793&lt;&gt;""), WORKDAY(F793, J793, FESTIVOS!A$1:A$55), "")</f>
        <v>46176</v>
      </c>
      <c r="M793" s="16" t="s">
        <v>1199</v>
      </c>
      <c r="N793" s="4" t="b">
        <v>0</v>
      </c>
      <c r="O793" s="4" t="str">
        <f t="shared" ca="1" si="52"/>
        <v>Vencido</v>
      </c>
      <c r="P793" s="4" t="s">
        <v>37</v>
      </c>
      <c r="Q793" s="9" t="b">
        <v>0</v>
      </c>
      <c r="R793" s="12" t="b">
        <v>0</v>
      </c>
    </row>
    <row r="794" spans="1:18" x14ac:dyDescent="0.25">
      <c r="A794" s="14" t="s">
        <v>16</v>
      </c>
      <c r="B794" s="15" t="s">
        <v>1219</v>
      </c>
      <c r="C794" s="16" t="s">
        <v>1219</v>
      </c>
      <c r="D794" s="16" t="s">
        <v>1449</v>
      </c>
      <c r="E794" s="16">
        <v>793</v>
      </c>
      <c r="F794" s="9">
        <v>46154</v>
      </c>
      <c r="G794" s="17" t="b">
        <v>0</v>
      </c>
      <c r="H794" s="16" t="b">
        <v>0</v>
      </c>
      <c r="I794" s="29" t="s">
        <v>20</v>
      </c>
      <c r="J794" s="4">
        <f t="shared" si="55"/>
        <v>15</v>
      </c>
      <c r="K794" s="4">
        <f ca="1">IF(AND(F794&lt;&gt;"", L794&lt;&gt;""), NETWORKDAYS(TODAY(), L794-1, FESTIVOS!A$1:A$55), "")</f>
        <v>-11</v>
      </c>
      <c r="L794" s="9">
        <f>IF(AND(F794&lt;&gt;"", J794&lt;&gt;""), WORKDAY(F794, J794, FESTIVOS!A$1:A$55), "")</f>
        <v>46176</v>
      </c>
      <c r="M794" s="16" t="s">
        <v>1199</v>
      </c>
      <c r="N794" s="16" t="b">
        <v>0</v>
      </c>
      <c r="O794" s="4" t="str">
        <f t="shared" ca="1" si="52"/>
        <v>Vencido</v>
      </c>
      <c r="P794" s="16" t="s">
        <v>1450</v>
      </c>
      <c r="Q794" s="17" t="b">
        <v>0</v>
      </c>
      <c r="R794" s="18" t="b">
        <v>0</v>
      </c>
    </row>
    <row r="795" spans="1:18" x14ac:dyDescent="0.25">
      <c r="A795" s="8" t="s">
        <v>16</v>
      </c>
      <c r="B795" s="7" t="b">
        <v>0</v>
      </c>
      <c r="C795" s="4" t="b">
        <v>0</v>
      </c>
      <c r="D795" s="4" t="b">
        <v>0</v>
      </c>
      <c r="E795" s="16">
        <v>794</v>
      </c>
      <c r="F795" s="9">
        <v>46154</v>
      </c>
      <c r="G795" s="17" t="b">
        <v>0</v>
      </c>
      <c r="H795" s="16" t="b">
        <v>0</v>
      </c>
      <c r="I795" s="28" t="s">
        <v>20</v>
      </c>
      <c r="J795" s="4">
        <f t="shared" ref="J795:J822" si="56">IF(A795="INFORMACIÓN O DOCUMENTOS", 10, IF(A795="CONSULTA", 30, IF(A795="FACTURACIÓN Y COBROS", 15, IF(A795="VINCULACIÓN Y DESVINCULACIÓN", 15, IF(A795="NO ES DE NUESTRA COMPETENCIA", 5, IF(A795="OTRO", 15, ""))))))</f>
        <v>15</v>
      </c>
      <c r="K795" s="4">
        <f ca="1">IF(AND(F795&lt;&gt;"", L795&lt;&gt;""), NETWORKDAYS(TODAY(), L795-1, FESTIVOS!A$1:A$55), "")</f>
        <v>-11</v>
      </c>
      <c r="L795" s="9">
        <f>IF(AND(F795&lt;&gt;"", J795&lt;&gt;""), WORKDAY(F795, J795, FESTIVOS!A$1:A$55), "")</f>
        <v>46176</v>
      </c>
      <c r="M795" s="16" t="s">
        <v>1199</v>
      </c>
      <c r="N795" s="4" t="b">
        <v>1</v>
      </c>
      <c r="O795" s="4" t="str">
        <f t="shared" ca="1" si="52"/>
        <v>Vencido</v>
      </c>
      <c r="P795" s="4" t="s">
        <v>37</v>
      </c>
      <c r="Q795" s="9" t="b">
        <v>0</v>
      </c>
      <c r="R795" s="12" t="b">
        <v>0</v>
      </c>
    </row>
    <row r="796" spans="1:18" x14ac:dyDescent="0.25">
      <c r="A796" s="8"/>
      <c r="B796" s="7" t="b">
        <v>0</v>
      </c>
      <c r="C796" s="4" t="b">
        <v>0</v>
      </c>
      <c r="D796" s="4" t="b">
        <v>0</v>
      </c>
      <c r="E796" s="16">
        <v>795</v>
      </c>
      <c r="F796" s="9">
        <v>46154</v>
      </c>
      <c r="G796" s="17" t="b">
        <v>0</v>
      </c>
      <c r="H796" s="16" t="b">
        <v>0</v>
      </c>
      <c r="I796" s="28" t="s">
        <v>20</v>
      </c>
      <c r="J796" s="4">
        <v>15</v>
      </c>
      <c r="K796" s="4">
        <f ca="1">IF(AND(F796&lt;&gt;"", L796&lt;&gt;""), NETWORKDAYS(TODAY(), L796-1, FESTIVOS!A$1:A$55), "")</f>
        <v>-11</v>
      </c>
      <c r="L796" s="9">
        <f>IF(AND(F796&lt;&gt;"", J796&lt;&gt;""), WORKDAY(F796, J796, FESTIVOS!A$1:A$55), "")</f>
        <v>46176</v>
      </c>
      <c r="M796" s="16" t="s">
        <v>1199</v>
      </c>
      <c r="N796" s="4" t="b">
        <v>0</v>
      </c>
      <c r="O796" s="4" t="str">
        <f t="shared" ca="1" si="52"/>
        <v>Vencido</v>
      </c>
      <c r="P796" s="4" t="s">
        <v>1451</v>
      </c>
      <c r="Q796" s="9" t="b">
        <v>0</v>
      </c>
      <c r="R796" s="12" t="b">
        <v>0</v>
      </c>
    </row>
    <row r="797" spans="1:18" x14ac:dyDescent="0.25">
      <c r="A797" s="8"/>
      <c r="B797" s="7" t="b">
        <v>0</v>
      </c>
      <c r="C797" s="4" t="b">
        <v>0</v>
      </c>
      <c r="D797" s="4" t="b">
        <v>0</v>
      </c>
      <c r="E797" s="16">
        <v>796</v>
      </c>
      <c r="F797" s="9">
        <v>46154</v>
      </c>
      <c r="G797" s="17" t="b">
        <v>0</v>
      </c>
      <c r="H797" s="16" t="b">
        <v>0</v>
      </c>
      <c r="I797" s="28"/>
      <c r="J797" s="4" t="str">
        <f t="shared" ref="J797" si="57">IF(A797="INFORMACIÓN O DOCUMENTOS", 10, IF(A797="CONSULTA", 30, IF(A797="FACTURACIÓN Y COBROS", 15, IF(A797="VINCULACIÓN Y DESVINCULACIÓN", 15, IF(A797="NO ES DE NUESTRA COMPETENCIA", 5, IF(A797="OTRO", 15, ""))))))</f>
        <v/>
      </c>
      <c r="K797" s="4" t="str">
        <f ca="1">IF(AND(F797&lt;&gt;"", L797&lt;&gt;""), NETWORKDAYS(TODAY(), L797-1, FESTIVOS!A$1:A$55), "")</f>
        <v/>
      </c>
      <c r="L797" s="9" t="str">
        <f>IF(AND(F797&lt;&gt;"", J797&lt;&gt;""), WORKDAY(F797, J797, FESTIVOS!A$1:A$55), "")</f>
        <v/>
      </c>
      <c r="M797" s="16" t="s">
        <v>1199</v>
      </c>
      <c r="N797" s="4" t="b">
        <v>0</v>
      </c>
      <c r="O797" s="4" t="str">
        <f t="shared" ca="1" si="52"/>
        <v/>
      </c>
      <c r="P797" s="4" t="s">
        <v>1339</v>
      </c>
      <c r="Q797" s="9">
        <v>46156</v>
      </c>
      <c r="R797" s="12" t="b">
        <v>0</v>
      </c>
    </row>
    <row r="798" spans="1:18" x14ac:dyDescent="0.25">
      <c r="A798" s="14" t="s">
        <v>16</v>
      </c>
      <c r="B798" s="15" t="s">
        <v>1452</v>
      </c>
      <c r="C798" s="16" t="s">
        <v>1452</v>
      </c>
      <c r="D798" s="16" t="s">
        <v>1453</v>
      </c>
      <c r="E798" s="16">
        <v>797</v>
      </c>
      <c r="F798" s="17">
        <v>46361</v>
      </c>
      <c r="G798" s="17" t="b">
        <v>0</v>
      </c>
      <c r="H798" s="16" t="b">
        <v>0</v>
      </c>
      <c r="I798" s="29"/>
      <c r="J798" s="4">
        <f t="shared" ref="J798" si="58">IF(A798="INFORMACIÓN O DOCUMENTOS", 10, IF(A798="CONSULTA", 30, IF(A798="FACTURACIÓN Y COBROS", 15, IF(A798="VINCULACIÓN Y DESVINCULACIÓN", 15, IF(A798="NO ES DE NUESTRA COMPETENCIA", 5, IF(A798="OTRO", 15, ""))))))</f>
        <v>15</v>
      </c>
      <c r="K798" s="4">
        <f ca="1">IF(AND(F798&lt;&gt;"", L798&lt;&gt;""), NETWORKDAYS(TODAY(), L798-1, FESTIVOS!A$1:A$55), "")</f>
        <v>129</v>
      </c>
      <c r="L798" s="9">
        <f>IF(AND(F798&lt;&gt;"", J798&lt;&gt;""), WORKDAY(F798, J798, FESTIVOS!A$1:A$55), "")</f>
        <v>46385</v>
      </c>
      <c r="M798" s="16" t="s">
        <v>1199</v>
      </c>
      <c r="N798" s="16" t="b">
        <v>0</v>
      </c>
      <c r="O798" s="4" t="str">
        <f t="shared" ca="1" si="52"/>
        <v>Supere la mitad</v>
      </c>
      <c r="P798" s="16" t="s">
        <v>1451</v>
      </c>
      <c r="Q798" s="17" t="b">
        <v>0</v>
      </c>
      <c r="R798" s="18" t="b">
        <v>0</v>
      </c>
    </row>
    <row r="799" spans="1:18" x14ac:dyDescent="0.25">
      <c r="A799" s="8" t="s">
        <v>16</v>
      </c>
      <c r="B799" s="7" t="s">
        <v>1454</v>
      </c>
      <c r="C799" s="4" t="s">
        <v>32</v>
      </c>
      <c r="D799" s="4" t="s">
        <v>88</v>
      </c>
      <c r="E799" s="16">
        <v>798</v>
      </c>
      <c r="F799" s="9">
        <v>46155</v>
      </c>
      <c r="G799" s="17" t="b">
        <v>0</v>
      </c>
      <c r="H799" s="16" t="b">
        <v>0</v>
      </c>
      <c r="I799" s="28" t="s">
        <v>20</v>
      </c>
      <c r="J799" s="4">
        <f t="shared" si="56"/>
        <v>15</v>
      </c>
      <c r="K799" s="4">
        <f ca="1">IF(AND(F799&lt;&gt;"", L799&lt;&gt;""), NETWORKDAYS(TODAY(), L799-1, FESTIVOS!A$1:A$55), "")</f>
        <v>-10</v>
      </c>
      <c r="L799" s="9">
        <f>IF(AND(F799&lt;&gt;"", J799&lt;&gt;""), WORKDAY(F799, J799, FESTIVOS!A$1:A$55), "")</f>
        <v>46177</v>
      </c>
      <c r="M799" s="16" t="s">
        <v>1199</v>
      </c>
      <c r="N799" s="4" t="b">
        <v>0</v>
      </c>
      <c r="O799" s="4" t="str">
        <f t="shared" ca="1" si="52"/>
        <v>Vencido</v>
      </c>
      <c r="P799" s="4" t="s">
        <v>37</v>
      </c>
      <c r="Q799" s="9" t="b">
        <v>0</v>
      </c>
      <c r="R799" s="12" t="b">
        <v>0</v>
      </c>
    </row>
    <row r="800" spans="1:18" x14ac:dyDescent="0.25">
      <c r="A800" s="14" t="s">
        <v>16</v>
      </c>
      <c r="B800" s="15" t="s">
        <v>1455</v>
      </c>
      <c r="C800" s="16" t="s">
        <v>1455</v>
      </c>
      <c r="D800" s="16" t="s">
        <v>1456</v>
      </c>
      <c r="E800" s="16">
        <v>799</v>
      </c>
      <c r="F800" s="17" t="s">
        <v>1457</v>
      </c>
      <c r="G800" s="17" t="b">
        <v>0</v>
      </c>
      <c r="H800" s="16" t="b">
        <v>0</v>
      </c>
      <c r="I800" s="29" t="b">
        <v>0</v>
      </c>
      <c r="J800" s="4">
        <f t="shared" si="56"/>
        <v>15</v>
      </c>
      <c r="K800" s="4">
        <f ca="1">IF(AND(F800&lt;&gt;"", L800&lt;&gt;""), NETWORKDAYS(TODAY(), L800-1, FESTIVOS!A$1:A$55), "")</f>
        <v>-10</v>
      </c>
      <c r="L800" s="9">
        <f>IF(AND(F800&lt;&gt;"", J800&lt;&gt;""), WORKDAY(F800, J800, FESTIVOS!A$1:A$55), "")</f>
        <v>46177</v>
      </c>
      <c r="M800" s="16" t="s">
        <v>1199</v>
      </c>
      <c r="N800" s="16" t="b">
        <v>0</v>
      </c>
      <c r="O800" s="4" t="str">
        <f t="shared" ca="1" si="52"/>
        <v>Vencido</v>
      </c>
      <c r="P800" s="16" t="s">
        <v>1458</v>
      </c>
      <c r="Q800" s="17" t="b">
        <v>0</v>
      </c>
      <c r="R800" s="18" t="b">
        <v>0</v>
      </c>
    </row>
    <row r="801" spans="1:18" x14ac:dyDescent="0.25">
      <c r="A801" s="8"/>
      <c r="B801" s="7" t="b">
        <v>0</v>
      </c>
      <c r="C801" s="4" t="b">
        <v>0</v>
      </c>
      <c r="D801" s="4" t="b">
        <v>0</v>
      </c>
      <c r="E801" s="16">
        <v>800</v>
      </c>
      <c r="F801" s="9" t="b">
        <v>0</v>
      </c>
      <c r="G801" s="17" t="b">
        <v>0</v>
      </c>
      <c r="H801" s="16" t="b">
        <v>0</v>
      </c>
      <c r="I801" s="28"/>
      <c r="J801" s="4" t="str">
        <f t="shared" si="56"/>
        <v/>
      </c>
      <c r="K801" s="4" t="str">
        <f ca="1">IF(AND(F801&lt;&gt;"", L801&lt;&gt;""), NETWORKDAYS(TODAY(), L801-1, FESTIVOS!A$1:A$55), "")</f>
        <v/>
      </c>
      <c r="L801" s="9" t="str">
        <f>IF(AND(F801&lt;&gt;"", J801&lt;&gt;""), WORKDAY(F801, J801, FESTIVOS!A$1:A$55), "")</f>
        <v/>
      </c>
      <c r="M801" s="16" t="s">
        <v>1199</v>
      </c>
      <c r="N801" s="4" t="b">
        <v>0</v>
      </c>
      <c r="O801" s="4" t="str">
        <f t="shared" ca="1" si="52"/>
        <v/>
      </c>
      <c r="P801" s="4" t="s">
        <v>1435</v>
      </c>
      <c r="Q801" s="9" t="b">
        <v>0</v>
      </c>
      <c r="R801" s="12" t="b">
        <v>0</v>
      </c>
    </row>
    <row r="802" spans="1:18" x14ac:dyDescent="0.25">
      <c r="A802" s="14" t="s">
        <v>16</v>
      </c>
      <c r="B802" s="15" t="s">
        <v>1244</v>
      </c>
      <c r="C802" s="16" t="s">
        <v>1244</v>
      </c>
      <c r="D802" s="16" t="s">
        <v>1459</v>
      </c>
      <c r="E802" s="16">
        <v>801</v>
      </c>
      <c r="F802" s="17" t="s">
        <v>1457</v>
      </c>
      <c r="G802" s="17" t="b">
        <v>0</v>
      </c>
      <c r="H802" s="16" t="b">
        <v>0</v>
      </c>
      <c r="I802" s="29" t="b">
        <v>0</v>
      </c>
      <c r="J802" s="4">
        <f t="shared" si="56"/>
        <v>15</v>
      </c>
      <c r="K802" s="4">
        <f ca="1">IF(AND(F802&lt;&gt;"", L802&lt;&gt;""), NETWORKDAYS(TODAY(), L802-1, FESTIVOS!A$1:A$55), "")</f>
        <v>-10</v>
      </c>
      <c r="L802" s="9">
        <f>IF(AND(F802&lt;&gt;"", J802&lt;&gt;""), WORKDAY(F802, J802, FESTIVOS!A$1:A$55), "")</f>
        <v>46177</v>
      </c>
      <c r="M802" s="16" t="s">
        <v>1199</v>
      </c>
      <c r="N802" s="16" t="b">
        <v>0</v>
      </c>
      <c r="O802" s="4" t="str">
        <f t="shared" ca="1" si="52"/>
        <v>Vencido</v>
      </c>
      <c r="P802" s="16" t="s">
        <v>1460</v>
      </c>
      <c r="Q802" s="17" t="b">
        <v>0</v>
      </c>
      <c r="R802" s="18" t="b">
        <v>0</v>
      </c>
    </row>
    <row r="803" spans="1:18" x14ac:dyDescent="0.25">
      <c r="A803" s="14" t="s">
        <v>16</v>
      </c>
      <c r="B803" s="7" t="b">
        <v>0</v>
      </c>
      <c r="C803" s="4" t="b">
        <v>0</v>
      </c>
      <c r="D803" s="4" t="b">
        <v>0</v>
      </c>
      <c r="E803" s="16">
        <v>802</v>
      </c>
      <c r="F803" s="9" t="b">
        <v>0</v>
      </c>
      <c r="G803" s="17" t="b">
        <v>0</v>
      </c>
      <c r="H803" s="16" t="b">
        <v>0</v>
      </c>
      <c r="I803" s="28" t="b">
        <v>0</v>
      </c>
      <c r="J803" s="4">
        <f t="shared" si="56"/>
        <v>15</v>
      </c>
      <c r="K803" s="4" t="e">
        <f ca="1">IF(AND(F803&lt;&gt;"", L803&lt;&gt;""), NETWORKDAYS(TODAY(), L803-1, FESTIVOS!A$1:A$55), "")</f>
        <v>#VALUE!</v>
      </c>
      <c r="L803" s="9" t="e">
        <f>IF(AND(F803&lt;&gt;"", J803&lt;&gt;""), WORKDAY(F803, J803, FESTIVOS!A$1:A$55), "")</f>
        <v>#VALUE!</v>
      </c>
      <c r="M803" s="16" t="s">
        <v>1199</v>
      </c>
      <c r="N803" s="4" t="b">
        <v>0</v>
      </c>
      <c r="O803" s="4" t="e">
        <f t="shared" ca="1" si="52"/>
        <v>#VALUE!</v>
      </c>
      <c r="P803" s="4" t="s">
        <v>37</v>
      </c>
      <c r="Q803" s="9" t="b">
        <v>0</v>
      </c>
      <c r="R803" s="12" t="b">
        <v>0</v>
      </c>
    </row>
    <row r="804" spans="1:18" x14ac:dyDescent="0.25">
      <c r="A804" s="14" t="s">
        <v>16</v>
      </c>
      <c r="B804" s="7" t="b">
        <v>0</v>
      </c>
      <c r="C804" s="4" t="b">
        <v>0</v>
      </c>
      <c r="D804" s="4" t="b">
        <v>0</v>
      </c>
      <c r="E804" s="16">
        <v>803</v>
      </c>
      <c r="F804" s="9" t="b">
        <v>0</v>
      </c>
      <c r="G804" s="17" t="b">
        <v>0</v>
      </c>
      <c r="H804" s="16" t="b">
        <v>0</v>
      </c>
      <c r="I804" s="28" t="b">
        <v>0</v>
      </c>
      <c r="J804" s="4">
        <f t="shared" si="56"/>
        <v>15</v>
      </c>
      <c r="K804" s="4" t="e">
        <f ca="1">IF(AND(F804&lt;&gt;"", L804&lt;&gt;""), NETWORKDAYS(TODAY(), L804-1, FESTIVOS!A$1:A$55), "")</f>
        <v>#VALUE!</v>
      </c>
      <c r="L804" s="9" t="e">
        <f>IF(AND(F804&lt;&gt;"", J804&lt;&gt;""), WORKDAY(F804, J804, FESTIVOS!A$1:A$55), "")</f>
        <v>#VALUE!</v>
      </c>
      <c r="M804" s="16" t="s">
        <v>1199</v>
      </c>
      <c r="N804" s="4" t="b">
        <v>0</v>
      </c>
      <c r="O804" s="4" t="e">
        <f t="shared" ca="1" si="52"/>
        <v>#VALUE!</v>
      </c>
      <c r="P804" s="4" t="s">
        <v>1461</v>
      </c>
      <c r="Q804" s="9" t="b">
        <v>0</v>
      </c>
      <c r="R804" s="12" t="b">
        <v>0</v>
      </c>
    </row>
    <row r="805" spans="1:18" x14ac:dyDescent="0.25">
      <c r="A805" s="14" t="s">
        <v>16</v>
      </c>
      <c r="B805" s="7" t="b">
        <v>0</v>
      </c>
      <c r="C805" s="4" t="b">
        <v>0</v>
      </c>
      <c r="D805" s="4" t="b">
        <v>0</v>
      </c>
      <c r="E805" s="16">
        <v>804</v>
      </c>
      <c r="F805" s="9" t="b">
        <v>0</v>
      </c>
      <c r="G805" s="17" t="b">
        <v>0</v>
      </c>
      <c r="H805" s="16" t="b">
        <v>0</v>
      </c>
      <c r="I805" s="28"/>
      <c r="J805" s="4">
        <f t="shared" si="56"/>
        <v>15</v>
      </c>
      <c r="K805" s="4" t="e">
        <f ca="1">IF(AND(F805&lt;&gt;"", L805&lt;&gt;""), NETWORKDAYS(TODAY(), L805-1, FESTIVOS!A$1:A$55), "")</f>
        <v>#VALUE!</v>
      </c>
      <c r="L805" s="9" t="e">
        <f>IF(AND(F805&lt;&gt;"", J805&lt;&gt;""), WORKDAY(F805, J805, FESTIVOS!A$1:A$55), "")</f>
        <v>#VALUE!</v>
      </c>
      <c r="M805" s="16" t="s">
        <v>1199</v>
      </c>
      <c r="N805" s="4" t="b">
        <v>0</v>
      </c>
      <c r="O805" s="4" t="e">
        <f t="shared" ca="1" si="52"/>
        <v>#VALUE!</v>
      </c>
      <c r="P805" s="4" t="s">
        <v>37</v>
      </c>
      <c r="Q805" s="9" t="b">
        <v>0</v>
      </c>
      <c r="R805" s="12" t="b">
        <v>0</v>
      </c>
    </row>
    <row r="806" spans="1:18" x14ac:dyDescent="0.25">
      <c r="A806" s="14" t="s">
        <v>16</v>
      </c>
      <c r="B806" s="7" t="b">
        <v>0</v>
      </c>
      <c r="C806" s="4" t="b">
        <v>0</v>
      </c>
      <c r="D806" s="4" t="b">
        <v>0</v>
      </c>
      <c r="E806" s="16">
        <v>805</v>
      </c>
      <c r="F806" s="9" t="b">
        <v>0</v>
      </c>
      <c r="G806" s="17" t="b">
        <v>0</v>
      </c>
      <c r="H806" s="16" t="b">
        <v>0</v>
      </c>
      <c r="I806" s="28"/>
      <c r="J806" s="4">
        <f t="shared" si="56"/>
        <v>15</v>
      </c>
      <c r="K806" s="4" t="e">
        <f ca="1">IF(AND(F806&lt;&gt;"", L806&lt;&gt;""), NETWORKDAYS(TODAY(), L806-1, FESTIVOS!A$1:A$55), "")</f>
        <v>#VALUE!</v>
      </c>
      <c r="L806" s="9" t="e">
        <f>IF(AND(F806&lt;&gt;"", J806&lt;&gt;""), WORKDAY(F806, J806, FESTIVOS!A$1:A$55), "")</f>
        <v>#VALUE!</v>
      </c>
      <c r="M806" s="16" t="s">
        <v>1199</v>
      </c>
      <c r="N806" s="4" t="b">
        <v>0</v>
      </c>
      <c r="O806" s="4" t="e">
        <f t="shared" ca="1" si="52"/>
        <v>#VALUE!</v>
      </c>
      <c r="P806" s="4" t="s">
        <v>37</v>
      </c>
      <c r="Q806" s="9" t="b">
        <v>0</v>
      </c>
      <c r="R806" s="12" t="b">
        <v>0</v>
      </c>
    </row>
    <row r="807" spans="1:18" x14ac:dyDescent="0.25">
      <c r="A807" s="14" t="s">
        <v>16</v>
      </c>
      <c r="B807" s="7" t="b">
        <v>0</v>
      </c>
      <c r="C807" s="4" t="b">
        <v>0</v>
      </c>
      <c r="D807" s="4" t="b">
        <v>0</v>
      </c>
      <c r="E807" s="16">
        <v>806</v>
      </c>
      <c r="F807" s="9" t="b">
        <v>0</v>
      </c>
      <c r="G807" s="17" t="b">
        <v>0</v>
      </c>
      <c r="H807" s="16" t="b">
        <v>0</v>
      </c>
      <c r="I807" s="28"/>
      <c r="J807" s="4">
        <f t="shared" si="56"/>
        <v>15</v>
      </c>
      <c r="K807" s="4" t="e">
        <f ca="1">IF(AND(F807&lt;&gt;"", L807&lt;&gt;""), NETWORKDAYS(TODAY(), L807-1, FESTIVOS!A$1:A$55), "")</f>
        <v>#VALUE!</v>
      </c>
      <c r="L807" s="9" t="e">
        <f>IF(AND(F807&lt;&gt;"", J807&lt;&gt;""), WORKDAY(F807, J807, FESTIVOS!A$1:A$55), "")</f>
        <v>#VALUE!</v>
      </c>
      <c r="M807" s="16" t="s">
        <v>1199</v>
      </c>
      <c r="N807" s="4" t="b">
        <v>0</v>
      </c>
      <c r="O807" s="4" t="e">
        <f t="shared" ca="1" si="52"/>
        <v>#VALUE!</v>
      </c>
      <c r="P807" s="4" t="s">
        <v>37</v>
      </c>
      <c r="Q807" s="9" t="b">
        <v>0</v>
      </c>
      <c r="R807" s="12" t="b">
        <v>0</v>
      </c>
    </row>
    <row r="808" spans="1:18" x14ac:dyDescent="0.25">
      <c r="A808" s="14" t="s">
        <v>16</v>
      </c>
      <c r="B808" s="7" t="b">
        <v>0</v>
      </c>
      <c r="C808" s="4" t="b">
        <v>0</v>
      </c>
      <c r="D808" s="4" t="b">
        <v>0</v>
      </c>
      <c r="E808" s="16">
        <v>807</v>
      </c>
      <c r="F808" s="9" t="b">
        <v>0</v>
      </c>
      <c r="G808" s="17" t="b">
        <v>0</v>
      </c>
      <c r="H808" s="16" t="b">
        <v>0</v>
      </c>
      <c r="I808" s="28"/>
      <c r="J808" s="4">
        <f t="shared" si="56"/>
        <v>15</v>
      </c>
      <c r="K808" s="4" t="e">
        <f ca="1">IF(AND(F808&lt;&gt;"", L808&lt;&gt;""), NETWORKDAYS(TODAY(), L808-1, FESTIVOS!A$1:A$55), "")</f>
        <v>#VALUE!</v>
      </c>
      <c r="L808" s="9" t="e">
        <f>IF(AND(F808&lt;&gt;"", J808&lt;&gt;""), WORKDAY(F808, J808, FESTIVOS!A$1:A$55), "")</f>
        <v>#VALUE!</v>
      </c>
      <c r="M808" s="16" t="s">
        <v>1199</v>
      </c>
      <c r="N808" s="4" t="b">
        <v>0</v>
      </c>
      <c r="O808" s="4" t="e">
        <f t="shared" ca="1" si="52"/>
        <v>#VALUE!</v>
      </c>
      <c r="P808" s="4" t="s">
        <v>37</v>
      </c>
      <c r="Q808" s="9" t="b">
        <v>0</v>
      </c>
      <c r="R808" s="12" t="b">
        <v>0</v>
      </c>
    </row>
    <row r="809" spans="1:18" x14ac:dyDescent="0.25">
      <c r="A809" s="14" t="s">
        <v>16</v>
      </c>
      <c r="B809" s="7" t="b">
        <v>0</v>
      </c>
      <c r="C809" s="4" t="b">
        <v>0</v>
      </c>
      <c r="D809" s="4" t="b">
        <v>0</v>
      </c>
      <c r="E809" s="16">
        <v>808</v>
      </c>
      <c r="F809" s="9" t="b">
        <v>0</v>
      </c>
      <c r="G809" s="17" t="b">
        <v>0</v>
      </c>
      <c r="H809" s="16" t="b">
        <v>0</v>
      </c>
      <c r="I809" s="28"/>
      <c r="J809" s="4">
        <f t="shared" si="56"/>
        <v>15</v>
      </c>
      <c r="K809" s="4" t="e">
        <f ca="1">IF(AND(F809&lt;&gt;"", L809&lt;&gt;""), NETWORKDAYS(TODAY(), L809-1, FESTIVOS!A$1:A$55), "")</f>
        <v>#VALUE!</v>
      </c>
      <c r="L809" s="9" t="e">
        <f>IF(AND(F809&lt;&gt;"", J809&lt;&gt;""), WORKDAY(F809, J809, FESTIVOS!A$1:A$55), "")</f>
        <v>#VALUE!</v>
      </c>
      <c r="M809" s="16" t="s">
        <v>1199</v>
      </c>
      <c r="N809" s="4" t="b">
        <v>0</v>
      </c>
      <c r="O809" s="4" t="e">
        <f t="shared" ca="1" si="52"/>
        <v>#VALUE!</v>
      </c>
      <c r="P809" s="4" t="s">
        <v>1462</v>
      </c>
      <c r="Q809" s="9" t="b">
        <v>0</v>
      </c>
      <c r="R809" s="12" t="b">
        <v>0</v>
      </c>
    </row>
    <row r="810" spans="1:18" x14ac:dyDescent="0.25">
      <c r="A810" s="14" t="s">
        <v>16</v>
      </c>
      <c r="B810" s="7" t="b">
        <v>0</v>
      </c>
      <c r="C810" s="4" t="b">
        <v>0</v>
      </c>
      <c r="D810" s="4" t="b">
        <v>0</v>
      </c>
      <c r="E810" s="16">
        <v>809</v>
      </c>
      <c r="F810" s="9" t="b">
        <v>0</v>
      </c>
      <c r="G810" s="17" t="b">
        <v>0</v>
      </c>
      <c r="H810" s="16" t="b">
        <v>0</v>
      </c>
      <c r="I810" s="28"/>
      <c r="J810" s="4">
        <f t="shared" si="56"/>
        <v>15</v>
      </c>
      <c r="K810" s="4" t="e">
        <f ca="1">IF(AND(F810&lt;&gt;"", L810&lt;&gt;""), NETWORKDAYS(TODAY(), L810-1, FESTIVOS!A$1:A$55), "")</f>
        <v>#VALUE!</v>
      </c>
      <c r="L810" s="9" t="e">
        <f>IF(AND(F810&lt;&gt;"", J810&lt;&gt;""), WORKDAY(F810, J810, FESTIVOS!A$1:A$55), "")</f>
        <v>#VALUE!</v>
      </c>
      <c r="M810" s="16" t="s">
        <v>1199</v>
      </c>
      <c r="N810" s="4" t="b">
        <v>0</v>
      </c>
      <c r="O810" s="4" t="e">
        <f t="shared" ca="1" si="52"/>
        <v>#VALUE!</v>
      </c>
      <c r="P810" s="4" t="s">
        <v>1463</v>
      </c>
      <c r="Q810" s="9">
        <v>46177</v>
      </c>
      <c r="R810" s="12" t="b">
        <v>0</v>
      </c>
    </row>
    <row r="811" spans="1:18" x14ac:dyDescent="0.25">
      <c r="A811" s="14" t="s">
        <v>16</v>
      </c>
      <c r="B811" s="7" t="b">
        <v>0</v>
      </c>
      <c r="C811" s="4" t="b">
        <v>0</v>
      </c>
      <c r="D811" s="4" t="b">
        <v>0</v>
      </c>
      <c r="E811" s="16">
        <v>810</v>
      </c>
      <c r="F811" s="9" t="b">
        <v>0</v>
      </c>
      <c r="G811" s="17" t="b">
        <v>0</v>
      </c>
      <c r="H811" s="16" t="b">
        <v>0</v>
      </c>
      <c r="I811" s="28"/>
      <c r="J811" s="4">
        <f t="shared" si="56"/>
        <v>15</v>
      </c>
      <c r="K811" s="4" t="e">
        <f ca="1">IF(AND(F811&lt;&gt;"", L811&lt;&gt;""), NETWORKDAYS(TODAY(), L811-1, FESTIVOS!A$1:A$55), "")</f>
        <v>#VALUE!</v>
      </c>
      <c r="L811" s="9" t="e">
        <f>IF(AND(F811&lt;&gt;"", J811&lt;&gt;""), WORKDAY(F811, J811, FESTIVOS!A$1:A$55), "")</f>
        <v>#VALUE!</v>
      </c>
      <c r="M811" s="16" t="s">
        <v>1199</v>
      </c>
      <c r="N811" s="4" t="b">
        <v>0</v>
      </c>
      <c r="O811" s="4" t="e">
        <f t="shared" ca="1" si="52"/>
        <v>#VALUE!</v>
      </c>
      <c r="P811" s="4" t="s">
        <v>1463</v>
      </c>
      <c r="Q811" s="9">
        <v>46177</v>
      </c>
      <c r="R811" s="12" t="b">
        <v>0</v>
      </c>
    </row>
    <row r="812" spans="1:18" x14ac:dyDescent="0.25">
      <c r="A812" s="14" t="s">
        <v>16</v>
      </c>
      <c r="B812" s="7" t="b">
        <v>0</v>
      </c>
      <c r="C812" s="4" t="b">
        <v>0</v>
      </c>
      <c r="D812" s="4" t="b">
        <v>0</v>
      </c>
      <c r="E812" s="16">
        <v>811</v>
      </c>
      <c r="F812" s="9" t="b">
        <v>0</v>
      </c>
      <c r="G812" s="17" t="b">
        <v>0</v>
      </c>
      <c r="H812" s="16" t="b">
        <v>0</v>
      </c>
      <c r="I812" s="28"/>
      <c r="J812" s="4">
        <f t="shared" si="56"/>
        <v>15</v>
      </c>
      <c r="K812" s="4" t="e">
        <f ca="1">IF(AND(F812&lt;&gt;"", L812&lt;&gt;""), NETWORKDAYS(TODAY(), L812-1, FESTIVOS!A$1:A$55), "")</f>
        <v>#VALUE!</v>
      </c>
      <c r="L812" s="9" t="e">
        <f>IF(AND(F812&lt;&gt;"", J812&lt;&gt;""), WORKDAY(F812, J812, FESTIVOS!A$1:A$55), "")</f>
        <v>#VALUE!</v>
      </c>
      <c r="M812" s="16" t="s">
        <v>1199</v>
      </c>
      <c r="N812" s="4" t="b">
        <v>0</v>
      </c>
      <c r="O812" s="4" t="e">
        <f t="shared" ca="1" si="52"/>
        <v>#VALUE!</v>
      </c>
      <c r="P812" s="4" t="s">
        <v>1463</v>
      </c>
      <c r="Q812" s="9">
        <v>46177</v>
      </c>
      <c r="R812" s="12" t="b">
        <v>0</v>
      </c>
    </row>
    <row r="813" spans="1:18" x14ac:dyDescent="0.25">
      <c r="A813" s="14" t="s">
        <v>16</v>
      </c>
      <c r="B813" s="7" t="b">
        <v>0</v>
      </c>
      <c r="C813" s="4" t="b">
        <v>0</v>
      </c>
      <c r="D813" s="4" t="b">
        <v>0</v>
      </c>
      <c r="E813" s="16">
        <v>812</v>
      </c>
      <c r="F813" s="9" t="b">
        <v>0</v>
      </c>
      <c r="G813" s="17" t="b">
        <v>0</v>
      </c>
      <c r="H813" s="16" t="b">
        <v>0</v>
      </c>
      <c r="I813" s="28"/>
      <c r="J813" s="4">
        <f t="shared" si="56"/>
        <v>15</v>
      </c>
      <c r="K813" s="4" t="e">
        <f ca="1">IF(AND(F813&lt;&gt;"", L813&lt;&gt;""), NETWORKDAYS(TODAY(), L813-1, FESTIVOS!A$1:A$55), "")</f>
        <v>#VALUE!</v>
      </c>
      <c r="L813" s="9" t="e">
        <f>IF(AND(F813&lt;&gt;"", J813&lt;&gt;""), WORKDAY(F813, J813, FESTIVOS!A$1:A$55), "")</f>
        <v>#VALUE!</v>
      </c>
      <c r="M813" s="16" t="s">
        <v>1199</v>
      </c>
      <c r="N813" s="4" t="b">
        <v>0</v>
      </c>
      <c r="O813" s="4" t="e">
        <f t="shared" ca="1" si="52"/>
        <v>#VALUE!</v>
      </c>
      <c r="P813" s="4" t="s">
        <v>1463</v>
      </c>
      <c r="Q813" s="9">
        <v>46177</v>
      </c>
      <c r="R813" s="12" t="b">
        <v>0</v>
      </c>
    </row>
    <row r="814" spans="1:18" x14ac:dyDescent="0.25">
      <c r="A814" s="14" t="s">
        <v>16</v>
      </c>
      <c r="B814" s="7" t="b">
        <v>0</v>
      </c>
      <c r="C814" s="4" t="b">
        <v>0</v>
      </c>
      <c r="D814" s="4" t="b">
        <v>0</v>
      </c>
      <c r="E814" s="16">
        <v>813</v>
      </c>
      <c r="F814" s="9" t="b">
        <v>0</v>
      </c>
      <c r="G814" s="17" t="b">
        <v>0</v>
      </c>
      <c r="H814" s="16" t="b">
        <v>0</v>
      </c>
      <c r="I814" s="28" t="s">
        <v>66</v>
      </c>
      <c r="J814" s="4">
        <f t="shared" si="56"/>
        <v>15</v>
      </c>
      <c r="K814" s="4" t="e">
        <f ca="1">IF(AND(F814&lt;&gt;"", L814&lt;&gt;""), NETWORKDAYS(TODAY(), L814-1, FESTIVOS!A$1:A$55), "")</f>
        <v>#VALUE!</v>
      </c>
      <c r="L814" s="9" t="e">
        <f>IF(AND(F814&lt;&gt;"", J814&lt;&gt;""), WORKDAY(F814, J814, FESTIVOS!A$1:A$55), "")</f>
        <v>#VALUE!</v>
      </c>
      <c r="M814" s="16" t="s">
        <v>1199</v>
      </c>
      <c r="N814" s="4" t="b">
        <v>0</v>
      </c>
      <c r="O814" s="4" t="e">
        <f t="shared" ca="1" si="52"/>
        <v>#VALUE!</v>
      </c>
      <c r="P814" s="4" t="s">
        <v>1464</v>
      </c>
      <c r="Q814" s="9" t="b">
        <v>0</v>
      </c>
      <c r="R814" s="12" t="b">
        <v>0</v>
      </c>
    </row>
    <row r="815" spans="1:18" x14ac:dyDescent="0.25">
      <c r="A815" s="14" t="s">
        <v>16</v>
      </c>
      <c r="B815" s="7" t="b">
        <v>0</v>
      </c>
      <c r="C815" s="4" t="b">
        <v>0</v>
      </c>
      <c r="D815" s="4" t="b">
        <v>0</v>
      </c>
      <c r="E815" s="16">
        <v>814</v>
      </c>
      <c r="F815" s="9" t="b">
        <v>0</v>
      </c>
      <c r="G815" s="17" t="b">
        <v>0</v>
      </c>
      <c r="H815" s="16" t="b">
        <v>0</v>
      </c>
      <c r="I815" s="28" t="s">
        <v>66</v>
      </c>
      <c r="J815" s="4">
        <f t="shared" si="56"/>
        <v>15</v>
      </c>
      <c r="K815" s="4" t="e">
        <f ca="1">IF(AND(F815&lt;&gt;"", L815&lt;&gt;""), NETWORKDAYS(TODAY(), L815-1, FESTIVOS!A$1:A$55), "")</f>
        <v>#VALUE!</v>
      </c>
      <c r="L815" s="9" t="e">
        <f>IF(AND(F815&lt;&gt;"", J815&lt;&gt;""), WORKDAY(F815, J815, FESTIVOS!A$1:A$55), "")</f>
        <v>#VALUE!</v>
      </c>
      <c r="M815" s="16" t="s">
        <v>1199</v>
      </c>
      <c r="N815" s="4" t="b">
        <v>0</v>
      </c>
      <c r="O815" s="4" t="e">
        <f t="shared" ca="1" si="52"/>
        <v>#VALUE!</v>
      </c>
      <c r="P815" s="4" t="s">
        <v>1465</v>
      </c>
      <c r="Q815" s="9" t="b">
        <v>0</v>
      </c>
      <c r="R815" s="12" t="b">
        <v>0</v>
      </c>
    </row>
    <row r="816" spans="1:18" x14ac:dyDescent="0.25">
      <c r="A816" s="14" t="s">
        <v>16</v>
      </c>
      <c r="B816" s="7" t="b">
        <v>0</v>
      </c>
      <c r="C816" s="4" t="b">
        <v>0</v>
      </c>
      <c r="D816" s="4" t="b">
        <v>0</v>
      </c>
      <c r="E816" s="16">
        <v>815</v>
      </c>
      <c r="F816" s="9" t="b">
        <v>0</v>
      </c>
      <c r="G816" s="17" t="b">
        <v>0</v>
      </c>
      <c r="H816" s="16" t="b">
        <v>0</v>
      </c>
      <c r="I816" s="28" t="s">
        <v>20</v>
      </c>
      <c r="J816" s="4">
        <f t="shared" si="56"/>
        <v>15</v>
      </c>
      <c r="K816" s="4" t="e">
        <f ca="1">IF(AND(F816&lt;&gt;"", L816&lt;&gt;""), NETWORKDAYS(TODAY(), L816-1, FESTIVOS!A$1:A$55), "")</f>
        <v>#VALUE!</v>
      </c>
      <c r="L816" s="9" t="e">
        <f>IF(AND(F816&lt;&gt;"", J816&lt;&gt;""), WORKDAY(F816, J816, FESTIVOS!A$1:A$55), "")</f>
        <v>#VALUE!</v>
      </c>
      <c r="M816" s="16" t="s">
        <v>1199</v>
      </c>
      <c r="N816" s="4" t="b">
        <v>0</v>
      </c>
      <c r="O816" s="4" t="e">
        <f t="shared" ca="1" si="52"/>
        <v>#VALUE!</v>
      </c>
      <c r="P816" s="4" t="s">
        <v>1466</v>
      </c>
      <c r="Q816" s="9" t="b">
        <v>0</v>
      </c>
      <c r="R816" s="12" t="b">
        <v>0</v>
      </c>
    </row>
    <row r="817" spans="1:18" x14ac:dyDescent="0.25">
      <c r="A817" s="14" t="s">
        <v>16</v>
      </c>
      <c r="B817" s="15" t="s">
        <v>1467</v>
      </c>
      <c r="C817" s="16" t="s">
        <v>1467</v>
      </c>
      <c r="D817" s="16" t="s">
        <v>1468</v>
      </c>
      <c r="E817" s="16">
        <v>816</v>
      </c>
      <c r="F817" s="17" t="s">
        <v>1469</v>
      </c>
      <c r="G817" s="17" t="b">
        <v>0</v>
      </c>
      <c r="H817" s="16" t="b">
        <v>0</v>
      </c>
      <c r="I817" s="29" t="b">
        <v>0</v>
      </c>
      <c r="J817" s="4">
        <f t="shared" si="56"/>
        <v>15</v>
      </c>
      <c r="K817" s="4">
        <f ca="1">IF(AND(F817&lt;&gt;"", L817&lt;&gt;""), NETWORKDAYS(TODAY(), L817-1, FESTIVOS!A$1:A$55), "")</f>
        <v>-9</v>
      </c>
      <c r="L817" s="9">
        <f>IF(AND(F817&lt;&gt;"", J817&lt;&gt;""), WORKDAY(F817, J817, FESTIVOS!A$1:A$55), "")</f>
        <v>46178</v>
      </c>
      <c r="M817" s="16" t="s">
        <v>1199</v>
      </c>
      <c r="N817" s="16" t="b">
        <v>0</v>
      </c>
      <c r="O817" s="4" t="str">
        <f t="shared" ref="O817:O822" ca="1" si="59">IF(OR(K817="", J817=""), "", IF(K817&lt;0, "Vencido", IF(K817&gt;(J817/2), "Supere la mitad", "Bajo la mitad")))</f>
        <v>Vencido</v>
      </c>
      <c r="P817" s="16" t="s">
        <v>1470</v>
      </c>
      <c r="Q817" s="17" t="b">
        <v>0</v>
      </c>
      <c r="R817" s="18" t="b">
        <v>0</v>
      </c>
    </row>
    <row r="818" spans="1:18" x14ac:dyDescent="0.25">
      <c r="A818" s="14" t="s">
        <v>16</v>
      </c>
      <c r="B818" s="7" t="b">
        <v>0</v>
      </c>
      <c r="C818" s="4" t="b">
        <v>0</v>
      </c>
      <c r="D818" s="4" t="b">
        <v>0</v>
      </c>
      <c r="E818" s="16">
        <v>817</v>
      </c>
      <c r="F818" s="9" t="b">
        <v>0</v>
      </c>
      <c r="G818" s="17" t="b">
        <v>0</v>
      </c>
      <c r="H818" s="16" t="b">
        <v>0</v>
      </c>
      <c r="I818" s="28"/>
      <c r="J818" s="4">
        <f t="shared" si="56"/>
        <v>15</v>
      </c>
      <c r="K818" s="4" t="e">
        <f ca="1">IF(AND(F818&lt;&gt;"", L818&lt;&gt;""), NETWORKDAYS(TODAY(), L818-1, FESTIVOS!A$1:A$55), "")</f>
        <v>#VALUE!</v>
      </c>
      <c r="L818" s="9" t="e">
        <f>IF(AND(F818&lt;&gt;"", J818&lt;&gt;""), WORKDAY(F818, J818, FESTIVOS!A$1:A$55), "")</f>
        <v>#VALUE!</v>
      </c>
      <c r="M818" s="16" t="s">
        <v>1199</v>
      </c>
      <c r="N818" s="4" t="b">
        <v>0</v>
      </c>
      <c r="O818" s="4" t="e">
        <f t="shared" ca="1" si="59"/>
        <v>#VALUE!</v>
      </c>
      <c r="P818" s="4" t="s">
        <v>37</v>
      </c>
      <c r="Q818" s="9" t="b">
        <v>0</v>
      </c>
      <c r="R818" s="12" t="b">
        <v>0</v>
      </c>
    </row>
    <row r="819" spans="1:18" x14ac:dyDescent="0.25">
      <c r="A819" s="14" t="s">
        <v>16</v>
      </c>
      <c r="B819" s="7" t="b">
        <v>0</v>
      </c>
      <c r="C819" s="4" t="b">
        <v>0</v>
      </c>
      <c r="D819" s="4" t="b">
        <v>0</v>
      </c>
      <c r="E819" s="16">
        <v>818</v>
      </c>
      <c r="F819" s="9" t="b">
        <v>0</v>
      </c>
      <c r="G819" s="17" t="b">
        <v>0</v>
      </c>
      <c r="H819" s="16" t="b">
        <v>0</v>
      </c>
      <c r="I819" s="28"/>
      <c r="J819" s="4">
        <f t="shared" si="56"/>
        <v>15</v>
      </c>
      <c r="K819" s="4" t="e">
        <f ca="1">IF(AND(F819&lt;&gt;"", L819&lt;&gt;""), NETWORKDAYS(TODAY(), L819-1, FESTIVOS!A$1:A$55), "")</f>
        <v>#VALUE!</v>
      </c>
      <c r="L819" s="9" t="e">
        <f>IF(AND(F819&lt;&gt;"", J819&lt;&gt;""), WORKDAY(F819, J819, FESTIVOS!A$1:A$55), "")</f>
        <v>#VALUE!</v>
      </c>
      <c r="M819" s="16" t="s">
        <v>1199</v>
      </c>
      <c r="N819" s="4" t="b">
        <v>0</v>
      </c>
      <c r="O819" s="4" t="e">
        <f t="shared" ca="1" si="59"/>
        <v>#VALUE!</v>
      </c>
      <c r="P819" s="4" t="s">
        <v>1471</v>
      </c>
      <c r="Q819" s="9" t="b">
        <v>0</v>
      </c>
      <c r="R819" s="12" t="b">
        <v>0</v>
      </c>
    </row>
    <row r="820" spans="1:18" x14ac:dyDescent="0.25">
      <c r="A820" s="14" t="s">
        <v>16</v>
      </c>
      <c r="B820" s="7" t="b">
        <v>0</v>
      </c>
      <c r="C820" s="4" t="b">
        <v>0</v>
      </c>
      <c r="D820" s="4" t="b">
        <v>0</v>
      </c>
      <c r="E820" s="16">
        <v>819</v>
      </c>
      <c r="F820" s="9" t="b">
        <v>0</v>
      </c>
      <c r="G820" s="17" t="b">
        <v>0</v>
      </c>
      <c r="H820" s="16" t="b">
        <v>0</v>
      </c>
      <c r="I820" s="28"/>
      <c r="J820" s="4">
        <f t="shared" si="56"/>
        <v>15</v>
      </c>
      <c r="K820" s="4" t="e">
        <f ca="1">IF(AND(F820&lt;&gt;"", L820&lt;&gt;""), NETWORKDAYS(TODAY(), L820-1, FESTIVOS!A$1:A$55), "")</f>
        <v>#VALUE!</v>
      </c>
      <c r="L820" s="9" t="e">
        <f>IF(AND(F820&lt;&gt;"", J820&lt;&gt;""), WORKDAY(F820, J820, FESTIVOS!A$1:A$55), "")</f>
        <v>#VALUE!</v>
      </c>
      <c r="M820" s="16" t="s">
        <v>1199</v>
      </c>
      <c r="N820" s="4" t="b">
        <v>0</v>
      </c>
      <c r="O820" s="4" t="e">
        <f t="shared" ca="1" si="59"/>
        <v>#VALUE!</v>
      </c>
      <c r="P820" s="4" t="s">
        <v>1472</v>
      </c>
      <c r="Q820" s="9" t="b">
        <v>0</v>
      </c>
      <c r="R820" s="12" t="b">
        <v>0</v>
      </c>
    </row>
    <row r="821" spans="1:18" x14ac:dyDescent="0.25">
      <c r="A821" s="14" t="s">
        <v>16</v>
      </c>
      <c r="B821" s="7" t="b">
        <v>0</v>
      </c>
      <c r="C821" s="4" t="b">
        <v>0</v>
      </c>
      <c r="D821" s="4" t="b">
        <v>0</v>
      </c>
      <c r="E821" s="16">
        <v>820</v>
      </c>
      <c r="F821" s="9" t="b">
        <v>0</v>
      </c>
      <c r="G821" s="17" t="b">
        <v>0</v>
      </c>
      <c r="H821" s="16" t="b">
        <v>0</v>
      </c>
      <c r="I821" s="28"/>
      <c r="J821" s="4">
        <f t="shared" si="56"/>
        <v>15</v>
      </c>
      <c r="K821" s="4" t="e">
        <f ca="1">IF(AND(F821&lt;&gt;"", L821&lt;&gt;""), NETWORKDAYS(TODAY(), L821-1, FESTIVOS!A$1:A$55), "")</f>
        <v>#VALUE!</v>
      </c>
      <c r="L821" s="9" t="e">
        <f>IF(AND(F821&lt;&gt;"", J821&lt;&gt;""), WORKDAY(F821, J821, FESTIVOS!A$1:A$55), "")</f>
        <v>#VALUE!</v>
      </c>
      <c r="M821" s="16" t="s">
        <v>1199</v>
      </c>
      <c r="N821" s="4" t="b">
        <v>0</v>
      </c>
      <c r="O821" s="4" t="e">
        <f t="shared" ca="1" si="59"/>
        <v>#VALUE!</v>
      </c>
      <c r="P821" s="4" t="s">
        <v>1473</v>
      </c>
      <c r="Q821" s="9" t="b">
        <v>0</v>
      </c>
      <c r="R821" s="12" t="b">
        <v>0</v>
      </c>
    </row>
    <row r="822" spans="1:18" x14ac:dyDescent="0.25">
      <c r="A822" s="14" t="s">
        <v>16</v>
      </c>
      <c r="B822" s="7" t="b">
        <v>0</v>
      </c>
      <c r="C822" s="4" t="b">
        <v>0</v>
      </c>
      <c r="D822" s="4" t="b">
        <v>0</v>
      </c>
      <c r="E822" s="16">
        <v>821</v>
      </c>
      <c r="F822" s="9" t="b">
        <v>0</v>
      </c>
      <c r="G822" s="17" t="b">
        <v>0</v>
      </c>
      <c r="H822" s="16" t="b">
        <v>0</v>
      </c>
      <c r="I822" s="28"/>
      <c r="J822" s="4">
        <f t="shared" si="56"/>
        <v>15</v>
      </c>
      <c r="K822" s="4" t="e">
        <f ca="1">IF(AND(F822&lt;&gt;"", L822&lt;&gt;""), NETWORKDAYS(TODAY(), L822-1, FESTIVOS!A$1:A$55), "")</f>
        <v>#VALUE!</v>
      </c>
      <c r="L822" s="9" t="e">
        <f>IF(AND(F822&lt;&gt;"", J822&lt;&gt;""), WORKDAY(F822, J822, FESTIVOS!A$1:A$55), "")</f>
        <v>#VALUE!</v>
      </c>
      <c r="M822" s="16" t="s">
        <v>1199</v>
      </c>
      <c r="N822" s="4" t="b">
        <v>0</v>
      </c>
      <c r="O822" s="4" t="e">
        <f t="shared" ca="1" si="59"/>
        <v>#VALUE!</v>
      </c>
      <c r="P822" s="4" t="s">
        <v>37</v>
      </c>
      <c r="Q822" s="9" t="b">
        <v>0</v>
      </c>
      <c r="R822" s="12" t="b">
        <v>0</v>
      </c>
    </row>
    <row r="823" spans="1:18" x14ac:dyDescent="0.25">
      <c r="A823" s="14" t="s">
        <v>16</v>
      </c>
      <c r="B823" s="7" t="b">
        <v>0</v>
      </c>
      <c r="C823" s="4" t="b">
        <v>0</v>
      </c>
      <c r="D823" s="4" t="b">
        <v>0</v>
      </c>
      <c r="E823" s="16">
        <v>822</v>
      </c>
      <c r="F823" s="9">
        <v>46157</v>
      </c>
      <c r="G823" s="17" t="b">
        <v>0</v>
      </c>
      <c r="H823" s="16" t="b">
        <v>0</v>
      </c>
      <c r="I823" s="28"/>
      <c r="J823" s="4">
        <f t="shared" ref="J823:J853" si="60">IF(A823="INFORMACIÓN O DOCUMENTOS", 10, IF(A823="CONSULTA", 30, IF(A823="FACTURACIÓN Y COBROS", 15, IF(A823="VINCULACIÓN Y DESVINCULACIÓN", 15, IF(A823="NO ES DE NUESTRA COMPETENCIA", 5, IF(A823="OTRO", 15, ""))))))</f>
        <v>15</v>
      </c>
      <c r="K823" s="4">
        <f ca="1">IF(AND(F823&lt;&gt;"", L823&lt;&gt;""), NETWORKDAYS(TODAY(), L823-1, FESTIVOS!A$1:A$55), "")</f>
        <v>-7</v>
      </c>
      <c r="L823" s="9">
        <f>IF(AND(F823&lt;&gt;"", J823&lt;&gt;""), WORKDAY(F823, J823, FESTIVOS!A$1:A$55), "")</f>
        <v>46182</v>
      </c>
      <c r="M823" s="16" t="s">
        <v>1199</v>
      </c>
      <c r="N823" s="4" t="b">
        <v>0</v>
      </c>
      <c r="O823" s="4" t="str">
        <f t="shared" ref="O823:O853" ca="1" si="61">IF(OR(K823="", J823=""), "", IF(K823&lt;0, "Vencido", IF(K823&gt;(J823/2), "Supere la mitad", "Bajo la mitad")))</f>
        <v>Vencido</v>
      </c>
      <c r="P823" s="4" t="s">
        <v>1462</v>
      </c>
      <c r="Q823" s="9" t="b">
        <v>0</v>
      </c>
      <c r="R823" s="12" t="b">
        <v>0</v>
      </c>
    </row>
    <row r="824" spans="1:18" x14ac:dyDescent="0.25">
      <c r="A824" s="14" t="s">
        <v>16</v>
      </c>
      <c r="B824" s="7" t="b">
        <v>0</v>
      </c>
      <c r="C824" s="4" t="b">
        <v>0</v>
      </c>
      <c r="D824" s="4" t="b">
        <v>0</v>
      </c>
      <c r="E824" s="16">
        <v>823</v>
      </c>
      <c r="F824" s="9" t="b">
        <v>0</v>
      </c>
      <c r="G824" s="17" t="b">
        <v>0</v>
      </c>
      <c r="H824" s="16" t="b">
        <v>0</v>
      </c>
      <c r="I824" s="28"/>
      <c r="J824" s="4">
        <f t="shared" si="60"/>
        <v>15</v>
      </c>
      <c r="K824" s="4" t="e">
        <f ca="1">IF(AND(F824&lt;&gt;"", L824&lt;&gt;""), NETWORKDAYS(TODAY(), L824-1, FESTIVOS!A$1:A$55), "")</f>
        <v>#VALUE!</v>
      </c>
      <c r="L824" s="9" t="e">
        <f>IF(AND(F824&lt;&gt;"", J824&lt;&gt;""), WORKDAY(F824, J824, FESTIVOS!A$1:A$55), "")</f>
        <v>#VALUE!</v>
      </c>
      <c r="M824" s="16" t="s">
        <v>1199</v>
      </c>
      <c r="N824" s="4" t="b">
        <v>0</v>
      </c>
      <c r="O824" s="4" t="e">
        <f t="shared" ca="1" si="61"/>
        <v>#VALUE!</v>
      </c>
      <c r="P824" s="4" t="s">
        <v>37</v>
      </c>
      <c r="Q824" s="9" t="b">
        <v>0</v>
      </c>
      <c r="R824" s="12" t="b">
        <v>0</v>
      </c>
    </row>
    <row r="825" spans="1:18" x14ac:dyDescent="0.25">
      <c r="A825" s="8" t="s">
        <v>16</v>
      </c>
      <c r="B825" s="7" t="s">
        <v>1474</v>
      </c>
      <c r="C825" s="4" t="s">
        <v>179</v>
      </c>
      <c r="D825" s="4" t="s">
        <v>1475</v>
      </c>
      <c r="E825" s="16">
        <v>824</v>
      </c>
      <c r="F825" s="9">
        <v>46161</v>
      </c>
      <c r="G825" s="17" t="b">
        <v>0</v>
      </c>
      <c r="H825" s="16">
        <v>0</v>
      </c>
      <c r="I825" s="28" t="s">
        <v>20</v>
      </c>
      <c r="J825" s="4">
        <f t="shared" si="60"/>
        <v>15</v>
      </c>
      <c r="K825" s="4">
        <f ca="1">IF(AND(F825&lt;&gt;"", L825&lt;&gt;""), NETWORKDAYS(TODAY(), L825-1, FESTIVOS!A$1:A$55), "")</f>
        <v>-7</v>
      </c>
      <c r="L825" s="9">
        <f>IF(AND(F825&lt;&gt;"", J825&lt;&gt;""), WORKDAY(F825, J825, FESTIVOS!A$1:A$55), "")</f>
        <v>46183</v>
      </c>
      <c r="M825" s="16" t="s">
        <v>1199</v>
      </c>
      <c r="N825" s="4" t="b">
        <v>0</v>
      </c>
      <c r="O825" s="4" t="str">
        <f t="shared" ca="1" si="61"/>
        <v>Vencido</v>
      </c>
      <c r="P825" s="4" t="s">
        <v>1476</v>
      </c>
      <c r="Q825" s="9" t="b">
        <v>0</v>
      </c>
      <c r="R825" s="12" t="b">
        <v>0</v>
      </c>
    </row>
    <row r="826" spans="1:18" x14ac:dyDescent="0.25">
      <c r="A826" s="8" t="s">
        <v>16</v>
      </c>
      <c r="B826" s="7" t="s">
        <v>281</v>
      </c>
      <c r="C826" s="4" t="s">
        <v>32</v>
      </c>
      <c r="D826" s="21" t="s">
        <v>1477</v>
      </c>
      <c r="E826" s="16">
        <v>825</v>
      </c>
      <c r="F826" s="9">
        <v>46161</v>
      </c>
      <c r="G826" s="17" t="b">
        <v>0</v>
      </c>
      <c r="H826" s="16">
        <v>0</v>
      </c>
      <c r="I826" s="28" t="s">
        <v>20</v>
      </c>
      <c r="J826" s="4">
        <f t="shared" si="60"/>
        <v>15</v>
      </c>
      <c r="K826" s="4">
        <f ca="1">IF(AND(F826&lt;&gt;"", L826&lt;&gt;""), NETWORKDAYS(TODAY(), L826-1, FESTIVOS!A$1:A$55), "")</f>
        <v>-7</v>
      </c>
      <c r="L826" s="9">
        <f>IF(AND(F826&lt;&gt;"", J826&lt;&gt;""), WORKDAY(F826, J826, FESTIVOS!A$1:A$55), "")</f>
        <v>46183</v>
      </c>
      <c r="M826" s="16" t="s">
        <v>1199</v>
      </c>
      <c r="N826" s="4" t="b">
        <v>0</v>
      </c>
      <c r="O826" s="4" t="str">
        <f t="shared" ca="1" si="61"/>
        <v>Vencido</v>
      </c>
      <c r="P826" s="4" t="s">
        <v>1478</v>
      </c>
      <c r="Q826" s="9" t="b">
        <v>0</v>
      </c>
      <c r="R826" s="12" t="b">
        <v>0</v>
      </c>
    </row>
    <row r="827" spans="1:18" x14ac:dyDescent="0.25">
      <c r="A827" s="8" t="s">
        <v>16</v>
      </c>
      <c r="B827" s="7" t="s">
        <v>1479</v>
      </c>
      <c r="C827" s="4" t="s">
        <v>25</v>
      </c>
      <c r="D827" s="4" t="s">
        <v>1039</v>
      </c>
      <c r="E827" s="16">
        <v>826</v>
      </c>
      <c r="F827" s="9">
        <v>46161</v>
      </c>
      <c r="G827" s="17" t="b">
        <v>0</v>
      </c>
      <c r="H827" s="16">
        <v>0</v>
      </c>
      <c r="I827" s="28" t="s">
        <v>20</v>
      </c>
      <c r="J827" s="4">
        <f t="shared" si="60"/>
        <v>15</v>
      </c>
      <c r="K827" s="4">
        <f ca="1">IF(AND(F827&lt;&gt;"", L827&lt;&gt;""), NETWORKDAYS(TODAY(), L827-1, FESTIVOS!A$1:A$55), "")</f>
        <v>-7</v>
      </c>
      <c r="L827" s="9">
        <f>IF(AND(F827&lt;&gt;"", J827&lt;&gt;""), WORKDAY(F827, J827, FESTIVOS!A$1:A$55), "")</f>
        <v>46183</v>
      </c>
      <c r="M827" s="16" t="s">
        <v>1199</v>
      </c>
      <c r="N827" s="4" t="b">
        <v>0</v>
      </c>
      <c r="O827" s="4" t="str">
        <f t="shared" ca="1" si="61"/>
        <v>Vencido</v>
      </c>
      <c r="P827" s="4" t="s">
        <v>1480</v>
      </c>
      <c r="Q827" s="9" t="b">
        <v>0</v>
      </c>
      <c r="R827" s="12" t="b">
        <v>0</v>
      </c>
    </row>
    <row r="828" spans="1:18" x14ac:dyDescent="0.25">
      <c r="A828" s="8" t="s">
        <v>16</v>
      </c>
      <c r="B828" s="7" t="b">
        <v>0</v>
      </c>
      <c r="C828" s="4" t="b">
        <v>0</v>
      </c>
      <c r="D828" s="4" t="b">
        <v>0</v>
      </c>
      <c r="E828" s="16">
        <v>827</v>
      </c>
      <c r="F828" s="9">
        <v>46161</v>
      </c>
      <c r="G828" s="17" t="b">
        <v>0</v>
      </c>
      <c r="H828" s="16" t="b">
        <v>0</v>
      </c>
      <c r="I828" s="28"/>
      <c r="J828" s="4">
        <f t="shared" si="60"/>
        <v>15</v>
      </c>
      <c r="K828" s="4">
        <f ca="1">IF(AND(F828&lt;&gt;"", L828&lt;&gt;""), NETWORKDAYS(TODAY(), L828-1, FESTIVOS!A$1:A$55), "")</f>
        <v>-7</v>
      </c>
      <c r="L828" s="9">
        <f>IF(AND(F828&lt;&gt;"", J828&lt;&gt;""), WORKDAY(F828, J828, FESTIVOS!A$1:A$55), "")</f>
        <v>46183</v>
      </c>
      <c r="M828" s="16" t="s">
        <v>1199</v>
      </c>
      <c r="N828" s="4" t="b">
        <v>0</v>
      </c>
      <c r="O828" s="4" t="str">
        <f t="shared" ca="1" si="61"/>
        <v>Vencido</v>
      </c>
      <c r="P828" s="4" t="s">
        <v>1481</v>
      </c>
      <c r="Q828" s="9" t="b">
        <v>0</v>
      </c>
      <c r="R828" s="12" t="b">
        <v>0</v>
      </c>
    </row>
    <row r="829" spans="1:18" x14ac:dyDescent="0.25">
      <c r="A829" s="8" t="s">
        <v>16</v>
      </c>
      <c r="B829" s="7" t="b">
        <v>0</v>
      </c>
      <c r="C829" s="4" t="b">
        <v>0</v>
      </c>
      <c r="D829" s="4" t="b">
        <v>0</v>
      </c>
      <c r="E829" s="16">
        <v>828</v>
      </c>
      <c r="F829" s="9">
        <v>46161</v>
      </c>
      <c r="G829" s="17" t="b">
        <v>0</v>
      </c>
      <c r="H829" s="16" t="b">
        <v>0</v>
      </c>
      <c r="I829" s="28"/>
      <c r="J829" s="4">
        <f t="shared" si="60"/>
        <v>15</v>
      </c>
      <c r="K829" s="4">
        <f ca="1">IF(AND(F829&lt;&gt;"", L829&lt;&gt;""), NETWORKDAYS(TODAY(), L829-1, FESTIVOS!A$1:A$55), "")</f>
        <v>-7</v>
      </c>
      <c r="L829" s="9">
        <f>IF(AND(F829&lt;&gt;"", J829&lt;&gt;""), WORKDAY(F829, J829, FESTIVOS!A$1:A$55), "")</f>
        <v>46183</v>
      </c>
      <c r="M829" s="16" t="s">
        <v>1199</v>
      </c>
      <c r="N829" s="4" t="b">
        <v>0</v>
      </c>
      <c r="O829" s="4" t="str">
        <f t="shared" ca="1" si="61"/>
        <v>Vencido</v>
      </c>
      <c r="P829" s="4" t="s">
        <v>1482</v>
      </c>
      <c r="Q829" s="9" t="b">
        <v>0</v>
      </c>
      <c r="R829" s="12" t="b">
        <v>0</v>
      </c>
    </row>
    <row r="830" spans="1:18" x14ac:dyDescent="0.25">
      <c r="A830" s="8" t="s">
        <v>16</v>
      </c>
      <c r="B830" s="7" t="b">
        <v>0</v>
      </c>
      <c r="C830" s="4" t="b">
        <v>0</v>
      </c>
      <c r="D830" s="4" t="b">
        <v>0</v>
      </c>
      <c r="E830" s="16">
        <v>829</v>
      </c>
      <c r="F830" s="9">
        <v>46161</v>
      </c>
      <c r="G830" s="17" t="b">
        <v>0</v>
      </c>
      <c r="H830" s="16" t="b">
        <v>0</v>
      </c>
      <c r="I830" s="28" t="b">
        <v>0</v>
      </c>
      <c r="J830" s="4">
        <f t="shared" si="60"/>
        <v>15</v>
      </c>
      <c r="K830" s="4">
        <f ca="1">IF(AND(F830&lt;&gt;"", L830&lt;&gt;""), NETWORKDAYS(TODAY(), L830-1, FESTIVOS!A$1:A$55), "")</f>
        <v>-7</v>
      </c>
      <c r="L830" s="9">
        <f>IF(AND(F830&lt;&gt;"", J830&lt;&gt;""), WORKDAY(F830, J830, FESTIVOS!A$1:A$55), "")</f>
        <v>46183</v>
      </c>
      <c r="M830" s="16" t="s">
        <v>1199</v>
      </c>
      <c r="N830" s="4" t="b">
        <v>0</v>
      </c>
      <c r="O830" s="4" t="str">
        <f t="shared" ca="1" si="61"/>
        <v>Vencido</v>
      </c>
      <c r="P830" s="4" t="s">
        <v>1483</v>
      </c>
      <c r="Q830" s="9" t="b">
        <v>0</v>
      </c>
      <c r="R830" s="12" t="b">
        <v>0</v>
      </c>
    </row>
    <row r="831" spans="1:18" x14ac:dyDescent="0.25">
      <c r="A831" s="8" t="s">
        <v>16</v>
      </c>
      <c r="B831" s="7" t="b">
        <v>0</v>
      </c>
      <c r="C831" s="4" t="b">
        <v>0</v>
      </c>
      <c r="D831" s="4" t="b">
        <v>0</v>
      </c>
      <c r="E831" s="16">
        <v>830</v>
      </c>
      <c r="F831" s="9" t="b">
        <v>0</v>
      </c>
      <c r="G831" s="17" t="b">
        <v>0</v>
      </c>
      <c r="H831" s="16" t="b">
        <v>0</v>
      </c>
      <c r="I831" s="28" t="b">
        <v>0</v>
      </c>
      <c r="J831" s="4">
        <f t="shared" si="60"/>
        <v>15</v>
      </c>
      <c r="K831" s="4" t="e">
        <f ca="1">IF(AND(F831&lt;&gt;"", L831&lt;&gt;""), NETWORKDAYS(TODAY(), L831-1, FESTIVOS!A$1:A$55), "")</f>
        <v>#VALUE!</v>
      </c>
      <c r="L831" s="9" t="e">
        <f>IF(AND(F831&lt;&gt;"", J831&lt;&gt;""), WORKDAY(F831, J831, FESTIVOS!A$1:A$55), "")</f>
        <v>#VALUE!</v>
      </c>
      <c r="M831" s="16" t="s">
        <v>1199</v>
      </c>
      <c r="N831" s="4" t="b">
        <v>0</v>
      </c>
      <c r="O831" s="4" t="e">
        <f t="shared" ca="1" si="61"/>
        <v>#VALUE!</v>
      </c>
      <c r="P831" s="4" t="s">
        <v>1484</v>
      </c>
      <c r="Q831" s="9" t="b">
        <v>0</v>
      </c>
      <c r="R831" s="12" t="b">
        <v>0</v>
      </c>
    </row>
    <row r="832" spans="1:18" x14ac:dyDescent="0.25">
      <c r="A832" s="8" t="s">
        <v>16</v>
      </c>
      <c r="B832" s="7" t="b">
        <v>0</v>
      </c>
      <c r="C832" s="4" t="b">
        <v>0</v>
      </c>
      <c r="D832" s="4" t="b">
        <v>0</v>
      </c>
      <c r="E832" s="16">
        <v>831</v>
      </c>
      <c r="F832" s="9" t="b">
        <v>0</v>
      </c>
      <c r="G832" s="17" t="b">
        <v>0</v>
      </c>
      <c r="H832" s="16" t="b">
        <v>0</v>
      </c>
      <c r="I832" s="28" t="b">
        <v>0</v>
      </c>
      <c r="J832" s="4">
        <f t="shared" si="60"/>
        <v>15</v>
      </c>
      <c r="K832" s="4" t="e">
        <f ca="1">IF(AND(F832&lt;&gt;"", L832&lt;&gt;""), NETWORKDAYS(TODAY(), L832-1, FESTIVOS!A$1:A$55), "")</f>
        <v>#VALUE!</v>
      </c>
      <c r="L832" s="9" t="e">
        <f>IF(AND(F832&lt;&gt;"", J832&lt;&gt;""), WORKDAY(F832, J832, FESTIVOS!A$1:A$55), "")</f>
        <v>#VALUE!</v>
      </c>
      <c r="M832" s="16" t="s">
        <v>1199</v>
      </c>
      <c r="N832" s="4" t="b">
        <v>0</v>
      </c>
      <c r="O832" s="4" t="e">
        <f t="shared" ca="1" si="61"/>
        <v>#VALUE!</v>
      </c>
      <c r="P832" s="4" t="s">
        <v>1485</v>
      </c>
      <c r="Q832" s="9" t="b">
        <v>0</v>
      </c>
      <c r="R832" s="12" t="b">
        <v>0</v>
      </c>
    </row>
    <row r="833" spans="1:18" x14ac:dyDescent="0.25">
      <c r="A833" s="8" t="s">
        <v>16</v>
      </c>
      <c r="B833" s="7" t="b">
        <v>0</v>
      </c>
      <c r="C833" s="4" t="b">
        <v>0</v>
      </c>
      <c r="D833" s="4" t="b">
        <v>0</v>
      </c>
      <c r="E833" s="16">
        <v>832</v>
      </c>
      <c r="F833" s="9" t="b">
        <v>0</v>
      </c>
      <c r="G833" s="17" t="b">
        <v>0</v>
      </c>
      <c r="H833" s="16" t="b">
        <v>0</v>
      </c>
      <c r="I833" s="28" t="b">
        <v>0</v>
      </c>
      <c r="J833" s="4">
        <f t="shared" si="60"/>
        <v>15</v>
      </c>
      <c r="K833" s="4" t="e">
        <f ca="1">IF(AND(F833&lt;&gt;"", L833&lt;&gt;""), NETWORKDAYS(TODAY(), L833-1, FESTIVOS!A$1:A$55), "")</f>
        <v>#VALUE!</v>
      </c>
      <c r="L833" s="9" t="e">
        <f>IF(AND(F833&lt;&gt;"", J833&lt;&gt;""), WORKDAY(F833, J833, FESTIVOS!A$1:A$55), "")</f>
        <v>#VALUE!</v>
      </c>
      <c r="M833" s="16" t="s">
        <v>1199</v>
      </c>
      <c r="N833" s="4" t="b">
        <v>0</v>
      </c>
      <c r="O833" s="4" t="e">
        <f t="shared" ca="1" si="61"/>
        <v>#VALUE!</v>
      </c>
      <c r="P833" s="4" t="s">
        <v>1486</v>
      </c>
      <c r="Q833" s="9" t="b">
        <v>0</v>
      </c>
      <c r="R833" s="12" t="b">
        <v>0</v>
      </c>
    </row>
    <row r="834" spans="1:18" x14ac:dyDescent="0.25">
      <c r="A834" s="8" t="s">
        <v>16</v>
      </c>
      <c r="B834" s="7" t="b">
        <v>0</v>
      </c>
      <c r="C834" s="4" t="b">
        <v>0</v>
      </c>
      <c r="D834" s="4" t="b">
        <v>0</v>
      </c>
      <c r="E834" s="16">
        <v>833</v>
      </c>
      <c r="F834" s="9" t="b">
        <v>0</v>
      </c>
      <c r="G834" s="17" t="b">
        <v>0</v>
      </c>
      <c r="H834" s="16" t="b">
        <v>0</v>
      </c>
      <c r="I834" s="28"/>
      <c r="J834" s="4">
        <f t="shared" si="60"/>
        <v>15</v>
      </c>
      <c r="K834" s="4" t="e">
        <f ca="1">IF(AND(F834&lt;&gt;"", L834&lt;&gt;""), NETWORKDAYS(TODAY(), L834-1, FESTIVOS!A$1:A$55), "")</f>
        <v>#VALUE!</v>
      </c>
      <c r="L834" s="9" t="e">
        <f>IF(AND(F834&lt;&gt;"", J834&lt;&gt;""), WORKDAY(F834, J834, FESTIVOS!A$1:A$55), "")</f>
        <v>#VALUE!</v>
      </c>
      <c r="M834" s="16" t="s">
        <v>1199</v>
      </c>
      <c r="N834" s="4" t="b">
        <v>0</v>
      </c>
      <c r="O834" s="4" t="e">
        <f t="shared" ca="1" si="61"/>
        <v>#VALUE!</v>
      </c>
      <c r="P834" s="4" t="s">
        <v>1487</v>
      </c>
      <c r="Q834" s="9" t="b">
        <v>0</v>
      </c>
      <c r="R834" s="12" t="b">
        <v>0</v>
      </c>
    </row>
    <row r="835" spans="1:18" x14ac:dyDescent="0.25">
      <c r="A835" s="8" t="s">
        <v>16</v>
      </c>
      <c r="B835" s="7" t="b">
        <v>0</v>
      </c>
      <c r="C835" s="4" t="b">
        <v>0</v>
      </c>
      <c r="D835" s="4" t="b">
        <v>0</v>
      </c>
      <c r="E835" s="16">
        <v>834</v>
      </c>
      <c r="F835" s="9" t="b">
        <v>0</v>
      </c>
      <c r="G835" s="17" t="b">
        <v>0</v>
      </c>
      <c r="H835" s="16" t="b">
        <v>0</v>
      </c>
      <c r="I835" s="28"/>
      <c r="J835" s="4">
        <f t="shared" si="60"/>
        <v>15</v>
      </c>
      <c r="K835" s="4" t="e">
        <f ca="1">IF(AND(F835&lt;&gt;"", L835&lt;&gt;""), NETWORKDAYS(TODAY(), L835-1, FESTIVOS!A$1:A$55), "")</f>
        <v>#VALUE!</v>
      </c>
      <c r="L835" s="9" t="e">
        <f>IF(AND(F835&lt;&gt;"", J835&lt;&gt;""), WORKDAY(F835, J835, FESTIVOS!A$1:A$55), "")</f>
        <v>#VALUE!</v>
      </c>
      <c r="M835" s="16" t="s">
        <v>1199</v>
      </c>
      <c r="N835" s="4" t="b">
        <v>0</v>
      </c>
      <c r="O835" s="4" t="e">
        <f t="shared" ca="1" si="61"/>
        <v>#VALUE!</v>
      </c>
      <c r="P835" s="4" t="s">
        <v>1488</v>
      </c>
      <c r="Q835" s="9" t="b">
        <v>0</v>
      </c>
      <c r="R835" s="12" t="b">
        <v>0</v>
      </c>
    </row>
    <row r="836" spans="1:18" x14ac:dyDescent="0.25">
      <c r="A836" s="8" t="s">
        <v>16</v>
      </c>
      <c r="B836" s="7" t="b">
        <v>0</v>
      </c>
      <c r="C836" s="4" t="b">
        <v>0</v>
      </c>
      <c r="D836" s="4" t="b">
        <v>0</v>
      </c>
      <c r="E836" s="16">
        <v>835</v>
      </c>
      <c r="F836" s="9" t="b">
        <v>0</v>
      </c>
      <c r="G836" s="17" t="b">
        <v>0</v>
      </c>
      <c r="H836" s="16" t="b">
        <v>0</v>
      </c>
      <c r="I836" s="28"/>
      <c r="J836" s="4">
        <f t="shared" si="60"/>
        <v>15</v>
      </c>
      <c r="K836" s="4" t="e">
        <f ca="1">IF(AND(F836&lt;&gt;"", L836&lt;&gt;""), NETWORKDAYS(TODAY(), L836-1, FESTIVOS!A$1:A$55), "")</f>
        <v>#VALUE!</v>
      </c>
      <c r="L836" s="9" t="e">
        <f>IF(AND(F836&lt;&gt;"", J836&lt;&gt;""), WORKDAY(F836, J836, FESTIVOS!A$1:A$55), "")</f>
        <v>#VALUE!</v>
      </c>
      <c r="M836" s="16" t="s">
        <v>1199</v>
      </c>
      <c r="N836" s="4" t="b">
        <v>0</v>
      </c>
      <c r="O836" s="4" t="e">
        <f t="shared" ca="1" si="61"/>
        <v>#VALUE!</v>
      </c>
      <c r="P836" s="4" t="s">
        <v>1489</v>
      </c>
      <c r="Q836" s="9" t="b">
        <v>0</v>
      </c>
      <c r="R836" s="12" t="b">
        <v>0</v>
      </c>
    </row>
    <row r="837" spans="1:18" x14ac:dyDescent="0.25">
      <c r="A837" s="8" t="s">
        <v>16</v>
      </c>
      <c r="B837" s="7" t="b">
        <v>0</v>
      </c>
      <c r="C837" s="4" t="b">
        <v>0</v>
      </c>
      <c r="D837" s="4" t="b">
        <v>0</v>
      </c>
      <c r="E837" s="16">
        <v>836</v>
      </c>
      <c r="F837" s="9" t="b">
        <v>0</v>
      </c>
      <c r="G837" s="17" t="b">
        <v>0</v>
      </c>
      <c r="H837" s="16" t="b">
        <v>0</v>
      </c>
      <c r="I837" s="28"/>
      <c r="J837" s="4">
        <f t="shared" si="60"/>
        <v>15</v>
      </c>
      <c r="K837" s="4" t="e">
        <f ca="1">IF(AND(F837&lt;&gt;"", L837&lt;&gt;""), NETWORKDAYS(TODAY(), L837-1, FESTIVOS!A$1:A$55), "")</f>
        <v>#VALUE!</v>
      </c>
      <c r="L837" s="9" t="e">
        <f>IF(AND(F837&lt;&gt;"", J837&lt;&gt;""), WORKDAY(F837, J837, FESTIVOS!A$1:A$55), "")</f>
        <v>#VALUE!</v>
      </c>
      <c r="M837" s="16" t="s">
        <v>1199</v>
      </c>
      <c r="N837" s="4" t="b">
        <v>0</v>
      </c>
      <c r="O837" s="4" t="e">
        <f t="shared" ca="1" si="61"/>
        <v>#VALUE!</v>
      </c>
      <c r="P837" s="23" t="s">
        <v>1490</v>
      </c>
      <c r="Q837" s="9" t="b">
        <v>0</v>
      </c>
      <c r="R837" s="12" t="b">
        <v>0</v>
      </c>
    </row>
    <row r="838" spans="1:18" x14ac:dyDescent="0.25">
      <c r="A838" s="8" t="s">
        <v>16</v>
      </c>
      <c r="B838" s="7" t="b">
        <v>0</v>
      </c>
      <c r="C838" s="4" t="b">
        <v>0</v>
      </c>
      <c r="D838" s="4" t="b">
        <v>0</v>
      </c>
      <c r="E838" s="16">
        <v>837</v>
      </c>
      <c r="F838" s="9" t="b">
        <v>0</v>
      </c>
      <c r="G838" s="17" t="b">
        <v>0</v>
      </c>
      <c r="H838" s="16" t="b">
        <v>0</v>
      </c>
      <c r="I838" s="28"/>
      <c r="J838" s="4">
        <f t="shared" si="60"/>
        <v>15</v>
      </c>
      <c r="K838" s="4" t="e">
        <f ca="1">IF(AND(F838&lt;&gt;"", L838&lt;&gt;""), NETWORKDAYS(TODAY(), L838-1, FESTIVOS!A$1:A$55), "")</f>
        <v>#VALUE!</v>
      </c>
      <c r="L838" s="9" t="e">
        <f>IF(AND(F838&lt;&gt;"", J838&lt;&gt;""), WORKDAY(F838, J838, FESTIVOS!A$1:A$55), "")</f>
        <v>#VALUE!</v>
      </c>
      <c r="M838" s="16" t="s">
        <v>1199</v>
      </c>
      <c r="N838" s="4" t="b">
        <v>0</v>
      </c>
      <c r="O838" s="4" t="b">
        <v>0</v>
      </c>
      <c r="P838" s="4" t="s">
        <v>1491</v>
      </c>
      <c r="Q838" s="9">
        <v>46168</v>
      </c>
      <c r="R838" s="12" t="b">
        <v>0</v>
      </c>
    </row>
    <row r="839" spans="1:18" x14ac:dyDescent="0.25">
      <c r="A839" s="8" t="s">
        <v>16</v>
      </c>
      <c r="B839" s="7" t="b">
        <v>0</v>
      </c>
      <c r="C839" s="4" t="b">
        <v>0</v>
      </c>
      <c r="D839" s="4" t="b">
        <v>0</v>
      </c>
      <c r="E839" s="16">
        <v>838</v>
      </c>
      <c r="F839" s="9" t="b">
        <v>0</v>
      </c>
      <c r="G839" s="17" t="b">
        <v>0</v>
      </c>
      <c r="H839" s="16" t="b">
        <v>0</v>
      </c>
      <c r="I839" s="28"/>
      <c r="J839" s="4">
        <f t="shared" si="60"/>
        <v>15</v>
      </c>
      <c r="K839" s="4" t="e">
        <f ca="1">IF(AND(F839&lt;&gt;"", L839&lt;&gt;""), NETWORKDAYS(TODAY(), L839-1, FESTIVOS!A$1:A$55), "")</f>
        <v>#VALUE!</v>
      </c>
      <c r="L839" s="9" t="e">
        <f>IF(AND(F839&lt;&gt;"", J839&lt;&gt;""), WORKDAY(F839, J839, FESTIVOS!A$1:A$55), "")</f>
        <v>#VALUE!</v>
      </c>
      <c r="M839" s="16" t="s">
        <v>1199</v>
      </c>
      <c r="N839" s="4" t="b">
        <v>0</v>
      </c>
      <c r="O839" s="4" t="e">
        <f t="shared" ca="1" si="61"/>
        <v>#VALUE!</v>
      </c>
      <c r="P839" s="4" t="s">
        <v>1492</v>
      </c>
      <c r="Q839" s="9" t="b">
        <v>0</v>
      </c>
      <c r="R839" s="12" t="b">
        <v>0</v>
      </c>
    </row>
    <row r="840" spans="1:18" x14ac:dyDescent="0.25">
      <c r="A840" s="8" t="s">
        <v>16</v>
      </c>
      <c r="B840" s="7" t="b">
        <v>0</v>
      </c>
      <c r="C840" s="4" t="b">
        <v>0</v>
      </c>
      <c r="D840" s="4" t="b">
        <v>0</v>
      </c>
      <c r="E840" s="16">
        <v>839</v>
      </c>
      <c r="F840" s="9" t="b">
        <v>0</v>
      </c>
      <c r="G840" s="17" t="b">
        <v>0</v>
      </c>
      <c r="H840" s="16" t="b">
        <v>0</v>
      </c>
      <c r="I840" s="28"/>
      <c r="J840" s="4">
        <f t="shared" si="60"/>
        <v>15</v>
      </c>
      <c r="K840" s="4" t="e">
        <f ca="1">IF(AND(F840&lt;&gt;"", L840&lt;&gt;""), NETWORKDAYS(TODAY(), L840-1, FESTIVOS!A$1:A$55), "")</f>
        <v>#VALUE!</v>
      </c>
      <c r="L840" s="9" t="e">
        <f>IF(AND(F840&lt;&gt;"", J840&lt;&gt;""), WORKDAY(F840, J840, FESTIVOS!A$1:A$55), "")</f>
        <v>#VALUE!</v>
      </c>
      <c r="M840" s="16" t="s">
        <v>1199</v>
      </c>
      <c r="N840" s="4" t="b">
        <v>0</v>
      </c>
      <c r="O840" s="4" t="e">
        <f t="shared" ca="1" si="61"/>
        <v>#VALUE!</v>
      </c>
      <c r="P840" s="4" t="s">
        <v>1493</v>
      </c>
      <c r="Q840" s="9" t="b">
        <v>0</v>
      </c>
      <c r="R840" s="12" t="b">
        <v>0</v>
      </c>
    </row>
    <row r="841" spans="1:18" x14ac:dyDescent="0.25">
      <c r="A841" s="8" t="s">
        <v>16</v>
      </c>
      <c r="B841" s="7" t="b">
        <v>0</v>
      </c>
      <c r="C841" s="4" t="b">
        <v>0</v>
      </c>
      <c r="D841" s="4" t="b">
        <v>0</v>
      </c>
      <c r="E841" s="16">
        <v>840</v>
      </c>
      <c r="F841" s="9" t="b">
        <v>0</v>
      </c>
      <c r="G841" s="17" t="b">
        <v>0</v>
      </c>
      <c r="H841" s="16" t="b">
        <v>0</v>
      </c>
      <c r="I841" s="28"/>
      <c r="J841" s="4">
        <f t="shared" si="60"/>
        <v>15</v>
      </c>
      <c r="K841" s="4" t="e">
        <f ca="1">IF(AND(F841&lt;&gt;"", L841&lt;&gt;""), NETWORKDAYS(TODAY(), L841-1, FESTIVOS!A$1:A$55), "")</f>
        <v>#VALUE!</v>
      </c>
      <c r="L841" s="9" t="e">
        <f>IF(AND(F841&lt;&gt;"", J841&lt;&gt;""), WORKDAY(F841, J841, FESTIVOS!A$1:A$55), "")</f>
        <v>#VALUE!</v>
      </c>
      <c r="M841" s="16" t="s">
        <v>1199</v>
      </c>
      <c r="N841" s="4" t="b">
        <v>0</v>
      </c>
      <c r="O841" s="4" t="e">
        <f t="shared" ca="1" si="61"/>
        <v>#VALUE!</v>
      </c>
      <c r="P841" s="4" t="s">
        <v>1462</v>
      </c>
      <c r="Q841" s="9" t="b">
        <v>0</v>
      </c>
      <c r="R841" s="12" t="b">
        <v>0</v>
      </c>
    </row>
    <row r="842" spans="1:18" x14ac:dyDescent="0.25">
      <c r="A842" s="8" t="s">
        <v>16</v>
      </c>
      <c r="B842" s="7" t="b">
        <v>0</v>
      </c>
      <c r="C842" s="4" t="b">
        <v>0</v>
      </c>
      <c r="D842" s="4" t="b">
        <v>0</v>
      </c>
      <c r="E842" s="16">
        <v>841</v>
      </c>
      <c r="F842" s="9" t="b">
        <v>0</v>
      </c>
      <c r="G842" s="17" t="b">
        <v>0</v>
      </c>
      <c r="H842" s="16" t="b">
        <v>0</v>
      </c>
      <c r="I842" s="28"/>
      <c r="J842" s="4">
        <f t="shared" si="60"/>
        <v>15</v>
      </c>
      <c r="K842" s="4" t="e">
        <f ca="1">IF(AND(F842&lt;&gt;"", L842&lt;&gt;""), NETWORKDAYS(TODAY(), L842-1, FESTIVOS!A$1:A$55), "")</f>
        <v>#VALUE!</v>
      </c>
      <c r="L842" s="9" t="e">
        <f>IF(AND(F842&lt;&gt;"", J842&lt;&gt;""), WORKDAY(F842, J842, FESTIVOS!A$1:A$55), "")</f>
        <v>#VALUE!</v>
      </c>
      <c r="M842" s="16" t="s">
        <v>1199</v>
      </c>
      <c r="N842" s="4" t="b">
        <v>0</v>
      </c>
      <c r="O842" s="4" t="e">
        <f t="shared" ca="1" si="61"/>
        <v>#VALUE!</v>
      </c>
      <c r="P842" s="4" t="s">
        <v>37</v>
      </c>
      <c r="Q842" s="9" t="b">
        <v>0</v>
      </c>
      <c r="R842" s="12" t="b">
        <v>0</v>
      </c>
    </row>
    <row r="843" spans="1:18" x14ac:dyDescent="0.25">
      <c r="A843" s="8" t="s">
        <v>16</v>
      </c>
      <c r="B843" s="7" t="b">
        <v>0</v>
      </c>
      <c r="C843" s="4" t="b">
        <v>0</v>
      </c>
      <c r="D843" s="4" t="b">
        <v>0</v>
      </c>
      <c r="E843" s="16">
        <v>842</v>
      </c>
      <c r="F843" s="9" t="b">
        <v>0</v>
      </c>
      <c r="G843" s="17" t="b">
        <v>0</v>
      </c>
      <c r="H843" s="16" t="b">
        <v>0</v>
      </c>
      <c r="I843" s="28"/>
      <c r="J843" s="4">
        <f t="shared" si="60"/>
        <v>15</v>
      </c>
      <c r="K843" s="4" t="e">
        <f ca="1">IF(AND(F843&lt;&gt;"", L843&lt;&gt;""), NETWORKDAYS(TODAY(), L843-1, FESTIVOS!A$1:A$55), "")</f>
        <v>#VALUE!</v>
      </c>
      <c r="L843" s="9" t="e">
        <f>IF(AND(F843&lt;&gt;"", J843&lt;&gt;""), WORKDAY(F843, J843, FESTIVOS!A$1:A$55), "")</f>
        <v>#VALUE!</v>
      </c>
      <c r="M843" s="16" t="s">
        <v>1199</v>
      </c>
      <c r="N843" s="4" t="b">
        <v>0</v>
      </c>
      <c r="O843" s="4" t="e">
        <f t="shared" ca="1" si="61"/>
        <v>#VALUE!</v>
      </c>
      <c r="P843" s="4" t="s">
        <v>37</v>
      </c>
      <c r="Q843" s="9" t="b">
        <v>0</v>
      </c>
      <c r="R843" s="12" t="b">
        <v>0</v>
      </c>
    </row>
    <row r="844" spans="1:18" x14ac:dyDescent="0.25">
      <c r="A844" s="8" t="s">
        <v>16</v>
      </c>
      <c r="B844" s="7" t="b">
        <v>0</v>
      </c>
      <c r="C844" s="4" t="b">
        <v>0</v>
      </c>
      <c r="D844" s="4" t="b">
        <v>0</v>
      </c>
      <c r="E844" s="16">
        <v>843</v>
      </c>
      <c r="F844" s="9" t="b">
        <v>0</v>
      </c>
      <c r="G844" s="17" t="b">
        <v>0</v>
      </c>
      <c r="H844" s="16" t="b">
        <v>0</v>
      </c>
      <c r="I844" s="28"/>
      <c r="J844" s="4">
        <f t="shared" si="60"/>
        <v>15</v>
      </c>
      <c r="K844" s="4" t="e">
        <f ca="1">IF(AND(F844&lt;&gt;"", L844&lt;&gt;""), NETWORKDAYS(TODAY(), L844-1, FESTIVOS!A$1:A$55), "")</f>
        <v>#VALUE!</v>
      </c>
      <c r="L844" s="9" t="e">
        <f>IF(AND(F844&lt;&gt;"", J844&lt;&gt;""), WORKDAY(F844, J844, FESTIVOS!A$1:A$55), "")</f>
        <v>#VALUE!</v>
      </c>
      <c r="M844" s="16" t="s">
        <v>1199</v>
      </c>
      <c r="N844" s="4" t="b">
        <v>0</v>
      </c>
      <c r="O844" s="4" t="e">
        <f t="shared" ca="1" si="61"/>
        <v>#VALUE!</v>
      </c>
      <c r="P844" s="4" t="s">
        <v>1494</v>
      </c>
      <c r="Q844" s="9" t="b">
        <v>0</v>
      </c>
      <c r="R844" s="12" t="b">
        <v>0</v>
      </c>
    </row>
    <row r="845" spans="1:18" x14ac:dyDescent="0.25">
      <c r="A845" s="8" t="s">
        <v>16</v>
      </c>
      <c r="B845" s="7" t="b">
        <v>0</v>
      </c>
      <c r="C845" s="4" t="b">
        <v>0</v>
      </c>
      <c r="D845" s="4" t="b">
        <v>0</v>
      </c>
      <c r="E845" s="16">
        <v>844</v>
      </c>
      <c r="F845" s="9" t="b">
        <v>0</v>
      </c>
      <c r="G845" s="17" t="b">
        <v>0</v>
      </c>
      <c r="H845" s="16" t="b">
        <v>0</v>
      </c>
      <c r="I845" s="28"/>
      <c r="J845" s="4">
        <f t="shared" si="60"/>
        <v>15</v>
      </c>
      <c r="K845" s="4" t="e">
        <f ca="1">IF(AND(F845&lt;&gt;"", L845&lt;&gt;""), NETWORKDAYS(TODAY(), L845-1, FESTIVOS!A$1:A$55), "")</f>
        <v>#VALUE!</v>
      </c>
      <c r="L845" s="9" t="e">
        <f>IF(AND(F845&lt;&gt;"", J845&lt;&gt;""), WORKDAY(F845, J845, FESTIVOS!A$1:A$55), "")</f>
        <v>#VALUE!</v>
      </c>
      <c r="M845" s="16" t="s">
        <v>1199</v>
      </c>
      <c r="N845" s="4" t="b">
        <v>0</v>
      </c>
      <c r="O845" s="4" t="e">
        <f t="shared" ca="1" si="61"/>
        <v>#VALUE!</v>
      </c>
      <c r="P845" s="4" t="s">
        <v>1462</v>
      </c>
      <c r="Q845" s="9" t="b">
        <v>0</v>
      </c>
      <c r="R845" s="12" t="b">
        <v>0</v>
      </c>
    </row>
    <row r="846" spans="1:18" x14ac:dyDescent="0.25">
      <c r="A846" s="8" t="s">
        <v>16</v>
      </c>
      <c r="B846" s="7" t="b">
        <v>0</v>
      </c>
      <c r="C846" s="4" t="b">
        <v>1</v>
      </c>
      <c r="D846" s="4" t="b">
        <v>0</v>
      </c>
      <c r="E846" s="16">
        <v>845</v>
      </c>
      <c r="F846" s="9" t="b">
        <v>0</v>
      </c>
      <c r="G846" s="17" t="b">
        <v>0</v>
      </c>
      <c r="H846" s="16" t="b">
        <v>0</v>
      </c>
      <c r="I846" s="28"/>
      <c r="J846" s="4">
        <f t="shared" si="60"/>
        <v>15</v>
      </c>
      <c r="K846" s="4" t="e">
        <f ca="1">IF(AND(F846&lt;&gt;"", L846&lt;&gt;""), NETWORKDAYS(TODAY(), L846-1, FESTIVOS!A$1:A$55), "")</f>
        <v>#VALUE!</v>
      </c>
      <c r="L846" s="9" t="e">
        <f>IF(AND(F846&lt;&gt;"", J846&lt;&gt;""), WORKDAY(F846, J846, FESTIVOS!A$1:A$55), "")</f>
        <v>#VALUE!</v>
      </c>
      <c r="M846" s="16" t="s">
        <v>1199</v>
      </c>
      <c r="N846" s="4" t="b">
        <v>0</v>
      </c>
      <c r="O846" s="4" t="e">
        <f t="shared" ca="1" si="61"/>
        <v>#VALUE!</v>
      </c>
      <c r="P846" s="4" t="s">
        <v>1495</v>
      </c>
      <c r="Q846" s="9" t="b">
        <v>0</v>
      </c>
      <c r="R846" s="12" t="b">
        <v>0</v>
      </c>
    </row>
    <row r="847" spans="1:18" x14ac:dyDescent="0.25">
      <c r="A847" s="8" t="s">
        <v>16</v>
      </c>
      <c r="B847" s="7" t="b">
        <v>0</v>
      </c>
      <c r="C847" s="4" t="b">
        <v>0</v>
      </c>
      <c r="D847" s="4" t="b">
        <v>0</v>
      </c>
      <c r="E847" s="16">
        <v>846</v>
      </c>
      <c r="F847" s="9" t="b">
        <v>0</v>
      </c>
      <c r="G847" s="17" t="b">
        <v>0</v>
      </c>
      <c r="H847" s="16" t="b">
        <v>0</v>
      </c>
      <c r="I847" s="28"/>
      <c r="J847" s="4">
        <f t="shared" si="60"/>
        <v>15</v>
      </c>
      <c r="K847" s="4" t="e">
        <f ca="1">IF(AND(F847&lt;&gt;"", L847&lt;&gt;""), NETWORKDAYS(TODAY(), L847-1, FESTIVOS!A$1:A$55), "")</f>
        <v>#VALUE!</v>
      </c>
      <c r="L847" s="9" t="e">
        <f>IF(AND(F847&lt;&gt;"", J847&lt;&gt;""), WORKDAY(F847, J847, FESTIVOS!A$1:A$55), "")</f>
        <v>#VALUE!</v>
      </c>
      <c r="M847" s="16" t="s">
        <v>1199</v>
      </c>
      <c r="N847" s="4" t="b">
        <v>0</v>
      </c>
      <c r="O847" s="4" t="e">
        <f t="shared" ca="1" si="61"/>
        <v>#VALUE!</v>
      </c>
      <c r="P847" s="4" t="s">
        <v>1496</v>
      </c>
      <c r="Q847" s="9" t="b">
        <v>0</v>
      </c>
      <c r="R847" s="12" t="b">
        <v>0</v>
      </c>
    </row>
    <row r="848" spans="1:18" x14ac:dyDescent="0.25">
      <c r="A848" s="8" t="s">
        <v>16</v>
      </c>
      <c r="B848" s="7" t="b">
        <v>0</v>
      </c>
      <c r="C848" s="4" t="b">
        <v>0</v>
      </c>
      <c r="D848" s="4" t="b">
        <v>0</v>
      </c>
      <c r="E848" s="16">
        <v>847</v>
      </c>
      <c r="F848" s="9" t="b">
        <v>0</v>
      </c>
      <c r="G848" s="17" t="b">
        <v>0</v>
      </c>
      <c r="H848" s="16" t="b">
        <v>0</v>
      </c>
      <c r="I848" s="28"/>
      <c r="J848" s="4">
        <f t="shared" si="60"/>
        <v>15</v>
      </c>
      <c r="K848" s="4" t="e">
        <f ca="1">IF(AND(F848&lt;&gt;"", L848&lt;&gt;""), NETWORKDAYS(TODAY(), L848-1, FESTIVOS!A$1:A$55), "")</f>
        <v>#VALUE!</v>
      </c>
      <c r="L848" s="9" t="e">
        <f>IF(AND(F848&lt;&gt;"", J848&lt;&gt;""), WORKDAY(F848, J848, FESTIVOS!A$1:A$55), "")</f>
        <v>#VALUE!</v>
      </c>
      <c r="M848" s="16" t="s">
        <v>1199</v>
      </c>
      <c r="N848" s="4" t="b">
        <v>0</v>
      </c>
      <c r="O848" s="4" t="e">
        <f t="shared" ca="1" si="61"/>
        <v>#VALUE!</v>
      </c>
      <c r="P848" s="4" t="s">
        <v>1497</v>
      </c>
      <c r="Q848" s="9" t="b">
        <v>0</v>
      </c>
      <c r="R848" s="12" t="b">
        <v>0</v>
      </c>
    </row>
    <row r="849" spans="1:18" x14ac:dyDescent="0.25">
      <c r="A849" s="8" t="s">
        <v>16</v>
      </c>
      <c r="B849" s="7" t="b">
        <v>0</v>
      </c>
      <c r="C849" s="4" t="b">
        <v>0</v>
      </c>
      <c r="D849" s="4" t="b">
        <v>0</v>
      </c>
      <c r="E849" s="16">
        <v>848</v>
      </c>
      <c r="F849" s="9" t="b">
        <v>0</v>
      </c>
      <c r="G849" s="17" t="b">
        <v>0</v>
      </c>
      <c r="H849" s="16" t="b">
        <v>0</v>
      </c>
      <c r="I849" s="28"/>
      <c r="J849" s="4">
        <f t="shared" si="60"/>
        <v>15</v>
      </c>
      <c r="K849" s="4" t="e">
        <f ca="1">IF(AND(F849&lt;&gt;"", L849&lt;&gt;""), NETWORKDAYS(TODAY(), L849-1, FESTIVOS!A$1:A$55), "")</f>
        <v>#VALUE!</v>
      </c>
      <c r="L849" s="9" t="e">
        <f>IF(AND(F849&lt;&gt;"", J849&lt;&gt;""), WORKDAY(F849, J849, FESTIVOS!A$1:A$55), "")</f>
        <v>#VALUE!</v>
      </c>
      <c r="M849" s="16" t="s">
        <v>1199</v>
      </c>
      <c r="N849" s="4" t="b">
        <v>0</v>
      </c>
      <c r="O849" s="4" t="e">
        <f t="shared" ca="1" si="61"/>
        <v>#VALUE!</v>
      </c>
      <c r="P849" s="4" t="s">
        <v>37</v>
      </c>
      <c r="Q849" s="9" t="b">
        <v>0</v>
      </c>
      <c r="R849" s="12" t="b">
        <v>0</v>
      </c>
    </row>
    <row r="850" spans="1:18" x14ac:dyDescent="0.25">
      <c r="A850" s="8" t="s">
        <v>16</v>
      </c>
      <c r="B850" s="7" t="s">
        <v>208</v>
      </c>
      <c r="C850" s="4" t="s">
        <v>209</v>
      </c>
      <c r="D850" s="4" t="s">
        <v>1498</v>
      </c>
      <c r="E850" s="16">
        <v>849</v>
      </c>
      <c r="F850" s="9">
        <v>46163</v>
      </c>
      <c r="G850" s="17" t="b">
        <v>0</v>
      </c>
      <c r="H850" s="16" t="b">
        <v>0</v>
      </c>
      <c r="I850" s="28" t="s">
        <v>80</v>
      </c>
      <c r="J850" s="4">
        <f t="shared" si="60"/>
        <v>15</v>
      </c>
      <c r="K850" s="4">
        <f ca="1">IF(AND(F850&lt;&gt;"", L850&lt;&gt;""), NETWORKDAYS(TODAY(), L850-1, FESTIVOS!A$1:A$55), "")</f>
        <v>-5</v>
      </c>
      <c r="L850" s="9">
        <f>IF(AND(F850&lt;&gt;"", J850&lt;&gt;""), WORKDAY(F850, J850, FESTIVOS!A$1:A$55), "")</f>
        <v>46185</v>
      </c>
      <c r="M850" s="16" t="s">
        <v>1199</v>
      </c>
      <c r="N850" s="4" t="b">
        <v>0</v>
      </c>
      <c r="O850" s="4" t="str">
        <f t="shared" ca="1" si="61"/>
        <v>Vencido</v>
      </c>
      <c r="P850" s="4" t="s">
        <v>1462</v>
      </c>
      <c r="Q850" s="9" t="b">
        <v>0</v>
      </c>
      <c r="R850" s="12" t="b">
        <v>0</v>
      </c>
    </row>
    <row r="851" spans="1:18" x14ac:dyDescent="0.25">
      <c r="A851" s="8" t="s">
        <v>16</v>
      </c>
      <c r="B851" s="7" t="b">
        <v>0</v>
      </c>
      <c r="C851" s="4" t="b">
        <v>0</v>
      </c>
      <c r="D851" s="4" t="b">
        <v>0</v>
      </c>
      <c r="E851" s="16">
        <v>850</v>
      </c>
      <c r="F851" s="9" t="b">
        <v>0</v>
      </c>
      <c r="G851" s="17" t="b">
        <v>0</v>
      </c>
      <c r="H851" s="16" t="b">
        <v>0</v>
      </c>
      <c r="I851" s="28"/>
      <c r="J851" s="4">
        <f t="shared" si="60"/>
        <v>15</v>
      </c>
      <c r="K851" s="4" t="e">
        <f ca="1">IF(AND(F851&lt;&gt;"", L851&lt;&gt;""), NETWORKDAYS(TODAY(), L851-1, FESTIVOS!A$1:A$55), "")</f>
        <v>#VALUE!</v>
      </c>
      <c r="L851" s="9" t="e">
        <f>IF(AND(F851&lt;&gt;"", J851&lt;&gt;""), WORKDAY(F851, J851, FESTIVOS!A$1:A$55), "")</f>
        <v>#VALUE!</v>
      </c>
      <c r="M851" s="16" t="s">
        <v>1199</v>
      </c>
      <c r="N851" s="4" t="b">
        <v>0</v>
      </c>
      <c r="O851" s="4" t="e">
        <f t="shared" ca="1" si="61"/>
        <v>#VALUE!</v>
      </c>
      <c r="P851" s="27" t="s">
        <v>1499</v>
      </c>
      <c r="Q851" s="9" t="b">
        <v>0</v>
      </c>
      <c r="R851" s="12" t="b">
        <v>0</v>
      </c>
    </row>
    <row r="852" spans="1:18" x14ac:dyDescent="0.25">
      <c r="A852" s="8" t="s">
        <v>16</v>
      </c>
      <c r="B852" s="7" t="b">
        <v>0</v>
      </c>
      <c r="C852" s="4" t="b">
        <v>0</v>
      </c>
      <c r="D852" s="4" t="b">
        <v>0</v>
      </c>
      <c r="E852" s="16">
        <v>851</v>
      </c>
      <c r="F852" s="9" t="b">
        <v>0</v>
      </c>
      <c r="G852" s="17" t="b">
        <v>0</v>
      </c>
      <c r="H852" s="16" t="b">
        <v>0</v>
      </c>
      <c r="I852" s="28"/>
      <c r="J852" s="4">
        <f t="shared" si="60"/>
        <v>15</v>
      </c>
      <c r="K852" s="4" t="e">
        <f ca="1">IF(AND(F852&lt;&gt;"", L852&lt;&gt;""), NETWORKDAYS(TODAY(), L852-1, FESTIVOS!A$1:A$55), "")</f>
        <v>#VALUE!</v>
      </c>
      <c r="L852" s="9" t="e">
        <f>IF(AND(F852&lt;&gt;"", J852&lt;&gt;""), WORKDAY(F852, J852, FESTIVOS!A$1:A$55), "")</f>
        <v>#VALUE!</v>
      </c>
      <c r="M852" s="16" t="s">
        <v>1199</v>
      </c>
      <c r="N852" s="4" t="b">
        <v>0</v>
      </c>
      <c r="O852" s="4" t="e">
        <f t="shared" ca="1" si="61"/>
        <v>#VALUE!</v>
      </c>
      <c r="P852" s="4" t="s">
        <v>1462</v>
      </c>
      <c r="Q852" s="9" t="b">
        <v>0</v>
      </c>
      <c r="R852" s="12" t="b">
        <v>0</v>
      </c>
    </row>
    <row r="853" spans="1:18" x14ac:dyDescent="0.25">
      <c r="A853" s="8" t="s">
        <v>16</v>
      </c>
      <c r="B853" s="25" t="s">
        <v>1500</v>
      </c>
      <c r="C853" s="4" t="s">
        <v>32</v>
      </c>
      <c r="D853" s="4" t="s">
        <v>1501</v>
      </c>
      <c r="E853" s="16">
        <v>852</v>
      </c>
      <c r="F853" s="9">
        <v>46163</v>
      </c>
      <c r="G853" s="17" t="b">
        <v>0</v>
      </c>
      <c r="H853" s="16">
        <v>0</v>
      </c>
      <c r="I853" s="28" t="s">
        <v>20</v>
      </c>
      <c r="J853" s="4">
        <f t="shared" si="60"/>
        <v>15</v>
      </c>
      <c r="K853" s="4">
        <f ca="1">IF(AND(F853&lt;&gt;"", L853&lt;&gt;""), NETWORKDAYS(TODAY(), L853-1, FESTIVOS!A$1:A$55), "")</f>
        <v>-5</v>
      </c>
      <c r="L853" s="9">
        <f>IF(AND(F853&lt;&gt;"", J853&lt;&gt;""), WORKDAY(F853, J853, FESTIVOS!A$1:A$55), "")</f>
        <v>46185</v>
      </c>
      <c r="M853" s="16" t="s">
        <v>1199</v>
      </c>
      <c r="N853" s="4" t="b">
        <v>0</v>
      </c>
      <c r="O853" s="4" t="str">
        <f t="shared" ca="1" si="61"/>
        <v>Vencido</v>
      </c>
      <c r="P853" s="4" t="s">
        <v>1502</v>
      </c>
      <c r="Q853" s="9" t="b">
        <v>0</v>
      </c>
      <c r="R853" s="12" t="b">
        <v>0</v>
      </c>
    </row>
    <row r="854" spans="1:18" x14ac:dyDescent="0.25">
      <c r="A854" s="8" t="s">
        <v>16</v>
      </c>
      <c r="B854" s="7" t="b">
        <v>0</v>
      </c>
      <c r="C854" s="4" t="b">
        <v>0</v>
      </c>
      <c r="D854" s="4" t="b">
        <v>0</v>
      </c>
      <c r="E854" s="16">
        <v>853</v>
      </c>
      <c r="F854" s="9" t="b">
        <v>0</v>
      </c>
      <c r="G854" s="17" t="b">
        <v>0</v>
      </c>
      <c r="H854" s="16" t="b">
        <v>0</v>
      </c>
      <c r="I854" s="28"/>
      <c r="J854" s="4" t="b">
        <v>0</v>
      </c>
      <c r="K854" s="4" t="e">
        <f ca="1">IF(AND(F854&lt;&gt;"", L854&lt;&gt;""), NETWORKDAYS(TODAY(), L854-1, FESTIVOS!A$1:A$55), "")</f>
        <v>#VALUE!</v>
      </c>
      <c r="L854" s="9" t="e">
        <f>IF(AND(F854&lt;&gt;"", J854&lt;&gt;""), WORKDAY(F854, J854, FESTIVOS!A$1:A$55), "")</f>
        <v>#VALUE!</v>
      </c>
      <c r="M854" s="16" t="s">
        <v>1199</v>
      </c>
      <c r="N854" s="4" t="b">
        <v>0</v>
      </c>
      <c r="O854" s="4" t="b">
        <v>0</v>
      </c>
      <c r="P854" s="4" t="s">
        <v>1503</v>
      </c>
      <c r="Q854" s="9" t="b">
        <v>0</v>
      </c>
      <c r="R854" s="12" t="b">
        <v>0</v>
      </c>
    </row>
    <row r="855" spans="1:18" x14ac:dyDescent="0.25">
      <c r="A855" s="8" t="s">
        <v>16</v>
      </c>
      <c r="B855" s="7" t="b">
        <v>0</v>
      </c>
      <c r="C855" s="4" t="b">
        <v>0</v>
      </c>
      <c r="D855" s="4" t="b">
        <v>0</v>
      </c>
      <c r="E855" s="16">
        <v>854</v>
      </c>
      <c r="F855" s="9" t="b">
        <v>0</v>
      </c>
      <c r="G855" s="17" t="b">
        <v>0</v>
      </c>
      <c r="H855" s="16" t="b">
        <v>0</v>
      </c>
      <c r="I855" s="28"/>
      <c r="J855" s="4" t="b">
        <v>0</v>
      </c>
      <c r="K855" s="4" t="e">
        <f ca="1">IF(AND(F855&lt;&gt;"", L855&lt;&gt;""), NETWORKDAYS(TODAY(), L855-1, FESTIVOS!A$1:A$55), "")</f>
        <v>#VALUE!</v>
      </c>
      <c r="L855" s="9" t="e">
        <f>IF(AND(F855&lt;&gt;"", J855&lt;&gt;""), WORKDAY(F855, J855, FESTIVOS!A$1:A$55), "")</f>
        <v>#VALUE!</v>
      </c>
      <c r="M855" s="16" t="s">
        <v>1199</v>
      </c>
      <c r="N855" s="4" t="b">
        <v>0</v>
      </c>
      <c r="O855" s="4" t="b">
        <v>0</v>
      </c>
      <c r="P855" s="4" t="s">
        <v>37</v>
      </c>
      <c r="Q855" s="9" t="b">
        <v>0</v>
      </c>
      <c r="R855" s="12" t="b">
        <v>0</v>
      </c>
    </row>
    <row r="856" spans="1:18" x14ac:dyDescent="0.25">
      <c r="A856" s="8" t="s">
        <v>16</v>
      </c>
      <c r="B856" s="7" t="b">
        <v>0</v>
      </c>
      <c r="C856" s="4" t="b">
        <v>0</v>
      </c>
      <c r="D856" s="4" t="b">
        <v>0</v>
      </c>
      <c r="E856" s="16">
        <v>855</v>
      </c>
      <c r="F856" s="9" t="b">
        <v>0</v>
      </c>
      <c r="G856" s="17" t="b">
        <v>0</v>
      </c>
      <c r="H856" s="16" t="b">
        <v>0</v>
      </c>
      <c r="I856" s="28"/>
      <c r="J856" s="4" t="b">
        <v>0</v>
      </c>
      <c r="K856" s="4" t="e">
        <f ca="1">IF(AND(F856&lt;&gt;"", L856&lt;&gt;""), NETWORKDAYS(TODAY(), L856-1, FESTIVOS!A$1:A$55), "")</f>
        <v>#VALUE!</v>
      </c>
      <c r="L856" s="9" t="e">
        <f>IF(AND(F856&lt;&gt;"", J856&lt;&gt;""), WORKDAY(F856, J856, FESTIVOS!A$1:A$55), "")</f>
        <v>#VALUE!</v>
      </c>
      <c r="M856" s="16" t="s">
        <v>1199</v>
      </c>
      <c r="N856" s="4" t="b">
        <v>0</v>
      </c>
      <c r="O856" s="4" t="b">
        <v>0</v>
      </c>
      <c r="P856" s="4" t="s">
        <v>1504</v>
      </c>
      <c r="Q856" s="9" t="b">
        <v>0</v>
      </c>
      <c r="R856" s="12" t="b">
        <v>0</v>
      </c>
    </row>
    <row r="857" spans="1:18" x14ac:dyDescent="0.25">
      <c r="A857" s="8" t="s">
        <v>16</v>
      </c>
      <c r="B857" s="7" t="b">
        <v>0</v>
      </c>
      <c r="C857" s="4" t="b">
        <v>0</v>
      </c>
      <c r="D857" s="4" t="b">
        <v>0</v>
      </c>
      <c r="E857" s="16">
        <v>856</v>
      </c>
      <c r="F857" s="9" t="b">
        <v>0</v>
      </c>
      <c r="G857" s="17" t="b">
        <v>0</v>
      </c>
      <c r="H857" s="16" t="b">
        <v>0</v>
      </c>
      <c r="I857" s="28"/>
      <c r="J857" s="4" t="b">
        <v>0</v>
      </c>
      <c r="K857" s="4" t="e">
        <f ca="1">IF(AND(F857&lt;&gt;"", L857&lt;&gt;""), NETWORKDAYS(TODAY(), L857-1, FESTIVOS!A$1:A$55), "")</f>
        <v>#VALUE!</v>
      </c>
      <c r="L857" s="9" t="e">
        <f>IF(AND(F857&lt;&gt;"", J857&lt;&gt;""), WORKDAY(F857, J857, FESTIVOS!A$1:A$55), "")</f>
        <v>#VALUE!</v>
      </c>
      <c r="M857" s="16" t="s">
        <v>1199</v>
      </c>
      <c r="N857" s="4" t="b">
        <v>0</v>
      </c>
      <c r="O857" s="4" t="b">
        <v>0</v>
      </c>
      <c r="P857" s="4" t="s">
        <v>37</v>
      </c>
      <c r="Q857" s="9" t="b">
        <v>0</v>
      </c>
      <c r="R857" s="12" t="b">
        <v>0</v>
      </c>
    </row>
    <row r="858" spans="1:18" x14ac:dyDescent="0.25">
      <c r="A858" s="8" t="s">
        <v>16</v>
      </c>
      <c r="B858" s="7" t="s">
        <v>761</v>
      </c>
      <c r="C858" s="4" t="s">
        <v>32</v>
      </c>
      <c r="D858" s="4" t="s">
        <v>1505</v>
      </c>
      <c r="E858" s="16">
        <v>857</v>
      </c>
      <c r="F858" s="9">
        <v>46167</v>
      </c>
      <c r="G858" s="17" t="b">
        <v>0</v>
      </c>
      <c r="H858" s="16">
        <v>0</v>
      </c>
      <c r="I858" s="28" t="s">
        <v>20</v>
      </c>
      <c r="J858" s="4" t="b">
        <v>0</v>
      </c>
      <c r="K858" s="4" t="e">
        <f ca="1">IF(AND(F858&lt;&gt;"", L858&lt;&gt;""), NETWORKDAYS(TODAY(), L858-1, FESTIVOS!A$1:A$55), "")</f>
        <v>#VALUE!</v>
      </c>
      <c r="L858" s="9" t="e">
        <f>IF(AND(F858&lt;&gt;"", J858&lt;&gt;""), WORKDAY(F858, J858, FESTIVOS!A$1:A$55), "")</f>
        <v>#VALUE!</v>
      </c>
      <c r="M858" s="16" t="s">
        <v>1199</v>
      </c>
      <c r="N858" s="4" t="b">
        <v>0</v>
      </c>
      <c r="O858" s="4" t="b">
        <v>0</v>
      </c>
      <c r="P858" s="4" t="s">
        <v>1506</v>
      </c>
      <c r="Q858" s="9" t="b">
        <v>0</v>
      </c>
      <c r="R858" s="12" t="b">
        <v>0</v>
      </c>
    </row>
    <row r="859" spans="1:18" x14ac:dyDescent="0.25">
      <c r="A859" s="14" t="s">
        <v>16</v>
      </c>
      <c r="B859" s="15" t="s">
        <v>1507</v>
      </c>
      <c r="C859" s="16" t="s">
        <v>1507</v>
      </c>
      <c r="D859" s="16" t="s">
        <v>772</v>
      </c>
      <c r="E859" s="16">
        <v>858</v>
      </c>
      <c r="F859" s="17" t="s">
        <v>1508</v>
      </c>
      <c r="G859" s="17" t="b">
        <v>0</v>
      </c>
      <c r="H859" s="16" t="b">
        <v>0</v>
      </c>
      <c r="I859" s="29"/>
      <c r="J859" s="16">
        <v>15</v>
      </c>
      <c r="K859" s="4">
        <f ca="1">IF(AND(F859&lt;&gt;"", L859&lt;&gt;""), NETWORKDAYS(TODAY(), L859-1, FESTIVOS!A$1:A$55), "")</f>
        <v>-3</v>
      </c>
      <c r="L859" s="9">
        <f>IF(AND(F859&lt;&gt;"", J859&lt;&gt;""), WORKDAY(F859, J859, FESTIVOS!A$1:A$55), "")</f>
        <v>46190</v>
      </c>
      <c r="M859" s="16" t="s">
        <v>1199</v>
      </c>
      <c r="N859" s="16" t="b">
        <v>0</v>
      </c>
      <c r="O859" s="16" t="b">
        <v>0</v>
      </c>
      <c r="P859" s="16" t="s">
        <v>1462</v>
      </c>
      <c r="Q859" s="17" t="b">
        <v>0</v>
      </c>
      <c r="R859" s="18" t="b">
        <v>0</v>
      </c>
    </row>
    <row r="860" spans="1:18" x14ac:dyDescent="0.25">
      <c r="A860" s="14" t="s">
        <v>16</v>
      </c>
      <c r="B860" s="15" t="s">
        <v>68</v>
      </c>
      <c r="C860" s="16" t="s">
        <v>186</v>
      </c>
      <c r="D860" s="16" t="s">
        <v>1509</v>
      </c>
      <c r="E860" s="16">
        <v>859</v>
      </c>
      <c r="F860" s="17">
        <v>46168</v>
      </c>
      <c r="G860" s="17" t="b">
        <v>0</v>
      </c>
      <c r="H860" s="16">
        <v>1</v>
      </c>
      <c r="I860" s="29" t="s">
        <v>20</v>
      </c>
      <c r="J860" s="16">
        <v>15</v>
      </c>
      <c r="K860" s="4">
        <f ca="1">IF(AND(F860&lt;&gt;"", L860&lt;&gt;""), NETWORKDAYS(TODAY(), L860-1, FESTIVOS!A$1:A$55), "")</f>
        <v>-2</v>
      </c>
      <c r="L860" s="9">
        <f>IF(AND(F860&lt;&gt;"", J860&lt;&gt;""), WORKDAY(F860, J860, FESTIVOS!A$1:A$55), "")</f>
        <v>46191</v>
      </c>
      <c r="M860" s="16" t="s">
        <v>1199</v>
      </c>
      <c r="N860" s="16" t="b">
        <v>0</v>
      </c>
      <c r="O860" s="16" t="b">
        <v>0</v>
      </c>
      <c r="P860" s="16" t="s">
        <v>37</v>
      </c>
      <c r="Q860" s="17" t="b">
        <v>0</v>
      </c>
      <c r="R860" s="18" t="b">
        <v>0</v>
      </c>
    </row>
    <row r="861" spans="1:18" x14ac:dyDescent="0.25">
      <c r="A861" s="14" t="s">
        <v>16</v>
      </c>
      <c r="B861" s="15" t="s">
        <v>68</v>
      </c>
      <c r="C861" s="16" t="s">
        <v>186</v>
      </c>
      <c r="D861" s="16" t="s">
        <v>1510</v>
      </c>
      <c r="E861" s="16">
        <v>860</v>
      </c>
      <c r="F861" s="17">
        <v>46168</v>
      </c>
      <c r="G861" s="17" t="b">
        <v>0</v>
      </c>
      <c r="H861" s="16">
        <v>0</v>
      </c>
      <c r="I861" s="29" t="s">
        <v>20</v>
      </c>
      <c r="J861" s="16">
        <v>15</v>
      </c>
      <c r="K861" s="4">
        <f ca="1">IF(AND(F861&lt;&gt;"", L861&lt;&gt;""), NETWORKDAYS(TODAY(), L861-1, FESTIVOS!A$1:A$55), "")</f>
        <v>-2</v>
      </c>
      <c r="L861" s="9">
        <f>IF(AND(F861&lt;&gt;"", J861&lt;&gt;""), WORKDAY(F861, J861, FESTIVOS!A$1:A$55), "")</f>
        <v>46191</v>
      </c>
      <c r="M861" s="16" t="s">
        <v>1199</v>
      </c>
      <c r="N861" s="16" t="b">
        <v>0</v>
      </c>
      <c r="O861" s="16" t="b">
        <v>0</v>
      </c>
      <c r="P861" s="16" t="s">
        <v>37</v>
      </c>
      <c r="Q861" s="17" t="b">
        <v>0</v>
      </c>
      <c r="R861" s="18" t="b">
        <v>0</v>
      </c>
    </row>
    <row r="862" spans="1:18" x14ac:dyDescent="0.25">
      <c r="A862" s="14" t="s">
        <v>16</v>
      </c>
      <c r="B862" s="15" t="s">
        <v>1511</v>
      </c>
      <c r="C862" s="16" t="s">
        <v>1511</v>
      </c>
      <c r="D862" s="16" t="s">
        <v>1512</v>
      </c>
      <c r="E862" s="16">
        <v>861</v>
      </c>
      <c r="F862" s="17" t="s">
        <v>1508</v>
      </c>
      <c r="G862" s="17" t="b">
        <v>0</v>
      </c>
      <c r="H862" s="16" t="b">
        <v>0</v>
      </c>
      <c r="I862" s="29"/>
      <c r="J862" s="16">
        <v>15</v>
      </c>
      <c r="K862" s="4">
        <f ca="1">IF(AND(F862&lt;&gt;"", L862&lt;&gt;""), NETWORKDAYS(TODAY(), L862-1, FESTIVOS!A$1:A$55), "")</f>
        <v>-3</v>
      </c>
      <c r="L862" s="9">
        <f>IF(AND(F862&lt;&gt;"", J862&lt;&gt;""), WORKDAY(F862, J862, FESTIVOS!A$1:A$55), "")</f>
        <v>46190</v>
      </c>
      <c r="M862" s="16" t="s">
        <v>1199</v>
      </c>
      <c r="N862" s="16" t="b">
        <v>0</v>
      </c>
      <c r="O862" s="16" t="b">
        <v>0</v>
      </c>
      <c r="P862" s="16" t="s">
        <v>37</v>
      </c>
      <c r="Q862" s="17" t="b">
        <v>0</v>
      </c>
      <c r="R862" s="18" t="b">
        <v>0</v>
      </c>
    </row>
    <row r="863" spans="1:18" x14ac:dyDescent="0.25">
      <c r="A863" s="14" t="s">
        <v>16</v>
      </c>
      <c r="B863" s="7" t="b">
        <v>0</v>
      </c>
      <c r="C863" s="4" t="b">
        <v>0</v>
      </c>
      <c r="D863" s="4" t="b">
        <v>0</v>
      </c>
      <c r="E863" s="16">
        <v>862</v>
      </c>
      <c r="F863" s="9" t="b">
        <v>0</v>
      </c>
      <c r="G863" s="17" t="b">
        <v>0</v>
      </c>
      <c r="H863" s="16" t="b">
        <v>0</v>
      </c>
      <c r="I863" s="28"/>
      <c r="J863" s="16">
        <v>15</v>
      </c>
      <c r="K863" s="4" t="e">
        <f ca="1">IF(AND(F863&lt;&gt;"", L863&lt;&gt;""), NETWORKDAYS(TODAY(), L863-1, FESTIVOS!A$1:A$55), "")</f>
        <v>#VALUE!</v>
      </c>
      <c r="L863" s="9" t="e">
        <f>IF(AND(F863&lt;&gt;"", J863&lt;&gt;""), WORKDAY(F863, J863, FESTIVOS!A$1:A$55), "")</f>
        <v>#VALUE!</v>
      </c>
      <c r="M863" s="16" t="s">
        <v>1199</v>
      </c>
      <c r="N863" s="4" t="b">
        <v>0</v>
      </c>
      <c r="O863" s="4" t="b">
        <v>0</v>
      </c>
      <c r="P863" s="4" t="s">
        <v>1513</v>
      </c>
      <c r="Q863" s="9" t="b">
        <v>0</v>
      </c>
      <c r="R863" s="12" t="b">
        <v>0</v>
      </c>
    </row>
    <row r="864" spans="1:18" x14ac:dyDescent="0.25">
      <c r="A864" s="14" t="s">
        <v>16</v>
      </c>
      <c r="B864" s="7" t="b">
        <v>0</v>
      </c>
      <c r="C864" s="4" t="b">
        <v>0</v>
      </c>
      <c r="D864" s="4" t="b">
        <v>0</v>
      </c>
      <c r="E864" s="16">
        <v>863</v>
      </c>
      <c r="F864" s="9" t="b">
        <v>0</v>
      </c>
      <c r="G864" s="17" t="b">
        <v>0</v>
      </c>
      <c r="H864" s="16" t="b">
        <v>0</v>
      </c>
      <c r="I864" s="28" t="b">
        <v>0</v>
      </c>
      <c r="J864" s="16">
        <v>15</v>
      </c>
      <c r="K864" s="4" t="e">
        <f ca="1">IF(AND(F864&lt;&gt;"", L864&lt;&gt;""), NETWORKDAYS(TODAY(), L864-1, FESTIVOS!A$1:A$55), "")</f>
        <v>#VALUE!</v>
      </c>
      <c r="L864" s="9" t="e">
        <f>IF(AND(F864&lt;&gt;"", J864&lt;&gt;""), WORKDAY(F864, J864, FESTIVOS!A$1:A$55), "")</f>
        <v>#VALUE!</v>
      </c>
      <c r="M864" s="16" t="s">
        <v>1199</v>
      </c>
      <c r="N864" s="4" t="b">
        <v>0</v>
      </c>
      <c r="O864" s="4" t="b">
        <v>0</v>
      </c>
      <c r="P864" s="4" t="s">
        <v>1514</v>
      </c>
      <c r="Q864" s="9" t="b">
        <v>0</v>
      </c>
      <c r="R864" s="12" t="b">
        <v>0</v>
      </c>
    </row>
    <row r="865" spans="1:18" x14ac:dyDescent="0.25">
      <c r="A865" s="14" t="s">
        <v>16</v>
      </c>
      <c r="B865" s="7" t="s">
        <v>208</v>
      </c>
      <c r="C865" s="4" t="s">
        <v>209</v>
      </c>
      <c r="D865" s="4" t="s">
        <v>1515</v>
      </c>
      <c r="E865" s="16">
        <v>849</v>
      </c>
      <c r="F865" s="9">
        <v>46168</v>
      </c>
      <c r="G865" s="17" t="b">
        <v>0</v>
      </c>
      <c r="H865" s="16" t="b">
        <v>0</v>
      </c>
      <c r="I865" s="28" t="s">
        <v>80</v>
      </c>
      <c r="J865" s="16">
        <v>15</v>
      </c>
      <c r="K865" s="4">
        <f ca="1">IF(AND(F865&lt;&gt;"", L865&lt;&gt;""), NETWORKDAYS(TODAY(), L865-1, FESTIVOS!A$1:A$55), "")</f>
        <v>-2</v>
      </c>
      <c r="L865" s="9">
        <f>IF(AND(F865&lt;&gt;"", J865&lt;&gt;""), WORKDAY(F865, J865, FESTIVOS!A$1:A$55), "")</f>
        <v>46191</v>
      </c>
      <c r="M865" s="16" t="s">
        <v>1199</v>
      </c>
      <c r="N865" s="4" t="b">
        <v>0</v>
      </c>
      <c r="O865" s="4" t="b">
        <v>0</v>
      </c>
      <c r="P865" s="4" t="b">
        <v>0</v>
      </c>
      <c r="Q865" s="9" t="b">
        <v>0</v>
      </c>
      <c r="R865" s="12" t="b">
        <v>0</v>
      </c>
    </row>
    <row r="866" spans="1:18" x14ac:dyDescent="0.25">
      <c r="A866" s="14" t="s">
        <v>16</v>
      </c>
      <c r="B866" s="7" t="s">
        <v>1516</v>
      </c>
      <c r="C866" s="4" t="s">
        <v>25</v>
      </c>
      <c r="D866" s="4" t="s">
        <v>1517</v>
      </c>
      <c r="E866" s="16">
        <v>865</v>
      </c>
      <c r="F866" s="9">
        <v>46168</v>
      </c>
      <c r="G866" s="17" t="b">
        <v>0</v>
      </c>
      <c r="H866" s="16">
        <v>0</v>
      </c>
      <c r="I866" s="28" t="s">
        <v>44</v>
      </c>
      <c r="J866" s="16">
        <v>15</v>
      </c>
      <c r="K866" s="4">
        <f ca="1">IF(AND(F866&lt;&gt;"", L866&lt;&gt;""), NETWORKDAYS(TODAY(), L866-1, FESTIVOS!A$1:A$55), "")</f>
        <v>-2</v>
      </c>
      <c r="L866" s="9">
        <f>IF(AND(F866&lt;&gt;"", J866&lt;&gt;""), WORKDAY(F866, J866, FESTIVOS!A$1:A$55), "")</f>
        <v>46191</v>
      </c>
      <c r="M866" s="16" t="s">
        <v>1199</v>
      </c>
      <c r="N866" s="4" t="b">
        <v>0</v>
      </c>
      <c r="O866" s="4" t="b">
        <v>0</v>
      </c>
      <c r="P866" s="4" t="b">
        <v>0</v>
      </c>
      <c r="Q866" s="9" t="b">
        <v>0</v>
      </c>
      <c r="R866" s="12" t="b">
        <v>0</v>
      </c>
    </row>
    <row r="867" spans="1:18" x14ac:dyDescent="0.25">
      <c r="A867" s="8" t="s">
        <v>16</v>
      </c>
      <c r="B867" s="7" t="s">
        <v>1518</v>
      </c>
      <c r="C867" s="4" t="s">
        <v>25</v>
      </c>
      <c r="D867" s="4" t="s">
        <v>61</v>
      </c>
      <c r="E867" s="16">
        <v>866</v>
      </c>
      <c r="F867" s="9" t="b">
        <v>0</v>
      </c>
      <c r="G867" s="17" t="b">
        <v>0</v>
      </c>
      <c r="H867" s="16" t="b">
        <v>0</v>
      </c>
      <c r="I867" s="28" t="b">
        <v>0</v>
      </c>
      <c r="J867" s="16">
        <v>15</v>
      </c>
      <c r="K867" s="4" t="e">
        <f ca="1">IF(AND(F867&lt;&gt;"", L867&lt;&gt;""), NETWORKDAYS(TODAY(), L867-1, FESTIVOS!A$1:A$55), "")</f>
        <v>#VALUE!</v>
      </c>
      <c r="L867" s="9" t="e">
        <f>IF(AND(F867&lt;&gt;"", J867&lt;&gt;""), WORKDAY(F867, J867, FESTIVOS!A$1:A$55), "")</f>
        <v>#VALUE!</v>
      </c>
      <c r="M867" s="16" t="s">
        <v>1199</v>
      </c>
      <c r="N867" s="4" t="b">
        <v>0</v>
      </c>
      <c r="O867" s="4" t="b">
        <v>0</v>
      </c>
      <c r="P867" s="4" t="s">
        <v>1519</v>
      </c>
      <c r="Q867" s="9" t="b">
        <v>0</v>
      </c>
      <c r="R867" s="12" t="b">
        <v>0</v>
      </c>
    </row>
    <row r="868" spans="1:18" x14ac:dyDescent="0.25">
      <c r="A868" s="8" t="s">
        <v>16</v>
      </c>
      <c r="B868" s="7" t="b">
        <v>0</v>
      </c>
      <c r="C868" s="4" t="b">
        <v>0</v>
      </c>
      <c r="D868" s="4" t="b">
        <v>0</v>
      </c>
      <c r="E868" s="16">
        <v>867</v>
      </c>
      <c r="F868" s="9">
        <v>46168</v>
      </c>
      <c r="G868" s="17" t="b">
        <v>0</v>
      </c>
      <c r="H868" s="16" t="b">
        <v>0</v>
      </c>
      <c r="I868" s="28"/>
      <c r="J868" s="16">
        <v>15</v>
      </c>
      <c r="K868" s="4">
        <f ca="1">IF(AND(F868&lt;&gt;"", L868&lt;&gt;""), NETWORKDAYS(TODAY(), L868-1, FESTIVOS!A$1:A$55), "")</f>
        <v>-2</v>
      </c>
      <c r="L868" s="9">
        <f>IF(AND(F868&lt;&gt;"", J868&lt;&gt;""), WORKDAY(F868, J868, FESTIVOS!A$1:A$55), "")</f>
        <v>46191</v>
      </c>
      <c r="M868" s="16" t="s">
        <v>1199</v>
      </c>
      <c r="N868" s="4" t="b">
        <v>0</v>
      </c>
      <c r="O868" s="4" t="b">
        <v>1</v>
      </c>
      <c r="P868" s="4" t="b">
        <v>0</v>
      </c>
      <c r="Q868" s="9" t="b">
        <v>0</v>
      </c>
      <c r="R868" s="12" t="b">
        <v>0</v>
      </c>
    </row>
    <row r="869" spans="1:18" x14ac:dyDescent="0.25">
      <c r="A869" s="14" t="s">
        <v>16</v>
      </c>
      <c r="B869" s="15" t="s">
        <v>1520</v>
      </c>
      <c r="C869" s="16" t="s">
        <v>25</v>
      </c>
      <c r="D869" s="22" t="s">
        <v>1521</v>
      </c>
      <c r="E869" s="16">
        <v>868</v>
      </c>
      <c r="F869" s="17" t="s">
        <v>1522</v>
      </c>
      <c r="G869" s="17" t="b">
        <v>0</v>
      </c>
      <c r="H869" s="16">
        <v>0</v>
      </c>
      <c r="I869" s="29" t="s">
        <v>20</v>
      </c>
      <c r="J869" s="16">
        <v>15</v>
      </c>
      <c r="K869" s="4">
        <f ca="1">IF(AND(F869&lt;&gt;"", L869&lt;&gt;""), NETWORKDAYS(TODAY(), L869-1, FESTIVOS!A$1:A$55), "")</f>
        <v>-2</v>
      </c>
      <c r="L869" s="9">
        <f>IF(AND(F869&lt;&gt;"", J869&lt;&gt;""), WORKDAY(F869, J869, FESTIVOS!A$1:A$55), "")</f>
        <v>46191</v>
      </c>
      <c r="M869" s="16" t="s">
        <v>1199</v>
      </c>
      <c r="N869" s="16" t="b">
        <v>0</v>
      </c>
      <c r="O869" s="16" t="b">
        <v>0</v>
      </c>
      <c r="P869" s="16" t="s">
        <v>1519</v>
      </c>
      <c r="Q869" s="17" t="b">
        <v>0</v>
      </c>
      <c r="R869" s="18" t="b">
        <v>0</v>
      </c>
    </row>
    <row r="870" spans="1:18" x14ac:dyDescent="0.25">
      <c r="A870" s="8" t="s">
        <v>16</v>
      </c>
      <c r="B870" s="7" t="s">
        <v>270</v>
      </c>
      <c r="C870" s="4" t="s">
        <v>25</v>
      </c>
      <c r="D870" s="4" t="s">
        <v>1517</v>
      </c>
      <c r="E870" s="16">
        <v>869</v>
      </c>
      <c r="F870" s="9">
        <v>46168</v>
      </c>
      <c r="G870" s="17" t="b">
        <v>0</v>
      </c>
      <c r="H870" s="16">
        <v>0</v>
      </c>
      <c r="I870" s="28" t="s">
        <v>20</v>
      </c>
      <c r="J870" s="16">
        <v>15</v>
      </c>
      <c r="K870" s="4">
        <f ca="1">IF(AND(F870&lt;&gt;"", L870&lt;&gt;""), NETWORKDAYS(TODAY(), L870-1, FESTIVOS!A$1:A$55), "")</f>
        <v>-2</v>
      </c>
      <c r="L870" s="9">
        <f>IF(AND(F870&lt;&gt;"", J870&lt;&gt;""), WORKDAY(F870, J870, FESTIVOS!A$1:A$55), "")</f>
        <v>46191</v>
      </c>
      <c r="M870" s="16" t="s">
        <v>1199</v>
      </c>
      <c r="N870" s="4" t="b">
        <v>0</v>
      </c>
      <c r="O870" s="4" t="b">
        <v>0</v>
      </c>
      <c r="P870" s="4" t="s">
        <v>1503</v>
      </c>
      <c r="Q870" s="9" t="b">
        <v>0</v>
      </c>
      <c r="R870" s="12" t="b">
        <v>0</v>
      </c>
    </row>
    <row r="871" spans="1:18" x14ac:dyDescent="0.25">
      <c r="A871" s="8" t="s">
        <v>16</v>
      </c>
      <c r="B871" s="7" t="s">
        <v>1523</v>
      </c>
      <c r="C871" s="4" t="s">
        <v>25</v>
      </c>
      <c r="D871" s="4" t="s">
        <v>1524</v>
      </c>
      <c r="E871" s="16">
        <v>870</v>
      </c>
      <c r="F871" s="9">
        <v>46168</v>
      </c>
      <c r="G871" s="17" t="b">
        <v>0</v>
      </c>
      <c r="H871" s="16">
        <v>4</v>
      </c>
      <c r="I871" s="28" t="s">
        <v>20</v>
      </c>
      <c r="J871" s="16">
        <v>15</v>
      </c>
      <c r="K871" s="4">
        <f ca="1">IF(AND(F871&lt;&gt;"", L871&lt;&gt;""), NETWORKDAYS(TODAY(), L871-1, FESTIVOS!A$1:A$55), "")</f>
        <v>-2</v>
      </c>
      <c r="L871" s="9">
        <f>IF(AND(F871&lt;&gt;"", J871&lt;&gt;""), WORKDAY(F871, J871, FESTIVOS!A$1:A$55), "")</f>
        <v>46191</v>
      </c>
      <c r="M871" s="16" t="s">
        <v>1199</v>
      </c>
      <c r="N871" s="4" t="b">
        <v>0</v>
      </c>
      <c r="O871" s="4" t="b">
        <v>0</v>
      </c>
      <c r="P871" s="4" t="s">
        <v>1503</v>
      </c>
      <c r="Q871" s="9" t="b">
        <v>0</v>
      </c>
      <c r="R871" s="12" t="b">
        <v>0</v>
      </c>
    </row>
    <row r="872" spans="1:18" x14ac:dyDescent="0.25">
      <c r="A872" s="8" t="s">
        <v>16</v>
      </c>
      <c r="B872" s="15" t="s">
        <v>1525</v>
      </c>
      <c r="C872" s="16" t="s">
        <v>25</v>
      </c>
      <c r="D872" s="16" t="s">
        <v>1526</v>
      </c>
      <c r="E872" s="16">
        <v>871</v>
      </c>
      <c r="F872" s="17" t="s">
        <v>1522</v>
      </c>
      <c r="G872" s="17" t="b">
        <v>0</v>
      </c>
      <c r="H872" s="16" t="b">
        <v>0</v>
      </c>
      <c r="I872" s="29" t="b">
        <v>0</v>
      </c>
      <c r="J872" s="16">
        <v>15</v>
      </c>
      <c r="K872" s="4">
        <f ca="1">IF(AND(F872&lt;&gt;"", L872&lt;&gt;""), NETWORKDAYS(TODAY(), L872-1, FESTIVOS!A$1:A$55), "")</f>
        <v>-2</v>
      </c>
      <c r="L872" s="9">
        <f>IF(AND(F872&lt;&gt;"", J872&lt;&gt;""), WORKDAY(F872, J872, FESTIVOS!A$1:A$55), "")</f>
        <v>46191</v>
      </c>
      <c r="M872" s="16" t="s">
        <v>1199</v>
      </c>
      <c r="N872" s="16" t="b">
        <v>0</v>
      </c>
      <c r="O872" s="16" t="s">
        <v>1527</v>
      </c>
      <c r="P872" s="16" t="s">
        <v>1528</v>
      </c>
      <c r="Q872" s="17">
        <v>46171</v>
      </c>
      <c r="R872" s="18" t="b">
        <v>0</v>
      </c>
    </row>
    <row r="873" spans="1:18" x14ac:dyDescent="0.25">
      <c r="A873" s="8" t="s">
        <v>16</v>
      </c>
      <c r="B873" s="7" t="b">
        <v>0</v>
      </c>
      <c r="C873" s="4" t="b">
        <v>0</v>
      </c>
      <c r="D873" s="4" t="b">
        <v>0</v>
      </c>
      <c r="E873" s="16">
        <v>872</v>
      </c>
      <c r="F873" s="9" t="b">
        <v>0</v>
      </c>
      <c r="G873" s="17" t="b">
        <v>0</v>
      </c>
      <c r="H873" s="16" t="b">
        <v>0</v>
      </c>
      <c r="I873" s="28"/>
      <c r="J873" s="16">
        <v>15</v>
      </c>
      <c r="K873" s="4" t="e">
        <f ca="1">IF(AND(F873&lt;&gt;"", L873&lt;&gt;""), NETWORKDAYS(TODAY(), L873-1, FESTIVOS!A$1:A$55), "")</f>
        <v>#VALUE!</v>
      </c>
      <c r="L873" s="9" t="e">
        <f>IF(AND(F873&lt;&gt;"", J873&lt;&gt;""), WORKDAY(F873, J873, FESTIVOS!A$1:A$55), "")</f>
        <v>#VALUE!</v>
      </c>
      <c r="M873" s="16" t="s">
        <v>1199</v>
      </c>
      <c r="N873" s="4" t="b">
        <v>0</v>
      </c>
      <c r="O873" s="4" t="b">
        <v>0</v>
      </c>
      <c r="P873" s="4" t="s">
        <v>1529</v>
      </c>
      <c r="Q873" s="9" t="b">
        <v>0</v>
      </c>
      <c r="R873" s="12" t="b">
        <v>0</v>
      </c>
    </row>
    <row r="874" spans="1:18" x14ac:dyDescent="0.25">
      <c r="A874" s="8" t="s">
        <v>16</v>
      </c>
      <c r="B874" s="7" t="b">
        <v>0</v>
      </c>
      <c r="C874" s="4" t="b">
        <v>0</v>
      </c>
      <c r="D874" s="4" t="b">
        <v>0</v>
      </c>
      <c r="E874" s="16">
        <v>873</v>
      </c>
      <c r="F874" s="9" t="b">
        <v>0</v>
      </c>
      <c r="G874" s="17" t="b">
        <v>0</v>
      </c>
      <c r="H874" s="16" t="b">
        <v>0</v>
      </c>
      <c r="I874" s="28"/>
      <c r="J874" s="16">
        <v>15</v>
      </c>
      <c r="K874" s="4" t="e">
        <f ca="1">IF(AND(F874&lt;&gt;"", L874&lt;&gt;""), NETWORKDAYS(TODAY(), L874-1, FESTIVOS!A$1:A$55), "")</f>
        <v>#VALUE!</v>
      </c>
      <c r="L874" s="9" t="e">
        <f>IF(AND(F874&lt;&gt;"", J874&lt;&gt;""), WORKDAY(F874, J874, FESTIVOS!A$1:A$55), "")</f>
        <v>#VALUE!</v>
      </c>
      <c r="M874" s="16" t="s">
        <v>1199</v>
      </c>
      <c r="N874" s="4" t="b">
        <v>0</v>
      </c>
      <c r="O874" s="4" t="b">
        <v>0</v>
      </c>
      <c r="P874" s="4" t="b">
        <v>0</v>
      </c>
      <c r="Q874" s="9" t="b">
        <v>0</v>
      </c>
      <c r="R874" s="12" t="b">
        <v>0</v>
      </c>
    </row>
    <row r="875" spans="1:18" x14ac:dyDescent="0.25">
      <c r="A875" s="8" t="s">
        <v>16</v>
      </c>
      <c r="B875" s="7" t="b">
        <v>0</v>
      </c>
      <c r="C875" s="4" t="b">
        <v>0</v>
      </c>
      <c r="D875" s="4" t="b">
        <v>0</v>
      </c>
      <c r="E875" s="16">
        <v>874</v>
      </c>
      <c r="F875" s="9" t="b">
        <v>0</v>
      </c>
      <c r="G875" s="17" t="b">
        <v>0</v>
      </c>
      <c r="H875" s="16" t="b">
        <v>0</v>
      </c>
      <c r="I875" s="28"/>
      <c r="J875" s="16">
        <v>15</v>
      </c>
      <c r="K875" s="4" t="e">
        <f ca="1">IF(AND(F875&lt;&gt;"", L875&lt;&gt;""), NETWORKDAYS(TODAY(), L875-1, FESTIVOS!A$1:A$55), "")</f>
        <v>#VALUE!</v>
      </c>
      <c r="L875" s="9" t="e">
        <f>IF(AND(F875&lt;&gt;"", J875&lt;&gt;""), WORKDAY(F875, J875, FESTIVOS!A$1:A$55), "")</f>
        <v>#VALUE!</v>
      </c>
      <c r="M875" s="16" t="s">
        <v>1199</v>
      </c>
      <c r="N875" s="4" t="b">
        <v>0</v>
      </c>
      <c r="O875" s="4" t="b">
        <v>0</v>
      </c>
      <c r="P875" s="4" t="s">
        <v>1336</v>
      </c>
      <c r="Q875" s="9">
        <v>46168</v>
      </c>
      <c r="R875" s="12" t="b">
        <v>0</v>
      </c>
    </row>
    <row r="876" spans="1:18" x14ac:dyDescent="0.25">
      <c r="A876" s="8" t="s">
        <v>16</v>
      </c>
      <c r="B876" s="7" t="s">
        <v>861</v>
      </c>
      <c r="C876" s="4" t="s">
        <v>32</v>
      </c>
      <c r="D876" s="4" t="s">
        <v>1530</v>
      </c>
      <c r="E876" s="16">
        <v>875</v>
      </c>
      <c r="F876" s="9">
        <v>46168</v>
      </c>
      <c r="G876" s="17" t="b">
        <v>0</v>
      </c>
      <c r="H876" s="16" t="b">
        <v>0</v>
      </c>
      <c r="I876" s="28"/>
      <c r="J876" s="16">
        <v>15</v>
      </c>
      <c r="K876" s="4">
        <f ca="1">IF(AND(F876&lt;&gt;"", L876&lt;&gt;""), NETWORKDAYS(TODAY(), L876-1, FESTIVOS!A$1:A$55), "")</f>
        <v>-2</v>
      </c>
      <c r="L876" s="9">
        <f>IF(AND(F876&lt;&gt;"", J876&lt;&gt;""), WORKDAY(F876, J876, FESTIVOS!A$1:A$55), "")</f>
        <v>46191</v>
      </c>
      <c r="M876" s="16" t="s">
        <v>1199</v>
      </c>
      <c r="N876" s="4" t="b">
        <v>0</v>
      </c>
      <c r="O876" s="4" t="b">
        <v>0</v>
      </c>
      <c r="P876" s="4" t="s">
        <v>1531</v>
      </c>
      <c r="Q876" s="9" t="b">
        <v>0</v>
      </c>
      <c r="R876" s="12" t="b">
        <v>0</v>
      </c>
    </row>
    <row r="877" spans="1:18" x14ac:dyDescent="0.25">
      <c r="A877" s="8" t="s">
        <v>16</v>
      </c>
      <c r="B877" s="7" t="b">
        <v>0</v>
      </c>
      <c r="C877" s="4" t="b">
        <v>0</v>
      </c>
      <c r="D877" s="4" t="b">
        <v>0</v>
      </c>
      <c r="E877" s="16">
        <v>876</v>
      </c>
      <c r="F877" s="9">
        <v>46169</v>
      </c>
      <c r="G877" s="17" t="b">
        <v>0</v>
      </c>
      <c r="H877" s="16" t="b">
        <v>1</v>
      </c>
      <c r="I877" s="28"/>
      <c r="J877" s="16">
        <v>15</v>
      </c>
      <c r="K877" s="4">
        <f ca="1">IF(AND(F877&lt;&gt;"", L877&lt;&gt;""), NETWORKDAYS(TODAY(), L877-1, FESTIVOS!A$1:A$55), "")</f>
        <v>1</v>
      </c>
      <c r="L877" s="9">
        <f>IF(AND(F877&lt;&gt;"", J877&lt;&gt;""), WORKDAY(F877, J877, FESTIVOS!A$1:A$55), "")</f>
        <v>46192</v>
      </c>
      <c r="M877" s="16" t="s">
        <v>1199</v>
      </c>
      <c r="N877" s="4" t="b">
        <v>0</v>
      </c>
      <c r="O877" s="4" t="b">
        <v>0</v>
      </c>
      <c r="P877" s="4" t="s">
        <v>1531</v>
      </c>
      <c r="Q877" s="9" t="b">
        <v>0</v>
      </c>
      <c r="R877" s="12" t="b">
        <v>0</v>
      </c>
    </row>
    <row r="878" spans="1:18" x14ac:dyDescent="0.25">
      <c r="A878" s="8" t="s">
        <v>16</v>
      </c>
      <c r="B878" s="7" t="s">
        <v>1532</v>
      </c>
      <c r="C878" s="4" t="s">
        <v>25</v>
      </c>
      <c r="D878" s="4" t="s">
        <v>1533</v>
      </c>
      <c r="E878" s="16">
        <v>877</v>
      </c>
      <c r="F878" s="9">
        <v>46168</v>
      </c>
      <c r="G878" s="17" t="b">
        <v>0</v>
      </c>
      <c r="H878" s="16">
        <v>0</v>
      </c>
      <c r="I878" s="28" t="s">
        <v>254</v>
      </c>
      <c r="J878" s="16">
        <v>15</v>
      </c>
      <c r="K878" s="4">
        <f ca="1">IF(AND(F878&lt;&gt;"", L878&lt;&gt;""), NETWORKDAYS(TODAY(), L878-1, FESTIVOS!A$1:A$55), "")</f>
        <v>-2</v>
      </c>
      <c r="L878" s="9">
        <f>IF(AND(F878&lt;&gt;"", J878&lt;&gt;""), WORKDAY(F878, J878, FESTIVOS!A$1:A$55), "")</f>
        <v>46191</v>
      </c>
      <c r="M878" s="16" t="s">
        <v>1199</v>
      </c>
      <c r="N878" s="4" t="b">
        <v>0</v>
      </c>
      <c r="O878" s="4" t="b">
        <v>0</v>
      </c>
      <c r="P878" s="4" t="b">
        <v>0</v>
      </c>
      <c r="Q878" s="9" t="b">
        <v>0</v>
      </c>
      <c r="R878" s="12" t="b">
        <v>0</v>
      </c>
    </row>
    <row r="879" spans="1:18" x14ac:dyDescent="0.25">
      <c r="A879" s="8"/>
      <c r="B879" s="7" t="b">
        <v>0</v>
      </c>
      <c r="C879" s="4" t="b">
        <v>0</v>
      </c>
      <c r="D879" s="4" t="b">
        <v>0</v>
      </c>
      <c r="E879" s="16">
        <v>878</v>
      </c>
      <c r="F879" s="9" t="b">
        <v>0</v>
      </c>
      <c r="G879" s="17" t="b">
        <v>0</v>
      </c>
      <c r="H879" s="16" t="b">
        <v>0</v>
      </c>
      <c r="I879" s="28"/>
      <c r="J879" s="16">
        <v>15</v>
      </c>
      <c r="K879" s="4" t="e">
        <f ca="1">IF(AND(F879&lt;&gt;"", L879&lt;&gt;""), NETWORKDAYS(TODAY(), L879-1, FESTIVOS!A$1:A$55), "")</f>
        <v>#VALUE!</v>
      </c>
      <c r="L879" s="9" t="e">
        <f>IF(AND(F879&lt;&gt;"", J879&lt;&gt;""), WORKDAY(F879, J879, FESTIVOS!A$1:A$55), "")</f>
        <v>#VALUE!</v>
      </c>
      <c r="M879" s="16" t="s">
        <v>1199</v>
      </c>
      <c r="N879" s="4" t="b">
        <v>0</v>
      </c>
      <c r="O879" s="4" t="b">
        <v>0</v>
      </c>
      <c r="P879" s="4" t="b">
        <v>0</v>
      </c>
      <c r="Q879" s="9" t="b">
        <v>0</v>
      </c>
      <c r="R879" s="12" t="b">
        <v>0</v>
      </c>
    </row>
    <row r="880" spans="1:18" x14ac:dyDescent="0.25">
      <c r="A880" s="8"/>
      <c r="B880" s="7" t="b">
        <v>0</v>
      </c>
      <c r="C880" s="4" t="b">
        <v>0</v>
      </c>
      <c r="D880" s="4" t="b">
        <v>0</v>
      </c>
      <c r="E880" s="16">
        <v>879</v>
      </c>
      <c r="F880" s="9" t="b">
        <v>0</v>
      </c>
      <c r="G880" s="17" t="b">
        <v>0</v>
      </c>
      <c r="H880" s="16" t="b">
        <v>0</v>
      </c>
      <c r="I880" s="28"/>
      <c r="J880" s="16">
        <v>15</v>
      </c>
      <c r="K880" s="4" t="e">
        <f ca="1">IF(AND(F880&lt;&gt;"", L880&lt;&gt;""), NETWORKDAYS(TODAY(), L880-1, FESTIVOS!A$1:A$55), "")</f>
        <v>#VALUE!</v>
      </c>
      <c r="L880" s="9" t="e">
        <f>IF(AND(F880&lt;&gt;"", J880&lt;&gt;""), WORKDAY(F880, J880, FESTIVOS!A$1:A$55), "")</f>
        <v>#VALUE!</v>
      </c>
      <c r="M880" s="16" t="s">
        <v>1199</v>
      </c>
      <c r="N880" s="4" t="b">
        <v>0</v>
      </c>
      <c r="O880" s="4" t="b">
        <v>0</v>
      </c>
      <c r="P880" s="4" t="s">
        <v>1534</v>
      </c>
      <c r="Q880" s="9" t="b">
        <v>0</v>
      </c>
      <c r="R880" s="12" t="b">
        <v>0</v>
      </c>
    </row>
    <row r="881" spans="1:18" x14ac:dyDescent="0.25">
      <c r="A881" s="14" t="s">
        <v>16</v>
      </c>
      <c r="B881" s="15" t="s">
        <v>1535</v>
      </c>
      <c r="C881" s="16" t="s">
        <v>1535</v>
      </c>
      <c r="D881" s="16" t="s">
        <v>1536</v>
      </c>
      <c r="E881" s="16">
        <v>880</v>
      </c>
      <c r="F881" s="17" t="s">
        <v>1537</v>
      </c>
      <c r="G881" s="17" t="b">
        <v>0</v>
      </c>
      <c r="H881" s="16" t="b">
        <v>0</v>
      </c>
      <c r="I881" s="29"/>
      <c r="J881" s="16">
        <v>15</v>
      </c>
      <c r="K881" s="4">
        <f ca="1">IF(AND(F881&lt;&gt;"", L881&lt;&gt;""), NETWORKDAYS(TODAY(), L881-1, FESTIVOS!A$1:A$55), "")</f>
        <v>1</v>
      </c>
      <c r="L881" s="9">
        <f>IF(AND(F881&lt;&gt;"", J881&lt;&gt;""), WORKDAY(F881, J881, FESTIVOS!A$1:A$55), "")</f>
        <v>46192</v>
      </c>
      <c r="M881" s="16" t="s">
        <v>1199</v>
      </c>
      <c r="N881" s="16" t="b">
        <v>0</v>
      </c>
      <c r="O881" s="16" t="b">
        <v>0</v>
      </c>
      <c r="P881" s="16" t="s">
        <v>1538</v>
      </c>
      <c r="Q881" s="17" t="b">
        <v>0</v>
      </c>
      <c r="R881" s="18" t="b">
        <v>0</v>
      </c>
    </row>
    <row r="882" spans="1:18" x14ac:dyDescent="0.25">
      <c r="A882" s="14" t="s">
        <v>16</v>
      </c>
      <c r="B882" s="15" t="s">
        <v>1539</v>
      </c>
      <c r="C882" s="16" t="s">
        <v>1539</v>
      </c>
      <c r="D882" s="16" t="s">
        <v>1540</v>
      </c>
      <c r="E882" s="16">
        <v>881</v>
      </c>
      <c r="F882" s="17" t="s">
        <v>1537</v>
      </c>
      <c r="G882" s="17" t="b">
        <v>0</v>
      </c>
      <c r="H882" s="16" t="b">
        <v>0</v>
      </c>
      <c r="I882" s="29"/>
      <c r="J882" s="16">
        <v>15</v>
      </c>
      <c r="K882" s="4">
        <f ca="1">IF(AND(F882&lt;&gt;"", L882&lt;&gt;""), NETWORKDAYS(TODAY(), L882-1, FESTIVOS!A$1:A$55), "")</f>
        <v>1</v>
      </c>
      <c r="L882" s="9">
        <f>IF(AND(F882&lt;&gt;"", J882&lt;&gt;""), WORKDAY(F882, J882, FESTIVOS!A$1:A$55), "")</f>
        <v>46192</v>
      </c>
      <c r="M882" s="16" t="s">
        <v>1199</v>
      </c>
      <c r="N882" s="16" t="b">
        <v>0</v>
      </c>
      <c r="O882" s="16" t="b">
        <v>0</v>
      </c>
      <c r="P882" s="16" t="s">
        <v>1541</v>
      </c>
      <c r="Q882" s="17" t="b">
        <v>0</v>
      </c>
      <c r="R882" s="18" t="b">
        <v>0</v>
      </c>
    </row>
    <row r="883" spans="1:18" x14ac:dyDescent="0.25">
      <c r="A883" s="8"/>
      <c r="B883" s="7" t="b">
        <v>0</v>
      </c>
      <c r="C883" s="4" t="b">
        <v>0</v>
      </c>
      <c r="D883" s="4" t="b">
        <v>0</v>
      </c>
      <c r="E883" s="16">
        <v>882</v>
      </c>
      <c r="F883" s="9" t="b">
        <v>0</v>
      </c>
      <c r="G883" s="17" t="b">
        <v>0</v>
      </c>
      <c r="H883" s="16" t="b">
        <v>0</v>
      </c>
      <c r="I883" s="28"/>
      <c r="J883" s="16">
        <v>15</v>
      </c>
      <c r="K883" s="4" t="e">
        <f ca="1">IF(AND(F883&lt;&gt;"", L883&lt;&gt;""), NETWORKDAYS(TODAY(), L883-1, FESTIVOS!A$1:A$55), "")</f>
        <v>#VALUE!</v>
      </c>
      <c r="L883" s="9" t="e">
        <f>IF(AND(F883&lt;&gt;"", J883&lt;&gt;""), WORKDAY(F883, J883, FESTIVOS!A$1:A$55), "")</f>
        <v>#VALUE!</v>
      </c>
      <c r="M883" s="16" t="s">
        <v>1199</v>
      </c>
      <c r="N883" s="4" t="b">
        <v>0</v>
      </c>
      <c r="O883" s="4" t="b">
        <v>0</v>
      </c>
      <c r="P883" s="4" t="b">
        <v>0</v>
      </c>
      <c r="Q883" s="9" t="b">
        <v>0</v>
      </c>
      <c r="R883" s="12" t="b">
        <v>0</v>
      </c>
    </row>
    <row r="884" spans="1:18" x14ac:dyDescent="0.25">
      <c r="A884" s="8"/>
      <c r="B884" s="7" t="b">
        <v>0</v>
      </c>
      <c r="C884" s="4" t="b">
        <v>0</v>
      </c>
      <c r="D884" s="4" t="b">
        <v>0</v>
      </c>
      <c r="E884" s="16">
        <v>883</v>
      </c>
      <c r="F884" s="9" t="b">
        <v>0</v>
      </c>
      <c r="G884" s="17" t="b">
        <v>0</v>
      </c>
      <c r="H884" s="16" t="b">
        <v>0</v>
      </c>
      <c r="I884" s="28"/>
      <c r="J884" s="16">
        <v>15</v>
      </c>
      <c r="K884" s="4" t="e">
        <f ca="1">IF(AND(F884&lt;&gt;"", L884&lt;&gt;""), NETWORKDAYS(TODAY(), L884-1, FESTIVOS!A$1:A$55), "")</f>
        <v>#VALUE!</v>
      </c>
      <c r="L884" s="9" t="e">
        <f>IF(AND(F884&lt;&gt;"", J884&lt;&gt;""), WORKDAY(F884, J884, FESTIVOS!A$1:A$55), "")</f>
        <v>#VALUE!</v>
      </c>
      <c r="M884" s="16" t="s">
        <v>1199</v>
      </c>
      <c r="N884" s="4" t="b">
        <v>0</v>
      </c>
      <c r="O884" s="4" t="b">
        <v>0</v>
      </c>
      <c r="P884" s="4" t="b">
        <v>0</v>
      </c>
      <c r="Q884" s="9" t="b">
        <v>0</v>
      </c>
      <c r="R884" s="12" t="b">
        <v>0</v>
      </c>
    </row>
    <row r="885" spans="1:18" x14ac:dyDescent="0.25">
      <c r="A885" s="8"/>
      <c r="B885" s="7" t="b">
        <v>0</v>
      </c>
      <c r="C885" s="4" t="b">
        <v>0</v>
      </c>
      <c r="D885" s="4" t="b">
        <v>0</v>
      </c>
      <c r="E885" s="16">
        <v>884</v>
      </c>
      <c r="F885" s="9" t="b">
        <v>0</v>
      </c>
      <c r="G885" s="17" t="b">
        <v>0</v>
      </c>
      <c r="H885" s="16" t="b">
        <v>0</v>
      </c>
      <c r="I885" s="28"/>
      <c r="J885" s="16">
        <v>15</v>
      </c>
      <c r="K885" s="4" t="e">
        <f ca="1">IF(AND(F885&lt;&gt;"", L885&lt;&gt;""), NETWORKDAYS(TODAY(), L885-1, FESTIVOS!A$1:A$55), "")</f>
        <v>#VALUE!</v>
      </c>
      <c r="L885" s="9" t="e">
        <f>IF(AND(F885&lt;&gt;"", J885&lt;&gt;""), WORKDAY(F885, J885, FESTIVOS!A$1:A$55), "")</f>
        <v>#VALUE!</v>
      </c>
      <c r="M885" s="16" t="s">
        <v>1199</v>
      </c>
      <c r="N885" s="4" t="b">
        <v>0</v>
      </c>
      <c r="O885" s="4" t="b">
        <v>0</v>
      </c>
      <c r="P885" s="4" t="b">
        <v>0</v>
      </c>
      <c r="Q885" s="9" t="b">
        <v>0</v>
      </c>
      <c r="R885" s="12" t="b">
        <v>0</v>
      </c>
    </row>
    <row r="886" spans="1:18" x14ac:dyDescent="0.25">
      <c r="A886" s="8" t="b">
        <v>0</v>
      </c>
      <c r="B886" s="7" t="b">
        <v>0</v>
      </c>
      <c r="C886" s="4" t="b">
        <v>0</v>
      </c>
      <c r="D886" s="4" t="b">
        <v>0</v>
      </c>
      <c r="E886" s="16">
        <v>885</v>
      </c>
      <c r="F886" s="9" t="b">
        <v>0</v>
      </c>
      <c r="G886" s="17" t="b">
        <v>0</v>
      </c>
      <c r="H886" s="16" t="b">
        <v>0</v>
      </c>
      <c r="I886" s="28" t="b">
        <v>0</v>
      </c>
      <c r="J886" s="16">
        <v>15</v>
      </c>
      <c r="K886" s="4" t="e">
        <f ca="1">IF(AND(F886&lt;&gt;"", L886&lt;&gt;""), NETWORKDAYS(TODAY(), L886-1, FESTIVOS!A$1:A$55), "")</f>
        <v>#VALUE!</v>
      </c>
      <c r="L886" s="9" t="e">
        <f>IF(AND(F886&lt;&gt;"", J886&lt;&gt;""), WORKDAY(F886, J886, FESTIVOS!A$1:A$55), "")</f>
        <v>#VALUE!</v>
      </c>
      <c r="M886" s="16" t="s">
        <v>1199</v>
      </c>
      <c r="N886" s="4" t="b">
        <v>0</v>
      </c>
      <c r="O886" s="4" t="b">
        <v>0</v>
      </c>
      <c r="P886" s="4" t="s">
        <v>1542</v>
      </c>
      <c r="Q886" s="9" t="b">
        <v>0</v>
      </c>
      <c r="R886" s="12" t="b">
        <v>0</v>
      </c>
    </row>
    <row r="887" spans="1:18" x14ac:dyDescent="0.25">
      <c r="A887" s="8" t="b">
        <v>0</v>
      </c>
      <c r="B887" s="7" t="b">
        <v>0</v>
      </c>
      <c r="C887" s="4" t="b">
        <v>0</v>
      </c>
      <c r="D887" s="4" t="b">
        <v>0</v>
      </c>
      <c r="E887" s="16">
        <v>886</v>
      </c>
      <c r="F887" s="9" t="b">
        <v>0</v>
      </c>
      <c r="G887" s="17" t="b">
        <v>0</v>
      </c>
      <c r="H887" s="16" t="b">
        <v>0</v>
      </c>
      <c r="I887" s="28" t="b">
        <v>0</v>
      </c>
      <c r="J887" s="16">
        <v>15</v>
      </c>
      <c r="K887" s="4" t="e">
        <f ca="1">IF(AND(F887&lt;&gt;"", L887&lt;&gt;""), NETWORKDAYS(TODAY(), L887-1, FESTIVOS!A$1:A$55), "")</f>
        <v>#VALUE!</v>
      </c>
      <c r="L887" s="9" t="e">
        <f>IF(AND(F887&lt;&gt;"", J887&lt;&gt;""), WORKDAY(F887, J887, FESTIVOS!A$1:A$55), "")</f>
        <v>#VALUE!</v>
      </c>
      <c r="M887" s="16" t="s">
        <v>1199</v>
      </c>
      <c r="N887" s="4" t="b">
        <v>0</v>
      </c>
      <c r="O887" s="4" t="b">
        <v>0</v>
      </c>
      <c r="P887" s="4" t="s">
        <v>1543</v>
      </c>
      <c r="Q887" s="9" t="b">
        <v>0</v>
      </c>
      <c r="R887" s="12" t="b">
        <v>0</v>
      </c>
    </row>
    <row r="888" spans="1:18" x14ac:dyDescent="0.25">
      <c r="A888" s="8" t="b">
        <v>0</v>
      </c>
      <c r="B888" s="7" t="b">
        <v>0</v>
      </c>
      <c r="C888" s="4" t="b">
        <v>0</v>
      </c>
      <c r="D888" s="4" t="b">
        <v>0</v>
      </c>
      <c r="E888" s="16">
        <v>887</v>
      </c>
      <c r="F888" s="9" t="b">
        <v>0</v>
      </c>
      <c r="G888" s="17" t="b">
        <v>0</v>
      </c>
      <c r="H888" s="16" t="b">
        <v>0</v>
      </c>
      <c r="I888" s="28" t="b">
        <v>0</v>
      </c>
      <c r="J888" s="16">
        <v>15</v>
      </c>
      <c r="K888" s="4" t="e">
        <f ca="1">IF(AND(F888&lt;&gt;"", L888&lt;&gt;""), NETWORKDAYS(TODAY(), L888-1, FESTIVOS!A$1:A$55), "")</f>
        <v>#VALUE!</v>
      </c>
      <c r="L888" s="9" t="e">
        <f>IF(AND(F888&lt;&gt;"", J888&lt;&gt;""), WORKDAY(F888, J888, FESTIVOS!A$1:A$55), "")</f>
        <v>#VALUE!</v>
      </c>
      <c r="M888" s="16" t="s">
        <v>1199</v>
      </c>
      <c r="N888" s="4" t="b">
        <v>0</v>
      </c>
      <c r="O888" s="4" t="b">
        <v>0</v>
      </c>
      <c r="P888" s="4" t="s">
        <v>1543</v>
      </c>
      <c r="Q888" s="9" t="b">
        <v>0</v>
      </c>
      <c r="R888" s="12" t="b">
        <v>0</v>
      </c>
    </row>
    <row r="889" spans="1:18" x14ac:dyDescent="0.25">
      <c r="A889" s="8" t="b">
        <v>0</v>
      </c>
      <c r="B889" s="7" t="b">
        <v>0</v>
      </c>
      <c r="C889" s="4" t="b">
        <v>0</v>
      </c>
      <c r="D889" s="4" t="b">
        <v>0</v>
      </c>
      <c r="E889" s="16">
        <v>888</v>
      </c>
      <c r="F889" s="9" t="b">
        <v>0</v>
      </c>
      <c r="G889" s="17" t="b">
        <v>0</v>
      </c>
      <c r="H889" s="16" t="b">
        <v>0</v>
      </c>
      <c r="I889" s="28" t="b">
        <v>0</v>
      </c>
      <c r="J889" s="16">
        <v>15</v>
      </c>
      <c r="K889" s="4" t="e">
        <f ca="1">IF(AND(F889&lt;&gt;"", L889&lt;&gt;""), NETWORKDAYS(TODAY(), L889-1, FESTIVOS!A$1:A$55), "")</f>
        <v>#VALUE!</v>
      </c>
      <c r="L889" s="9" t="e">
        <f>IF(AND(F889&lt;&gt;"", J889&lt;&gt;""), WORKDAY(F889, J889, FESTIVOS!A$1:A$55), "")</f>
        <v>#VALUE!</v>
      </c>
      <c r="M889" s="16" t="s">
        <v>1199</v>
      </c>
      <c r="N889" s="4" t="b">
        <v>0</v>
      </c>
      <c r="O889" s="4" t="b">
        <v>0</v>
      </c>
      <c r="P889" s="4" t="s">
        <v>1543</v>
      </c>
      <c r="Q889" s="9" t="b">
        <v>0</v>
      </c>
      <c r="R889" s="12" t="b">
        <v>0</v>
      </c>
    </row>
    <row r="890" spans="1:18" x14ac:dyDescent="0.25">
      <c r="A890" s="8" t="b">
        <v>0</v>
      </c>
      <c r="B890" s="7" t="b">
        <v>0</v>
      </c>
      <c r="C890" s="4" t="b">
        <v>0</v>
      </c>
      <c r="D890" s="4" t="b">
        <v>0</v>
      </c>
      <c r="E890" s="16">
        <v>889</v>
      </c>
      <c r="F890" s="9" t="b">
        <v>0</v>
      </c>
      <c r="G890" s="17" t="b">
        <v>0</v>
      </c>
      <c r="H890" s="16" t="b">
        <v>0</v>
      </c>
      <c r="I890" s="28" t="b">
        <v>0</v>
      </c>
      <c r="J890" s="16">
        <v>15</v>
      </c>
      <c r="K890" s="4" t="e">
        <f ca="1">IF(AND(F890&lt;&gt;"", L890&lt;&gt;""), NETWORKDAYS(TODAY(), L890-1, FESTIVOS!A$1:A$55), "")</f>
        <v>#VALUE!</v>
      </c>
      <c r="L890" s="9" t="e">
        <f>IF(AND(F890&lt;&gt;"", J890&lt;&gt;""), WORKDAY(F890, J890, FESTIVOS!A$1:A$55), "")</f>
        <v>#VALUE!</v>
      </c>
      <c r="M890" s="16" t="s">
        <v>1199</v>
      </c>
      <c r="N890" s="4" t="b">
        <v>0</v>
      </c>
      <c r="O890" s="4" t="b">
        <v>0</v>
      </c>
      <c r="P890" s="27" t="s">
        <v>1544</v>
      </c>
      <c r="Q890" s="9" t="b">
        <v>0</v>
      </c>
      <c r="R890" s="12" t="b">
        <v>0</v>
      </c>
    </row>
    <row r="891" spans="1:18" x14ac:dyDescent="0.25">
      <c r="A891" s="8" t="s">
        <v>16</v>
      </c>
      <c r="B891" s="7" t="s">
        <v>240</v>
      </c>
      <c r="C891" s="4" t="s">
        <v>32</v>
      </c>
      <c r="D891" s="4" t="s">
        <v>1545</v>
      </c>
      <c r="E891" s="16">
        <v>890</v>
      </c>
      <c r="F891" s="9">
        <v>46170</v>
      </c>
      <c r="G891" s="17" t="b">
        <v>0</v>
      </c>
      <c r="H891" s="16" t="b">
        <v>0</v>
      </c>
      <c r="I891" s="28"/>
      <c r="J891" s="16">
        <v>15</v>
      </c>
      <c r="K891" s="4">
        <f ca="1">IF(AND(F891&lt;&gt;"", L891&lt;&gt;""), NETWORKDAYS(TODAY(), L891-1, FESTIVOS!A$1:A$55), "")</f>
        <v>2</v>
      </c>
      <c r="L891" s="9">
        <f>IF(AND(F891&lt;&gt;"", J891&lt;&gt;""), WORKDAY(F891, J891, FESTIVOS!A$1:A$55), "")</f>
        <v>46195</v>
      </c>
      <c r="M891" s="16" t="s">
        <v>1199</v>
      </c>
      <c r="N891" s="4" t="b">
        <v>0</v>
      </c>
      <c r="O891" s="4" t="b">
        <v>0</v>
      </c>
      <c r="P891" s="27" t="s">
        <v>1546</v>
      </c>
      <c r="Q891" s="9" t="b">
        <v>0</v>
      </c>
      <c r="R891" s="12" t="b">
        <v>0</v>
      </c>
    </row>
    <row r="892" spans="1:18" ht="15.75" x14ac:dyDescent="0.25">
      <c r="A892" s="14" t="s">
        <v>16</v>
      </c>
      <c r="B892" s="26" t="s">
        <v>1547</v>
      </c>
      <c r="C892" s="16" t="s">
        <v>25</v>
      </c>
      <c r="D892" s="16" t="s">
        <v>1548</v>
      </c>
      <c r="E892" s="16">
        <v>891</v>
      </c>
      <c r="F892" s="17" t="s">
        <v>1549</v>
      </c>
      <c r="G892" s="17" t="b">
        <v>0</v>
      </c>
      <c r="H892" s="16" t="b">
        <v>0</v>
      </c>
      <c r="I892" s="29" t="s">
        <v>66</v>
      </c>
      <c r="J892" s="16">
        <v>15</v>
      </c>
      <c r="K892" s="4">
        <f ca="1">IF(AND(F892&lt;&gt;"", L892&lt;&gt;""), NETWORKDAYS(TODAY(), L892-1, FESTIVOS!A$1:A$55), "")</f>
        <v>2</v>
      </c>
      <c r="L892" s="9">
        <f>IF(AND(F892&lt;&gt;"", J892&lt;&gt;""), WORKDAY(F892, J892, FESTIVOS!A$1:A$55), "")</f>
        <v>46195</v>
      </c>
      <c r="M892" s="16" t="s">
        <v>1199</v>
      </c>
      <c r="N892" s="16" t="b">
        <v>0</v>
      </c>
      <c r="O892" s="16" t="b">
        <v>0</v>
      </c>
      <c r="P892" s="16" t="b">
        <v>0</v>
      </c>
      <c r="Q892" s="17" t="b">
        <v>0</v>
      </c>
      <c r="R892" s="18" t="b">
        <v>0</v>
      </c>
    </row>
    <row r="893" spans="1:18" x14ac:dyDescent="0.25">
      <c r="A893" s="14" t="s">
        <v>16</v>
      </c>
      <c r="B893" s="7" t="s">
        <v>1550</v>
      </c>
      <c r="C893" s="4" t="s">
        <v>25</v>
      </c>
      <c r="D893" s="4" t="s">
        <v>61</v>
      </c>
      <c r="E893" s="16">
        <v>892</v>
      </c>
      <c r="F893" s="9">
        <v>46170</v>
      </c>
      <c r="G893" s="17" t="b">
        <v>0</v>
      </c>
      <c r="H893" s="16">
        <v>1</v>
      </c>
      <c r="I893" s="28" t="s">
        <v>20</v>
      </c>
      <c r="J893" s="16">
        <v>15</v>
      </c>
      <c r="K893" s="4">
        <f ca="1">IF(AND(F893&lt;&gt;"", L893&lt;&gt;""), NETWORKDAYS(TODAY(), L893-1, FESTIVOS!A$1:A$55), "")</f>
        <v>2</v>
      </c>
      <c r="L893" s="9">
        <f>IF(AND(F893&lt;&gt;"", J893&lt;&gt;""), WORKDAY(F893, J893, FESTIVOS!A$1:A$55), "")</f>
        <v>46195</v>
      </c>
      <c r="M893" s="16" t="s">
        <v>1199</v>
      </c>
      <c r="N893" s="4" t="b">
        <v>0</v>
      </c>
      <c r="O893" s="4" t="b">
        <v>0</v>
      </c>
      <c r="P893" s="4" t="b">
        <v>0</v>
      </c>
      <c r="Q893" s="9" t="b">
        <v>0</v>
      </c>
      <c r="R893" s="12" t="b">
        <v>0</v>
      </c>
    </row>
    <row r="894" spans="1:18" x14ac:dyDescent="0.25">
      <c r="A894" s="14" t="s">
        <v>16</v>
      </c>
      <c r="B894" s="7" t="s">
        <v>370</v>
      </c>
      <c r="C894" s="4" t="s">
        <v>42</v>
      </c>
      <c r="D894" s="4" t="s">
        <v>1551</v>
      </c>
      <c r="E894" s="16">
        <v>893</v>
      </c>
      <c r="F894" s="9">
        <v>46171</v>
      </c>
      <c r="G894" s="17" t="b">
        <v>0</v>
      </c>
      <c r="H894" s="16">
        <v>2</v>
      </c>
      <c r="I894" s="28" t="s">
        <v>20</v>
      </c>
      <c r="J894" s="16">
        <v>15</v>
      </c>
      <c r="K894" s="4">
        <f ca="1">IF(AND(F894&lt;&gt;"", L894&lt;&gt;""), NETWORKDAYS(TODAY(), L894-1, FESTIVOS!A$1:A$55), "")</f>
        <v>3</v>
      </c>
      <c r="L894" s="9">
        <f>IF(AND(F894&lt;&gt;"", J894&lt;&gt;""), WORKDAY(F894, J894, FESTIVOS!A$1:A$55), "")</f>
        <v>46196</v>
      </c>
      <c r="M894" s="16" t="s">
        <v>1199</v>
      </c>
      <c r="N894" s="4" t="b">
        <v>0</v>
      </c>
      <c r="O894" s="4" t="b">
        <v>0</v>
      </c>
      <c r="P894" s="4" t="s">
        <v>1542</v>
      </c>
      <c r="Q894" s="9" t="b">
        <v>0</v>
      </c>
      <c r="R894" s="12" t="b">
        <v>0</v>
      </c>
    </row>
    <row r="895" spans="1:18" x14ac:dyDescent="0.25">
      <c r="A895" s="14" t="s">
        <v>16</v>
      </c>
      <c r="B895" s="7" t="s">
        <v>240</v>
      </c>
      <c r="C895" s="4" t="s">
        <v>32</v>
      </c>
      <c r="D895" s="4" t="s">
        <v>1552</v>
      </c>
      <c r="E895" s="16">
        <v>894</v>
      </c>
      <c r="F895" s="9">
        <v>46171</v>
      </c>
      <c r="G895" s="17" t="b">
        <v>0</v>
      </c>
      <c r="H895" s="16">
        <v>0</v>
      </c>
      <c r="I895" s="28" t="s">
        <v>20</v>
      </c>
      <c r="J895" s="16">
        <v>15</v>
      </c>
      <c r="K895" s="4">
        <f ca="1">IF(AND(F895&lt;&gt;"", L895&lt;&gt;""), NETWORKDAYS(TODAY(), L895-1, FESTIVOS!A$1:A$55), "")</f>
        <v>3</v>
      </c>
      <c r="L895" s="9">
        <f>IF(AND(F895&lt;&gt;"", J895&lt;&gt;""), WORKDAY(F895, J895, FESTIVOS!A$1:A$55), "")</f>
        <v>46196</v>
      </c>
      <c r="M895" s="16" t="s">
        <v>1199</v>
      </c>
      <c r="N895" s="4" t="b">
        <v>0</v>
      </c>
      <c r="O895" s="4" t="b">
        <v>0</v>
      </c>
      <c r="P895" s="4" t="s">
        <v>1553</v>
      </c>
      <c r="Q895" s="9" t="b">
        <v>0</v>
      </c>
      <c r="R895" s="12" t="b">
        <v>0</v>
      </c>
    </row>
    <row r="896" spans="1:18" x14ac:dyDescent="0.25">
      <c r="A896" s="8"/>
      <c r="B896" s="7" t="b">
        <v>0</v>
      </c>
      <c r="C896" s="4" t="b">
        <v>0</v>
      </c>
      <c r="D896" s="4" t="b">
        <v>0</v>
      </c>
      <c r="E896" s="16">
        <v>895</v>
      </c>
      <c r="F896" s="9" t="b">
        <v>0</v>
      </c>
      <c r="G896" s="17" t="b">
        <v>0</v>
      </c>
      <c r="H896" s="16" t="b">
        <v>0</v>
      </c>
      <c r="I896" s="28"/>
      <c r="J896" s="16">
        <v>15</v>
      </c>
      <c r="K896" s="4" t="e">
        <f ca="1">IF(AND(F896&lt;&gt;"", L896&lt;&gt;""), NETWORKDAYS(TODAY(), L896-1, FESTIVOS!A$1:A$55), "")</f>
        <v>#VALUE!</v>
      </c>
      <c r="L896" s="9" t="e">
        <f>IF(AND(F896&lt;&gt;"", J896&lt;&gt;""), WORKDAY(F896, J896, FESTIVOS!A$1:A$55), "")</f>
        <v>#VALUE!</v>
      </c>
      <c r="M896" s="16" t="s">
        <v>1199</v>
      </c>
      <c r="N896" s="4" t="b">
        <v>0</v>
      </c>
      <c r="O896" s="4" t="b">
        <v>0</v>
      </c>
      <c r="P896" s="4" t="s">
        <v>1531</v>
      </c>
      <c r="Q896" s="9" t="b">
        <v>0</v>
      </c>
      <c r="R896" s="12" t="b">
        <v>0</v>
      </c>
    </row>
    <row r="897" spans="1:18" x14ac:dyDescent="0.25">
      <c r="A897" s="8"/>
      <c r="B897" s="7" t="b">
        <v>0</v>
      </c>
      <c r="C897" s="4" t="b">
        <v>0</v>
      </c>
      <c r="D897" s="4" t="b">
        <v>0</v>
      </c>
      <c r="E897" s="16">
        <v>896</v>
      </c>
      <c r="F897" s="9" t="b">
        <v>0</v>
      </c>
      <c r="G897" s="17" t="b">
        <v>0</v>
      </c>
      <c r="H897" s="16" t="b">
        <v>0</v>
      </c>
      <c r="I897" s="28"/>
      <c r="J897" s="16">
        <v>15</v>
      </c>
      <c r="K897" s="4" t="e">
        <f ca="1">IF(AND(F897&lt;&gt;"", L897&lt;&gt;""), NETWORKDAYS(TODAY(), L897-1, FESTIVOS!A$1:A$55), "")</f>
        <v>#VALUE!</v>
      </c>
      <c r="L897" s="9" t="e">
        <f>IF(AND(F897&lt;&gt;"", J897&lt;&gt;""), WORKDAY(F897, J897, FESTIVOS!A$1:A$55), "")</f>
        <v>#VALUE!</v>
      </c>
      <c r="M897" s="16" t="s">
        <v>1199</v>
      </c>
      <c r="N897" s="4" t="b">
        <v>0</v>
      </c>
      <c r="O897" s="4" t="b">
        <v>0</v>
      </c>
      <c r="P897" s="4" t="s">
        <v>37</v>
      </c>
      <c r="Q897" s="9" t="b">
        <v>0</v>
      </c>
      <c r="R897" s="12" t="b">
        <v>0</v>
      </c>
    </row>
    <row r="898" spans="1:18" x14ac:dyDescent="0.25">
      <c r="A898" s="14" t="s">
        <v>16</v>
      </c>
      <c r="B898" s="15" t="s">
        <v>1554</v>
      </c>
      <c r="C898" s="16" t="s">
        <v>1554</v>
      </c>
      <c r="D898" s="16" t="s">
        <v>1555</v>
      </c>
      <c r="E898" s="16">
        <v>897</v>
      </c>
      <c r="F898" s="17">
        <v>46028</v>
      </c>
      <c r="G898" s="17" t="b">
        <v>0</v>
      </c>
      <c r="H898" s="16" t="b">
        <v>0</v>
      </c>
      <c r="I898" s="29"/>
      <c r="J898" s="16">
        <v>15</v>
      </c>
      <c r="K898" s="4">
        <f ca="1">IF(AND(F898&lt;&gt;"", L898&lt;&gt;""), NETWORKDAYS(TODAY(), L898-1, FESTIVOS!A$1:A$55), "")</f>
        <v>-96</v>
      </c>
      <c r="L898" s="9">
        <f>IF(AND(F898&lt;&gt;"", J898&lt;&gt;""), WORKDAY(F898, J898, FESTIVOS!A$1:A$55), "")</f>
        <v>46050</v>
      </c>
      <c r="M898" s="16" t="s">
        <v>1199</v>
      </c>
      <c r="N898" s="16" t="b">
        <v>0</v>
      </c>
      <c r="O898" s="16" t="b">
        <v>0</v>
      </c>
      <c r="P898" s="16" t="s">
        <v>37</v>
      </c>
      <c r="Q898" s="17" t="b">
        <v>0</v>
      </c>
      <c r="R898" s="18" t="b">
        <v>0</v>
      </c>
    </row>
    <row r="899" spans="1:18" x14ac:dyDescent="0.25">
      <c r="A899" s="14" t="s">
        <v>16</v>
      </c>
      <c r="B899" s="15" t="s">
        <v>1358</v>
      </c>
      <c r="C899" s="16" t="s">
        <v>1358</v>
      </c>
      <c r="D899" s="16" t="s">
        <v>1556</v>
      </c>
      <c r="E899" s="16">
        <v>898</v>
      </c>
      <c r="F899" s="17">
        <v>46028</v>
      </c>
      <c r="G899" s="17" t="b">
        <v>0</v>
      </c>
      <c r="H899" s="16" t="b">
        <v>0</v>
      </c>
      <c r="I899" s="29"/>
      <c r="J899" s="16">
        <v>15</v>
      </c>
      <c r="K899" s="4">
        <f ca="1">IF(AND(F899&lt;&gt;"", L899&lt;&gt;""), NETWORKDAYS(TODAY(), L899-1, FESTIVOS!A$1:A$55), "")</f>
        <v>-96</v>
      </c>
      <c r="L899" s="9">
        <f>IF(AND(F899&lt;&gt;"", J899&lt;&gt;""), WORKDAY(F899, J899, FESTIVOS!A$1:A$55), "")</f>
        <v>46050</v>
      </c>
      <c r="M899" s="16" t="s">
        <v>1199</v>
      </c>
      <c r="N899" s="16" t="b">
        <v>0</v>
      </c>
      <c r="O899" s="16" t="b">
        <v>0</v>
      </c>
      <c r="P899" s="16" t="s">
        <v>1543</v>
      </c>
      <c r="Q899" s="17" t="b">
        <v>0</v>
      </c>
      <c r="R899" s="18" t="b">
        <v>0</v>
      </c>
    </row>
    <row r="900" spans="1:18" x14ac:dyDescent="0.25">
      <c r="A900" s="14" t="s">
        <v>16</v>
      </c>
      <c r="B900" s="15" t="s">
        <v>1557</v>
      </c>
      <c r="C900" s="16" t="s">
        <v>1557</v>
      </c>
      <c r="D900" s="16" t="s">
        <v>1558</v>
      </c>
      <c r="E900" s="16">
        <v>899</v>
      </c>
      <c r="F900" s="17">
        <v>46028</v>
      </c>
      <c r="G900" s="17" t="b">
        <v>0</v>
      </c>
      <c r="H900" s="16" t="b">
        <v>0</v>
      </c>
      <c r="I900" s="29"/>
      <c r="J900" s="16">
        <v>15</v>
      </c>
      <c r="K900" s="4">
        <f ca="1">IF(AND(F900&lt;&gt;"", L900&lt;&gt;""), NETWORKDAYS(TODAY(), L900-1, FESTIVOS!A$1:A$55), "")</f>
        <v>-96</v>
      </c>
      <c r="L900" s="9">
        <f>IF(AND(F900&lt;&gt;"", J900&lt;&gt;""), WORKDAY(F900, J900, FESTIVOS!A$1:A$55), "")</f>
        <v>46050</v>
      </c>
      <c r="M900" s="16" t="s">
        <v>1199</v>
      </c>
      <c r="N900" s="16" t="b">
        <v>0</v>
      </c>
      <c r="O900" s="16" t="b">
        <v>0</v>
      </c>
      <c r="P900" s="16" t="b">
        <v>0</v>
      </c>
      <c r="Q900" s="17" t="b">
        <v>0</v>
      </c>
      <c r="R900" s="18" t="b">
        <v>0</v>
      </c>
    </row>
    <row r="901" spans="1:18" x14ac:dyDescent="0.25">
      <c r="A901" s="14" t="s">
        <v>16</v>
      </c>
      <c r="B901" s="7" t="b">
        <v>0</v>
      </c>
      <c r="C901" s="4" t="b">
        <v>0</v>
      </c>
      <c r="D901" s="4" t="b">
        <v>0</v>
      </c>
      <c r="E901" s="16">
        <v>900</v>
      </c>
      <c r="F901" s="9" t="b">
        <v>0</v>
      </c>
      <c r="G901" s="17" t="b">
        <v>0</v>
      </c>
      <c r="H901" s="16" t="b">
        <v>0</v>
      </c>
      <c r="I901" s="28"/>
      <c r="J901" s="16">
        <v>15</v>
      </c>
      <c r="K901" s="4" t="e">
        <f ca="1">IF(AND(F901&lt;&gt;"", L901&lt;&gt;""), NETWORKDAYS(TODAY(), L901-1, FESTIVOS!A$1:A$55), "")</f>
        <v>#VALUE!</v>
      </c>
      <c r="L901" s="9" t="e">
        <f>IF(AND(F901&lt;&gt;"", J901&lt;&gt;""), WORKDAY(F901, J901, FESTIVOS!A$1:A$55), "")</f>
        <v>#VALUE!</v>
      </c>
      <c r="M901" s="16" t="s">
        <v>1199</v>
      </c>
      <c r="N901" s="4" t="b">
        <v>0</v>
      </c>
      <c r="O901" s="4" t="b">
        <v>0</v>
      </c>
      <c r="P901" s="4" t="s">
        <v>37</v>
      </c>
      <c r="Q901" s="9" t="b">
        <v>0</v>
      </c>
      <c r="R901" s="12" t="b">
        <v>0</v>
      </c>
    </row>
    <row r="902" spans="1:18" x14ac:dyDescent="0.25">
      <c r="A902" s="14" t="s">
        <v>16</v>
      </c>
      <c r="B902" s="7" t="b">
        <v>0</v>
      </c>
      <c r="C902" s="4" t="b">
        <v>0</v>
      </c>
      <c r="D902" s="4" t="b">
        <v>0</v>
      </c>
      <c r="E902" s="16">
        <v>901</v>
      </c>
      <c r="F902" s="9" t="b">
        <v>0</v>
      </c>
      <c r="G902" s="17" t="b">
        <v>0</v>
      </c>
      <c r="H902" s="16" t="b">
        <v>0</v>
      </c>
      <c r="I902" s="28"/>
      <c r="J902" s="16">
        <v>15</v>
      </c>
      <c r="K902" s="4" t="e">
        <f ca="1">IF(AND(F902&lt;&gt;"", L902&lt;&gt;""), NETWORKDAYS(TODAY(), L902-1, FESTIVOS!A$1:A$55), "")</f>
        <v>#VALUE!</v>
      </c>
      <c r="L902" s="9" t="e">
        <f>IF(AND(F902&lt;&gt;"", J902&lt;&gt;""), WORKDAY(F902, J902, FESTIVOS!A$1:A$55), "")</f>
        <v>#VALUE!</v>
      </c>
      <c r="M902" s="16" t="s">
        <v>1199</v>
      </c>
      <c r="N902" s="4" t="b">
        <v>0</v>
      </c>
      <c r="O902" s="4" t="b">
        <v>0</v>
      </c>
      <c r="P902" s="4" t="s">
        <v>37</v>
      </c>
      <c r="Q902" s="9" t="b">
        <v>0</v>
      </c>
      <c r="R902" s="12" t="b">
        <v>0</v>
      </c>
    </row>
    <row r="903" spans="1:18" x14ac:dyDescent="0.25">
      <c r="A903" s="14" t="s">
        <v>16</v>
      </c>
      <c r="B903" s="7" t="b">
        <v>0</v>
      </c>
      <c r="C903" s="4" t="b">
        <v>0</v>
      </c>
      <c r="D903" s="4" t="b">
        <v>0</v>
      </c>
      <c r="E903" s="16">
        <v>902</v>
      </c>
      <c r="F903" s="9" t="b">
        <v>0</v>
      </c>
      <c r="G903" s="17" t="b">
        <v>0</v>
      </c>
      <c r="H903" s="16" t="b">
        <v>0</v>
      </c>
      <c r="I903" s="28"/>
      <c r="J903" s="16">
        <v>15</v>
      </c>
      <c r="K903" s="4" t="e">
        <f ca="1">IF(AND(F903&lt;&gt;"", L903&lt;&gt;""), NETWORKDAYS(TODAY(), L903-1, FESTIVOS!A$1:A$55), "")</f>
        <v>#VALUE!</v>
      </c>
      <c r="L903" s="9" t="e">
        <f>IF(AND(F903&lt;&gt;"", J903&lt;&gt;""), WORKDAY(F903, J903, FESTIVOS!A$1:A$55), "")</f>
        <v>#VALUE!</v>
      </c>
      <c r="M903" s="16" t="s">
        <v>1199</v>
      </c>
      <c r="N903" s="4" t="b">
        <v>0</v>
      </c>
      <c r="O903" s="4" t="b">
        <v>0</v>
      </c>
      <c r="P903" s="4" t="s">
        <v>37</v>
      </c>
      <c r="Q903" s="9" t="b">
        <v>0</v>
      </c>
      <c r="R903" s="12" t="b">
        <v>0</v>
      </c>
    </row>
    <row r="904" spans="1:18" x14ac:dyDescent="0.25">
      <c r="A904" s="14" t="s">
        <v>16</v>
      </c>
      <c r="B904" s="7" t="b">
        <v>0</v>
      </c>
      <c r="C904" s="4" t="b">
        <v>0</v>
      </c>
      <c r="D904" s="4" t="b">
        <v>0</v>
      </c>
      <c r="E904" s="16">
        <v>903</v>
      </c>
      <c r="F904" s="9" t="b">
        <v>0</v>
      </c>
      <c r="G904" s="17" t="b">
        <v>0</v>
      </c>
      <c r="H904" s="16" t="b">
        <v>0</v>
      </c>
      <c r="I904" s="28"/>
      <c r="J904" s="16">
        <v>15</v>
      </c>
      <c r="K904" s="4" t="e">
        <f ca="1">IF(AND(F904&lt;&gt;"", L904&lt;&gt;""), NETWORKDAYS(TODAY(), L904-1, FESTIVOS!A$1:A$55), "")</f>
        <v>#VALUE!</v>
      </c>
      <c r="L904" s="9" t="e">
        <f>IF(AND(F904&lt;&gt;"", J904&lt;&gt;""), WORKDAY(F904, J904, FESTIVOS!A$1:A$55), "")</f>
        <v>#VALUE!</v>
      </c>
      <c r="M904" s="16" t="s">
        <v>1199</v>
      </c>
      <c r="N904" s="4" t="b">
        <v>0</v>
      </c>
      <c r="O904" s="4" t="b">
        <v>0</v>
      </c>
      <c r="P904" s="4" t="s">
        <v>37</v>
      </c>
      <c r="Q904" s="9" t="b">
        <v>0</v>
      </c>
      <c r="R904" s="12" t="b">
        <v>0</v>
      </c>
    </row>
    <row r="905" spans="1:18" x14ac:dyDescent="0.25">
      <c r="A905" s="14" t="s">
        <v>16</v>
      </c>
      <c r="B905" s="7" t="b">
        <v>0</v>
      </c>
      <c r="C905" s="4" t="b">
        <v>0</v>
      </c>
      <c r="D905" s="4" t="b">
        <v>0</v>
      </c>
      <c r="E905" s="16">
        <v>904</v>
      </c>
      <c r="F905" s="9" t="b">
        <v>0</v>
      </c>
      <c r="G905" s="17" t="b">
        <v>0</v>
      </c>
      <c r="H905" s="16" t="b">
        <v>0</v>
      </c>
      <c r="I905" s="28"/>
      <c r="J905" s="16">
        <v>15</v>
      </c>
      <c r="K905" s="4" t="e">
        <f ca="1">IF(AND(F905&lt;&gt;"", L905&lt;&gt;""), NETWORKDAYS(TODAY(), L905-1, FESTIVOS!A$1:A$55), "")</f>
        <v>#VALUE!</v>
      </c>
      <c r="L905" s="9" t="e">
        <f>IF(AND(F905&lt;&gt;"", J905&lt;&gt;""), WORKDAY(F905, J905, FESTIVOS!A$1:A$55), "")</f>
        <v>#VALUE!</v>
      </c>
      <c r="M905" s="16" t="s">
        <v>1199</v>
      </c>
      <c r="N905" s="4" t="b">
        <v>0</v>
      </c>
      <c r="O905" s="4" t="b">
        <v>0</v>
      </c>
      <c r="P905" s="4" t="s">
        <v>1543</v>
      </c>
      <c r="Q905" s="9" t="b">
        <v>0</v>
      </c>
      <c r="R905" s="12" t="b">
        <v>0</v>
      </c>
    </row>
    <row r="906" spans="1:18" x14ac:dyDescent="0.25">
      <c r="A906" s="14" t="s">
        <v>16</v>
      </c>
      <c r="B906" s="7" t="b">
        <v>0</v>
      </c>
      <c r="C906" s="4" t="b">
        <v>0</v>
      </c>
      <c r="D906" s="4" t="b">
        <v>0</v>
      </c>
      <c r="E906" s="16">
        <v>905</v>
      </c>
      <c r="F906" s="9" t="b">
        <v>0</v>
      </c>
      <c r="G906" s="17" t="b">
        <v>0</v>
      </c>
      <c r="H906" s="16" t="b">
        <v>0</v>
      </c>
      <c r="I906" s="28"/>
      <c r="J906" s="16">
        <v>15</v>
      </c>
      <c r="K906" s="4" t="e">
        <f ca="1">IF(AND(F906&lt;&gt;"", L906&lt;&gt;""), NETWORKDAYS(TODAY(), L906-1, FESTIVOS!A$1:A$55), "")</f>
        <v>#VALUE!</v>
      </c>
      <c r="L906" s="9" t="e">
        <f>IF(AND(F906&lt;&gt;"", J906&lt;&gt;""), WORKDAY(F906, J906, FESTIVOS!A$1:A$55), "")</f>
        <v>#VALUE!</v>
      </c>
      <c r="M906" s="16" t="s">
        <v>1199</v>
      </c>
      <c r="N906" s="4" t="b">
        <v>0</v>
      </c>
      <c r="O906" s="4" t="b">
        <v>0</v>
      </c>
      <c r="P906" s="4" t="s">
        <v>1531</v>
      </c>
      <c r="Q906" s="9" t="b">
        <v>0</v>
      </c>
      <c r="R906" s="12" t="b">
        <v>0</v>
      </c>
    </row>
    <row r="907" spans="1:18" x14ac:dyDescent="0.25">
      <c r="A907" s="14" t="s">
        <v>16</v>
      </c>
      <c r="B907" s="7" t="b">
        <v>0</v>
      </c>
      <c r="C907" s="4" t="b">
        <v>0</v>
      </c>
      <c r="D907" s="4" t="b">
        <v>0</v>
      </c>
      <c r="E907" s="16">
        <v>906</v>
      </c>
      <c r="F907" s="9" t="b">
        <v>0</v>
      </c>
      <c r="G907" s="17" t="b">
        <v>0</v>
      </c>
      <c r="H907" s="16" t="b">
        <v>0</v>
      </c>
      <c r="I907" s="28"/>
      <c r="J907" s="16">
        <v>15</v>
      </c>
      <c r="K907" s="4" t="e">
        <f ca="1">IF(AND(F907&lt;&gt;"", L907&lt;&gt;""), NETWORKDAYS(TODAY(), L907-1, FESTIVOS!A$1:A$55), "")</f>
        <v>#VALUE!</v>
      </c>
      <c r="L907" s="9" t="e">
        <f>IF(AND(F907&lt;&gt;"", J907&lt;&gt;""), WORKDAY(F907, J907, FESTIVOS!A$1:A$55), "")</f>
        <v>#VALUE!</v>
      </c>
      <c r="M907" s="16" t="s">
        <v>1199</v>
      </c>
      <c r="N907" s="4" t="b">
        <v>0</v>
      </c>
      <c r="O907" s="4" t="b">
        <v>0</v>
      </c>
      <c r="P907" s="27" t="s">
        <v>1559</v>
      </c>
      <c r="Q907" s="9" t="b">
        <v>0</v>
      </c>
      <c r="R907" s="12" t="b">
        <v>0</v>
      </c>
    </row>
    <row r="908" spans="1:18" x14ac:dyDescent="0.25">
      <c r="A908" s="14" t="s">
        <v>16</v>
      </c>
      <c r="B908" s="15" t="s">
        <v>1467</v>
      </c>
      <c r="C908" s="16" t="s">
        <v>1467</v>
      </c>
      <c r="D908" s="16" t="s">
        <v>1560</v>
      </c>
      <c r="E908" s="16">
        <v>907</v>
      </c>
      <c r="F908" s="17">
        <v>46059</v>
      </c>
      <c r="G908" s="17" t="b">
        <v>0</v>
      </c>
      <c r="H908" s="16" t="b">
        <v>0</v>
      </c>
      <c r="I908" s="29"/>
      <c r="J908" s="16">
        <v>15</v>
      </c>
      <c r="K908" s="4">
        <f ca="1">IF(AND(F908&lt;&gt;"", L908&lt;&gt;""), NETWORKDAYS(TODAY(), L908-1, FESTIVOS!A$1:A$55), "")</f>
        <v>-74</v>
      </c>
      <c r="L908" s="9">
        <f>IF(AND(F908&lt;&gt;"", J908&lt;&gt;""), WORKDAY(F908, J908, FESTIVOS!A$1:A$55), "")</f>
        <v>46080</v>
      </c>
      <c r="M908" s="16" t="s">
        <v>1199</v>
      </c>
      <c r="N908" s="16" t="b">
        <v>0</v>
      </c>
      <c r="O908" s="16" t="b">
        <v>0</v>
      </c>
      <c r="P908" s="16" t="s">
        <v>37</v>
      </c>
      <c r="Q908" s="17" t="b">
        <v>0</v>
      </c>
      <c r="R908" s="18" t="b">
        <v>0</v>
      </c>
    </row>
    <row r="909" spans="1:18" x14ac:dyDescent="0.25">
      <c r="A909" s="8"/>
      <c r="B909" s="7" t="b">
        <v>0</v>
      </c>
      <c r="C909" s="4" t="b">
        <v>0</v>
      </c>
      <c r="D909" s="4" t="b">
        <v>0</v>
      </c>
      <c r="E909" s="16">
        <v>908</v>
      </c>
      <c r="F909" s="9" t="b">
        <v>0</v>
      </c>
      <c r="G909" s="17" t="b">
        <v>0</v>
      </c>
      <c r="H909" s="16" t="b">
        <v>0</v>
      </c>
      <c r="I909" s="28"/>
      <c r="J909" s="16">
        <v>15</v>
      </c>
      <c r="K909" s="4" t="e">
        <f ca="1">IF(AND(F909&lt;&gt;"", L909&lt;&gt;""), NETWORKDAYS(TODAY(), L909-1, FESTIVOS!A$1:A$55), "")</f>
        <v>#VALUE!</v>
      </c>
      <c r="L909" s="9" t="e">
        <f>IF(AND(F909&lt;&gt;"", J909&lt;&gt;""), WORKDAY(F909, J909, FESTIVOS!A$1:A$55), "")</f>
        <v>#VALUE!</v>
      </c>
      <c r="M909" s="16" t="s">
        <v>1199</v>
      </c>
      <c r="N909" s="4" t="b">
        <v>0</v>
      </c>
      <c r="O909" s="4" t="b">
        <v>0</v>
      </c>
      <c r="P909" s="4" t="s">
        <v>1531</v>
      </c>
      <c r="Q909" s="9" t="b">
        <v>0</v>
      </c>
      <c r="R909" s="12" t="b">
        <v>0</v>
      </c>
    </row>
    <row r="910" spans="1:18" x14ac:dyDescent="0.25">
      <c r="A910" s="8" t="b">
        <v>0</v>
      </c>
      <c r="B910" s="7" t="b">
        <v>0</v>
      </c>
      <c r="C910" s="4" t="b">
        <v>0</v>
      </c>
      <c r="D910" s="4" t="b">
        <v>0</v>
      </c>
      <c r="E910" s="16">
        <v>909</v>
      </c>
      <c r="F910" s="9" t="b">
        <v>0</v>
      </c>
      <c r="G910" s="17" t="b">
        <v>0</v>
      </c>
      <c r="H910" s="16" t="b">
        <v>0</v>
      </c>
      <c r="I910" s="28" t="b">
        <v>0</v>
      </c>
      <c r="J910" s="16">
        <v>15</v>
      </c>
      <c r="K910" s="4" t="e">
        <f ca="1">IF(AND(F910&lt;&gt;"", L910&lt;&gt;""), NETWORKDAYS(TODAY(), L910-1, FESTIVOS!A$1:A$55), "")</f>
        <v>#VALUE!</v>
      </c>
      <c r="L910" s="9" t="e">
        <f>IF(AND(F910&lt;&gt;"", J910&lt;&gt;""), WORKDAY(F910, J910, FESTIVOS!A$1:A$55), "")</f>
        <v>#VALUE!</v>
      </c>
      <c r="M910" s="16" t="s">
        <v>1199</v>
      </c>
      <c r="N910" s="4" t="b">
        <v>0</v>
      </c>
      <c r="O910" s="4" t="b">
        <v>0</v>
      </c>
      <c r="P910" s="4" t="s">
        <v>1534</v>
      </c>
      <c r="Q910" s="9" t="b">
        <v>0</v>
      </c>
      <c r="R910" s="12" t="b">
        <v>0</v>
      </c>
    </row>
    <row r="911" spans="1:18" x14ac:dyDescent="0.25">
      <c r="A911" s="8" t="b">
        <v>0</v>
      </c>
      <c r="B911" s="7" t="b">
        <v>0</v>
      </c>
      <c r="C911" s="4" t="b">
        <v>0</v>
      </c>
      <c r="D911" s="4" t="b">
        <v>0</v>
      </c>
      <c r="E911" s="16">
        <v>910</v>
      </c>
      <c r="F911" s="9" t="b">
        <v>0</v>
      </c>
      <c r="G911" s="17" t="b">
        <v>0</v>
      </c>
      <c r="H911" s="16" t="b">
        <v>0</v>
      </c>
      <c r="I911" s="28" t="b">
        <v>0</v>
      </c>
      <c r="J911" s="16">
        <v>15</v>
      </c>
      <c r="K911" s="4" t="e">
        <f ca="1">IF(AND(F911&lt;&gt;"", L911&lt;&gt;""), NETWORKDAYS(TODAY(), L911-1, FESTIVOS!A$1:A$55), "")</f>
        <v>#VALUE!</v>
      </c>
      <c r="L911" s="9" t="e">
        <f>IF(AND(F911&lt;&gt;"", J911&lt;&gt;""), WORKDAY(F911, J911, FESTIVOS!A$1:A$55), "")</f>
        <v>#VALUE!</v>
      </c>
      <c r="M911" s="16" t="s">
        <v>1199</v>
      </c>
      <c r="N911" s="4" t="b">
        <v>0</v>
      </c>
      <c r="O911" s="4" t="b">
        <v>0</v>
      </c>
      <c r="P911" s="27" t="s">
        <v>1561</v>
      </c>
      <c r="Q911" s="9" t="b">
        <v>0</v>
      </c>
      <c r="R911" s="12" t="b">
        <v>0</v>
      </c>
    </row>
    <row r="912" spans="1:18" x14ac:dyDescent="0.25">
      <c r="A912" s="14" t="s">
        <v>16</v>
      </c>
      <c r="B912" s="15" t="s">
        <v>1244</v>
      </c>
      <c r="C912" s="16" t="s">
        <v>1244</v>
      </c>
      <c r="D912" s="16" t="s">
        <v>1562</v>
      </c>
      <c r="E912" s="16">
        <v>911</v>
      </c>
      <c r="F912" s="17">
        <v>46059</v>
      </c>
      <c r="G912" s="17" t="b">
        <v>0</v>
      </c>
      <c r="H912" s="16" t="b">
        <v>0</v>
      </c>
      <c r="I912" s="29" t="b">
        <v>0</v>
      </c>
      <c r="J912" s="16">
        <v>15</v>
      </c>
      <c r="K912" s="4">
        <f ca="1">IF(AND(F912&lt;&gt;"", L912&lt;&gt;""), NETWORKDAYS(TODAY(), L912-1, FESTIVOS!A$1:A$55), "")</f>
        <v>-74</v>
      </c>
      <c r="L912" s="9">
        <f>IF(AND(F912&lt;&gt;"", J912&lt;&gt;""), WORKDAY(F912, J912, FESTIVOS!A$1:A$55), "")</f>
        <v>46080</v>
      </c>
      <c r="M912" s="16" t="s">
        <v>1199</v>
      </c>
      <c r="N912" s="16" t="b">
        <v>0</v>
      </c>
      <c r="O912" s="16" t="b">
        <v>0</v>
      </c>
      <c r="P912" s="16" t="s">
        <v>37</v>
      </c>
      <c r="Q912" s="17" t="b">
        <v>0</v>
      </c>
      <c r="R912" s="18" t="b">
        <v>0</v>
      </c>
    </row>
    <row r="913" spans="1:18" x14ac:dyDescent="0.25">
      <c r="A913" s="8"/>
      <c r="B913" s="7" t="b">
        <v>0</v>
      </c>
      <c r="C913" s="4" t="b">
        <v>0</v>
      </c>
      <c r="D913" s="4" t="b">
        <v>0</v>
      </c>
      <c r="E913" s="16">
        <v>912</v>
      </c>
      <c r="F913" s="9" t="b">
        <v>0</v>
      </c>
      <c r="G913" s="17" t="b">
        <v>0</v>
      </c>
      <c r="H913" s="16" t="b">
        <v>0</v>
      </c>
      <c r="I913" s="28"/>
      <c r="J913" s="16">
        <v>15</v>
      </c>
      <c r="K913" s="4" t="e">
        <f ca="1">IF(AND(F913&lt;&gt;"", L913&lt;&gt;""), NETWORKDAYS(TODAY(), L913-1, FESTIVOS!A$1:A$55), "")</f>
        <v>#VALUE!</v>
      </c>
      <c r="L913" s="9" t="e">
        <f>IF(AND(F913&lt;&gt;"", J913&lt;&gt;""), WORKDAY(F913, J913, FESTIVOS!A$1:A$55), "")</f>
        <v>#VALUE!</v>
      </c>
      <c r="M913" s="16" t="s">
        <v>1199</v>
      </c>
      <c r="N913" s="4" t="b">
        <v>0</v>
      </c>
      <c r="O913" s="4" t="b">
        <v>0</v>
      </c>
      <c r="P913" s="4" t="s">
        <v>37</v>
      </c>
      <c r="Q913" s="9" t="b">
        <v>0</v>
      </c>
      <c r="R913" s="12" t="b">
        <v>0</v>
      </c>
    </row>
    <row r="914" spans="1:18" x14ac:dyDescent="0.25">
      <c r="A914" s="8"/>
      <c r="B914" s="7" t="b">
        <v>0</v>
      </c>
      <c r="C914" s="4" t="b">
        <v>0</v>
      </c>
      <c r="D914" s="4" t="b">
        <v>0</v>
      </c>
      <c r="E914" s="16">
        <v>913</v>
      </c>
      <c r="F914" s="9" t="b">
        <v>0</v>
      </c>
      <c r="G914" s="17" t="b">
        <v>0</v>
      </c>
      <c r="H914" s="16" t="b">
        <v>0</v>
      </c>
      <c r="I914" s="28"/>
      <c r="J914" s="16">
        <v>15</v>
      </c>
      <c r="K914" s="4" t="e">
        <f ca="1">IF(AND(F914&lt;&gt;"", L914&lt;&gt;""), NETWORKDAYS(TODAY(), L914-1, FESTIVOS!A$1:A$55), "")</f>
        <v>#VALUE!</v>
      </c>
      <c r="L914" s="9" t="e">
        <f>IF(AND(F914&lt;&gt;"", J914&lt;&gt;""), WORKDAY(F914, J914, FESTIVOS!A$1:A$55), "")</f>
        <v>#VALUE!</v>
      </c>
      <c r="M914" s="16" t="s">
        <v>1199</v>
      </c>
      <c r="N914" s="4" t="b">
        <v>0</v>
      </c>
      <c r="O914" s="4" t="b">
        <v>0</v>
      </c>
      <c r="P914" s="4" t="s">
        <v>1563</v>
      </c>
      <c r="Q914" s="9" t="b">
        <v>0</v>
      </c>
      <c r="R914" s="12" t="b">
        <v>0</v>
      </c>
    </row>
    <row r="915" spans="1:18" x14ac:dyDescent="0.25">
      <c r="A915" s="8"/>
      <c r="B915" s="7" t="b">
        <v>0</v>
      </c>
      <c r="C915" s="4" t="b">
        <v>0</v>
      </c>
      <c r="D915" s="4" t="b">
        <v>0</v>
      </c>
      <c r="E915" s="16">
        <v>914</v>
      </c>
      <c r="F915" s="9" t="b">
        <v>0</v>
      </c>
      <c r="G915" s="17" t="b">
        <v>0</v>
      </c>
      <c r="H915" s="16" t="b">
        <v>0</v>
      </c>
      <c r="I915" s="28"/>
      <c r="J915" s="16">
        <v>15</v>
      </c>
      <c r="K915" s="4" t="e">
        <f ca="1">IF(AND(F915&lt;&gt;"", L915&lt;&gt;""), NETWORKDAYS(TODAY(), L915-1, FESTIVOS!A$1:A$55), "")</f>
        <v>#VALUE!</v>
      </c>
      <c r="L915" s="9" t="e">
        <f>IF(AND(F915&lt;&gt;"", J915&lt;&gt;""), WORKDAY(F915, J915, FESTIVOS!A$1:A$55), "")</f>
        <v>#VALUE!</v>
      </c>
      <c r="M915" s="16" t="s">
        <v>1199</v>
      </c>
      <c r="N915" s="4" t="b">
        <v>0</v>
      </c>
      <c r="O915" s="4" t="b">
        <v>0</v>
      </c>
      <c r="P915" s="4" t="s">
        <v>1563</v>
      </c>
      <c r="Q915" s="9" t="b">
        <v>0</v>
      </c>
      <c r="R915" s="12" t="b">
        <v>0</v>
      </c>
    </row>
    <row r="916" spans="1:18" x14ac:dyDescent="0.25">
      <c r="A916" s="14" t="s">
        <v>16</v>
      </c>
      <c r="B916" s="15" t="s">
        <v>1564</v>
      </c>
      <c r="C916" s="16" t="s">
        <v>1564</v>
      </c>
      <c r="D916" s="16" t="s">
        <v>1565</v>
      </c>
      <c r="E916" s="16">
        <v>915</v>
      </c>
      <c r="F916" s="17">
        <v>46176</v>
      </c>
      <c r="G916" s="17" t="b">
        <v>0</v>
      </c>
      <c r="H916" s="16">
        <v>1</v>
      </c>
      <c r="I916" s="29" t="s">
        <v>20</v>
      </c>
      <c r="J916" s="16">
        <v>15</v>
      </c>
      <c r="K916" s="4">
        <f ca="1">IF(AND(F916&lt;&gt;"", L916&lt;&gt;""), NETWORKDAYS(TODAY(), L916-1, FESTIVOS!A$1:A$55), "")</f>
        <v>6</v>
      </c>
      <c r="L916" s="9">
        <f>IF(AND(F916&lt;&gt;"", J916&lt;&gt;""), WORKDAY(F916, J916, FESTIVOS!A$1:A$55), "")</f>
        <v>46199</v>
      </c>
      <c r="M916" s="16" t="s">
        <v>1199</v>
      </c>
      <c r="N916" s="16" t="b">
        <v>0</v>
      </c>
      <c r="O916" s="16" t="b">
        <v>0</v>
      </c>
      <c r="P916" s="16" t="s">
        <v>1534</v>
      </c>
      <c r="Q916" s="17"/>
      <c r="R916" s="18" t="b">
        <v>0</v>
      </c>
    </row>
    <row r="917" spans="1:18" x14ac:dyDescent="0.25">
      <c r="A917" s="8"/>
      <c r="B917" s="7" t="b">
        <v>0</v>
      </c>
      <c r="C917" s="4" t="b">
        <v>0</v>
      </c>
      <c r="D917" s="4" t="b">
        <v>0</v>
      </c>
      <c r="E917" s="16">
        <v>916</v>
      </c>
      <c r="F917" s="17">
        <v>46176</v>
      </c>
      <c r="G917" s="17" t="b">
        <v>0</v>
      </c>
      <c r="H917" s="16" t="b">
        <v>0</v>
      </c>
      <c r="I917" s="28" t="s">
        <v>20</v>
      </c>
      <c r="J917" s="16">
        <v>15</v>
      </c>
      <c r="K917" s="4">
        <f ca="1">IF(AND(F917&lt;&gt;"", L917&lt;&gt;""), NETWORKDAYS(TODAY(), L917-1, FESTIVOS!A$1:A$55), "")</f>
        <v>6</v>
      </c>
      <c r="L917" s="9">
        <f>IF(AND(F917&lt;&gt;"", J917&lt;&gt;""), WORKDAY(F917, J917, FESTIVOS!A$1:A$55), "")</f>
        <v>46199</v>
      </c>
      <c r="M917" s="16" t="s">
        <v>1199</v>
      </c>
      <c r="N917" s="4" t="b">
        <v>0</v>
      </c>
      <c r="O917" s="4" t="b">
        <v>0</v>
      </c>
      <c r="P917" s="4" t="b">
        <v>0</v>
      </c>
      <c r="Q917" s="9" t="b">
        <v>0</v>
      </c>
      <c r="R917" s="12" t="b">
        <v>0</v>
      </c>
    </row>
    <row r="918" spans="1:18" x14ac:dyDescent="0.25">
      <c r="A918" s="8"/>
      <c r="B918" s="7" t="b">
        <v>0</v>
      </c>
      <c r="C918" s="4" t="b">
        <v>0</v>
      </c>
      <c r="D918" s="4" t="b">
        <v>0</v>
      </c>
      <c r="E918" s="16">
        <v>917</v>
      </c>
      <c r="F918" s="9" t="b">
        <v>0</v>
      </c>
      <c r="G918" s="17" t="b">
        <v>0</v>
      </c>
      <c r="H918" s="16" t="b">
        <v>0</v>
      </c>
      <c r="I918" s="28"/>
      <c r="J918" s="16">
        <v>15</v>
      </c>
      <c r="K918" s="4" t="e">
        <f ca="1">IF(AND(F918&lt;&gt;"", L918&lt;&gt;""), NETWORKDAYS(TODAY(), L918-1, FESTIVOS!A$1:A$55), "")</f>
        <v>#VALUE!</v>
      </c>
      <c r="L918" s="9" t="e">
        <f>IF(AND(F918&lt;&gt;"", J918&lt;&gt;""), WORKDAY(F918, J918, FESTIVOS!A$1:A$55), "")</f>
        <v>#VALUE!</v>
      </c>
      <c r="M918" s="4" t="b">
        <v>0</v>
      </c>
      <c r="N918" s="4" t="b">
        <v>0</v>
      </c>
      <c r="O918" s="4" t="b">
        <v>0</v>
      </c>
      <c r="P918" s="4" t="s">
        <v>1531</v>
      </c>
      <c r="Q918" s="9" t="b">
        <v>0</v>
      </c>
      <c r="R918" s="12" t="b">
        <v>0</v>
      </c>
    </row>
    <row r="919" spans="1:18" x14ac:dyDescent="0.25">
      <c r="A919" s="14" t="s">
        <v>16</v>
      </c>
      <c r="B919" s="15" t="s">
        <v>1566</v>
      </c>
      <c r="C919" s="16" t="s">
        <v>1566</v>
      </c>
      <c r="D919" s="16" t="s">
        <v>1567</v>
      </c>
      <c r="E919" s="16">
        <v>918</v>
      </c>
      <c r="F919" s="17">
        <v>46087</v>
      </c>
      <c r="G919" s="17" t="b">
        <v>0</v>
      </c>
      <c r="H919" s="16" t="b">
        <v>0</v>
      </c>
      <c r="I919" s="29"/>
      <c r="J919" s="16">
        <v>15</v>
      </c>
      <c r="K919" s="4">
        <f ca="1">IF(AND(F919&lt;&gt;"", L919&lt;&gt;""), NETWORKDAYS(TODAY(), L919-1, FESTIVOS!A$1:A$55), "")</f>
        <v>-53</v>
      </c>
      <c r="L919" s="9">
        <f>IF(AND(F919&lt;&gt;"", J919&lt;&gt;""), WORKDAY(F919, J919, FESTIVOS!A$1:A$55), "")</f>
        <v>46111</v>
      </c>
      <c r="M919" s="16" t="s">
        <v>1179</v>
      </c>
      <c r="N919" s="16" t="b">
        <v>0</v>
      </c>
      <c r="O919" s="16" t="b">
        <v>0</v>
      </c>
      <c r="P919" s="16" t="s">
        <v>1543</v>
      </c>
      <c r="Q919" s="17" t="b">
        <v>0</v>
      </c>
      <c r="R919" s="18" t="b">
        <v>0</v>
      </c>
    </row>
    <row r="920" spans="1:18" x14ac:dyDescent="0.25">
      <c r="A920" s="14" t="s">
        <v>16</v>
      </c>
      <c r="B920" s="15" t="s">
        <v>1568</v>
      </c>
      <c r="C920" s="16" t="s">
        <v>1568</v>
      </c>
      <c r="D920" s="16" t="s">
        <v>1569</v>
      </c>
      <c r="E920" s="16">
        <v>919</v>
      </c>
      <c r="F920" s="17">
        <v>46087</v>
      </c>
      <c r="G920" s="17" t="b">
        <v>0</v>
      </c>
      <c r="H920" s="16" t="b">
        <v>0</v>
      </c>
      <c r="I920" s="29"/>
      <c r="J920" s="16">
        <v>15</v>
      </c>
      <c r="K920" s="4">
        <f ca="1">IF(AND(F920&lt;&gt;"", L920&lt;&gt;""), NETWORKDAYS(TODAY(), L920-1, FESTIVOS!A$1:A$55), "")</f>
        <v>-53</v>
      </c>
      <c r="L920" s="9">
        <f>IF(AND(F920&lt;&gt;"", J920&lt;&gt;""), WORKDAY(F920, J920, FESTIVOS!A$1:A$55), "")</f>
        <v>46111</v>
      </c>
      <c r="M920" s="16" t="s">
        <v>1179</v>
      </c>
      <c r="N920" s="16" t="b">
        <v>0</v>
      </c>
      <c r="O920" s="16" t="b">
        <v>0</v>
      </c>
      <c r="P920" s="16" t="s">
        <v>1531</v>
      </c>
      <c r="Q920" s="17" t="b">
        <v>0</v>
      </c>
      <c r="R920" s="18" t="b">
        <v>0</v>
      </c>
    </row>
    <row r="921" spans="1:18" x14ac:dyDescent="0.25">
      <c r="A921" s="14" t="s">
        <v>16</v>
      </c>
      <c r="B921" s="15" t="s">
        <v>1570</v>
      </c>
      <c r="C921" s="16" t="s">
        <v>1570</v>
      </c>
      <c r="D921" s="16" t="s">
        <v>1571</v>
      </c>
      <c r="E921" s="16">
        <v>920</v>
      </c>
      <c r="F921" s="17">
        <v>46087</v>
      </c>
      <c r="G921" s="17" t="b">
        <v>0</v>
      </c>
      <c r="H921" s="16" t="b">
        <v>0</v>
      </c>
      <c r="I921" s="29"/>
      <c r="J921" s="16">
        <v>15</v>
      </c>
      <c r="K921" s="4">
        <f ca="1">IF(AND(F921&lt;&gt;"", L921&lt;&gt;""), NETWORKDAYS(TODAY(), L921-1, FESTIVOS!A$1:A$55), "")</f>
        <v>-53</v>
      </c>
      <c r="L921" s="9">
        <f>IF(AND(F921&lt;&gt;"", J921&lt;&gt;""), WORKDAY(F921, J921, FESTIVOS!A$1:A$55), "")</f>
        <v>46111</v>
      </c>
      <c r="M921" s="16" t="s">
        <v>1179</v>
      </c>
      <c r="N921" s="16" t="b">
        <v>0</v>
      </c>
      <c r="O921" s="16" t="b">
        <v>0</v>
      </c>
      <c r="P921" s="16" t="s">
        <v>1572</v>
      </c>
      <c r="Q921" s="17" t="b">
        <v>0</v>
      </c>
      <c r="R921" s="18" t="b">
        <v>0</v>
      </c>
    </row>
    <row r="922" spans="1:18" x14ac:dyDescent="0.25">
      <c r="A922" s="8"/>
      <c r="B922" s="7" t="b">
        <v>0</v>
      </c>
      <c r="C922" s="4" t="b">
        <v>0</v>
      </c>
      <c r="D922" s="4" t="b">
        <v>0</v>
      </c>
      <c r="E922" s="16">
        <v>921</v>
      </c>
      <c r="F922" s="9" t="b">
        <v>0</v>
      </c>
      <c r="G922" s="17" t="b">
        <v>0</v>
      </c>
      <c r="H922" s="16" t="b">
        <v>0</v>
      </c>
      <c r="I922" s="28"/>
      <c r="J922" s="16">
        <v>15</v>
      </c>
      <c r="K922" s="4" t="e">
        <f ca="1">IF(AND(F922&lt;&gt;"", L922&lt;&gt;""), NETWORKDAYS(TODAY(), L922-1, FESTIVOS!A$1:A$55), "")</f>
        <v>#VALUE!</v>
      </c>
      <c r="L922" s="9" t="e">
        <f>IF(AND(F922&lt;&gt;"", J922&lt;&gt;""), WORKDAY(F922, J922, FESTIVOS!A$1:A$55), "")</f>
        <v>#VALUE!</v>
      </c>
      <c r="M922" s="4" t="b">
        <v>0</v>
      </c>
      <c r="N922" s="4" t="b">
        <v>0</v>
      </c>
      <c r="O922" s="4" t="b">
        <v>0</v>
      </c>
      <c r="P922" s="4" t="b">
        <v>0</v>
      </c>
      <c r="Q922" s="9" t="b">
        <v>0</v>
      </c>
      <c r="R922" s="12" t="b">
        <v>0</v>
      </c>
    </row>
    <row r="923" spans="1:18" x14ac:dyDescent="0.25">
      <c r="A923" s="8"/>
      <c r="B923" s="7" t="b">
        <v>0</v>
      </c>
      <c r="C923" s="4" t="b">
        <v>0</v>
      </c>
      <c r="D923" s="4" t="b">
        <v>0</v>
      </c>
      <c r="E923" s="16">
        <v>922</v>
      </c>
      <c r="F923" s="9" t="b">
        <v>0</v>
      </c>
      <c r="G923" s="17" t="b">
        <v>0</v>
      </c>
      <c r="H923" s="16" t="b">
        <v>0</v>
      </c>
      <c r="I923" s="28"/>
      <c r="J923" s="16">
        <v>15</v>
      </c>
      <c r="K923" s="4" t="e">
        <f ca="1">IF(AND(F923&lt;&gt;"", L923&lt;&gt;""), NETWORKDAYS(TODAY(), L923-1, FESTIVOS!A$1:A$55), "")</f>
        <v>#VALUE!</v>
      </c>
      <c r="L923" s="9" t="e">
        <f>IF(AND(F923&lt;&gt;"", J923&lt;&gt;""), WORKDAY(F923, J923, FESTIVOS!A$1:A$55), "")</f>
        <v>#VALUE!</v>
      </c>
      <c r="M923" s="4" t="b">
        <v>0</v>
      </c>
      <c r="N923" s="4" t="b">
        <v>0</v>
      </c>
      <c r="O923" s="4" t="b">
        <v>0</v>
      </c>
      <c r="P923" s="4" t="b">
        <v>0</v>
      </c>
      <c r="Q923" s="9" t="b">
        <v>0</v>
      </c>
      <c r="R923" s="12" t="b">
        <v>0</v>
      </c>
    </row>
    <row r="924" spans="1:18" x14ac:dyDescent="0.25">
      <c r="A924" s="8"/>
      <c r="B924" s="7" t="b">
        <v>0</v>
      </c>
      <c r="C924" s="4" t="b">
        <v>0</v>
      </c>
      <c r="D924" s="4" t="b">
        <v>0</v>
      </c>
      <c r="E924" s="16">
        <v>923</v>
      </c>
      <c r="F924" s="9" t="b">
        <v>0</v>
      </c>
      <c r="G924" s="17" t="b">
        <v>0</v>
      </c>
      <c r="H924" s="16" t="b">
        <v>0</v>
      </c>
      <c r="I924" s="28"/>
      <c r="J924" s="16">
        <v>15</v>
      </c>
      <c r="K924" s="4" t="e">
        <f ca="1">IF(AND(F924&lt;&gt;"", L924&lt;&gt;""), NETWORKDAYS(TODAY(), L924-1, FESTIVOS!A$1:A$55), "")</f>
        <v>#VALUE!</v>
      </c>
      <c r="L924" s="9" t="e">
        <f>IF(AND(F924&lt;&gt;"", J924&lt;&gt;""), WORKDAY(F924, J924, FESTIVOS!A$1:A$55), "")</f>
        <v>#VALUE!</v>
      </c>
      <c r="M924" s="4" t="b">
        <v>0</v>
      </c>
      <c r="N924" s="4" t="b">
        <v>0</v>
      </c>
      <c r="O924" s="4" t="b">
        <v>0</v>
      </c>
      <c r="P924" s="4" t="b">
        <v>0</v>
      </c>
      <c r="Q924" s="9" t="b">
        <v>0</v>
      </c>
      <c r="R924" s="12" t="b">
        <v>0</v>
      </c>
    </row>
    <row r="925" spans="1:18" x14ac:dyDescent="0.25">
      <c r="A925" s="8" t="s">
        <v>16</v>
      </c>
      <c r="B925" s="7" t="b">
        <v>0</v>
      </c>
      <c r="C925" s="4" t="b">
        <v>0</v>
      </c>
      <c r="D925" s="4" t="b">
        <v>0</v>
      </c>
      <c r="E925" s="16">
        <v>924</v>
      </c>
      <c r="F925" s="9" t="b">
        <v>0</v>
      </c>
      <c r="G925" s="17" t="b">
        <v>0</v>
      </c>
      <c r="H925" s="16" t="b">
        <v>0</v>
      </c>
      <c r="I925" s="28"/>
      <c r="J925" s="16">
        <v>15</v>
      </c>
      <c r="K925" s="4" t="e">
        <f ca="1">IF(AND(F925&lt;&gt;"", L925&lt;&gt;""), NETWORKDAYS(TODAY(), L925-1, FESTIVOS!A$1:A$55), "")</f>
        <v>#VALUE!</v>
      </c>
      <c r="L925" s="9" t="e">
        <f>IF(AND(F925&lt;&gt;"", J925&lt;&gt;""), WORKDAY(F925, J925, FESTIVOS!A$1:A$55), "")</f>
        <v>#VALUE!</v>
      </c>
      <c r="M925" s="4" t="b">
        <v>0</v>
      </c>
      <c r="N925" s="4" t="b">
        <v>0</v>
      </c>
      <c r="O925" s="4" t="b">
        <v>0</v>
      </c>
      <c r="P925" s="4" t="b">
        <v>0</v>
      </c>
      <c r="Q925" s="9" t="b">
        <v>0</v>
      </c>
      <c r="R925" s="12" t="b">
        <v>0</v>
      </c>
    </row>
    <row r="926" spans="1:18" x14ac:dyDescent="0.25">
      <c r="A926" s="8"/>
      <c r="B926" s="7" t="b">
        <v>0</v>
      </c>
      <c r="C926" s="4" t="b">
        <v>0</v>
      </c>
      <c r="D926" s="4" t="b">
        <v>0</v>
      </c>
      <c r="E926" s="16">
        <v>925</v>
      </c>
      <c r="F926" s="9" t="b">
        <v>0</v>
      </c>
      <c r="G926" s="17" t="b">
        <v>0</v>
      </c>
      <c r="H926" s="16" t="b">
        <v>0</v>
      </c>
      <c r="I926" s="28"/>
      <c r="J926" s="16">
        <v>15</v>
      </c>
      <c r="K926" s="4" t="e">
        <f ca="1">IF(AND(F926&lt;&gt;"", L926&lt;&gt;""), NETWORKDAYS(TODAY(), L926-1, FESTIVOS!A$1:A$55), "")</f>
        <v>#VALUE!</v>
      </c>
      <c r="L926" s="9" t="e">
        <f>IF(AND(F926&lt;&gt;"", J926&lt;&gt;""), WORKDAY(F926, J926, FESTIVOS!A$1:A$55), "")</f>
        <v>#VALUE!</v>
      </c>
      <c r="M926" s="4" t="b">
        <v>0</v>
      </c>
      <c r="N926" s="4" t="b">
        <v>0</v>
      </c>
      <c r="O926" s="4" t="b">
        <v>0</v>
      </c>
      <c r="P926" s="4" t="b">
        <v>0</v>
      </c>
      <c r="Q926" s="9" t="b">
        <v>0</v>
      </c>
      <c r="R926" s="12" t="b">
        <v>0</v>
      </c>
    </row>
    <row r="927" spans="1:18" x14ac:dyDescent="0.25">
      <c r="A927" s="14" t="s">
        <v>16</v>
      </c>
      <c r="B927" s="15" t="s">
        <v>1573</v>
      </c>
      <c r="C927" s="16" t="s">
        <v>1573</v>
      </c>
      <c r="D927" s="16" t="s">
        <v>1574</v>
      </c>
      <c r="E927" s="16">
        <v>926</v>
      </c>
      <c r="F927" s="17">
        <v>46118</v>
      </c>
      <c r="G927" s="17" t="b">
        <v>0</v>
      </c>
      <c r="H927" s="16" t="b">
        <v>0</v>
      </c>
      <c r="I927" s="29"/>
      <c r="J927" s="16">
        <v>15</v>
      </c>
      <c r="K927" s="4">
        <f ca="1">IF(AND(F927&lt;&gt;"", L927&lt;&gt;""), NETWORKDAYS(TODAY(), L927-1, FESTIVOS!A$1:A$55), "")</f>
        <v>-35</v>
      </c>
      <c r="L927" s="9">
        <f>IF(AND(F927&lt;&gt;"", J927&lt;&gt;""), WORKDAY(F927, J927, FESTIVOS!A$1:A$55), "")</f>
        <v>46139</v>
      </c>
      <c r="M927" s="16" t="s">
        <v>1179</v>
      </c>
      <c r="N927" s="16" t="b">
        <v>0</v>
      </c>
      <c r="O927" s="16" t="b">
        <v>0</v>
      </c>
      <c r="P927" s="16" t="b">
        <v>0</v>
      </c>
      <c r="Q927" s="17" t="b">
        <v>0</v>
      </c>
      <c r="R927" s="18" t="b">
        <v>0</v>
      </c>
    </row>
    <row r="928" spans="1:18" x14ac:dyDescent="0.25">
      <c r="A928" s="8"/>
      <c r="B928" s="7" t="b">
        <v>0</v>
      </c>
      <c r="C928" s="4" t="b">
        <v>0</v>
      </c>
      <c r="D928" s="4" t="b">
        <v>0</v>
      </c>
      <c r="E928" s="16">
        <v>927</v>
      </c>
      <c r="F928" s="9" t="b">
        <v>0</v>
      </c>
      <c r="G928" s="17" t="b">
        <v>0</v>
      </c>
      <c r="H928" s="16" t="b">
        <v>0</v>
      </c>
      <c r="I928" s="28"/>
      <c r="J928" s="16">
        <v>15</v>
      </c>
      <c r="K928" s="4" t="e">
        <f ca="1">IF(AND(F928&lt;&gt;"", L928&lt;&gt;""), NETWORKDAYS(TODAY(), L928-1, FESTIVOS!A$1:A$55), "")</f>
        <v>#VALUE!</v>
      </c>
      <c r="L928" s="9" t="e">
        <f>IF(AND(F928&lt;&gt;"", J928&lt;&gt;""), WORKDAY(F928, J928, FESTIVOS!A$1:A$55), "")</f>
        <v>#VALUE!</v>
      </c>
      <c r="M928" s="4" t="b">
        <v>0</v>
      </c>
      <c r="N928" s="4" t="b">
        <v>0</v>
      </c>
      <c r="O928" s="4" t="b">
        <v>0</v>
      </c>
      <c r="P928" s="4" t="b">
        <v>0</v>
      </c>
      <c r="Q928" s="9" t="b">
        <v>0</v>
      </c>
      <c r="R928" s="12" t="b">
        <v>0</v>
      </c>
    </row>
    <row r="929" spans="1:18" x14ac:dyDescent="0.25">
      <c r="A929" s="8"/>
      <c r="B929" s="7" t="b">
        <v>0</v>
      </c>
      <c r="C929" s="4" t="b">
        <v>0</v>
      </c>
      <c r="D929" s="4" t="b">
        <v>0</v>
      </c>
      <c r="E929" s="16">
        <v>928</v>
      </c>
      <c r="F929" s="9" t="b">
        <v>0</v>
      </c>
      <c r="G929" s="17" t="b">
        <v>0</v>
      </c>
      <c r="H929" s="16" t="b">
        <v>0</v>
      </c>
      <c r="I929" s="28"/>
      <c r="J929" s="16">
        <v>15</v>
      </c>
      <c r="K929" s="4" t="e">
        <f ca="1">IF(AND(F929&lt;&gt;"", L929&lt;&gt;""), NETWORKDAYS(TODAY(), L929-1, FESTIVOS!A$1:A$55), "")</f>
        <v>#VALUE!</v>
      </c>
      <c r="L929" s="9" t="e">
        <f>IF(AND(F929&lt;&gt;"", J929&lt;&gt;""), WORKDAY(F929, J929, FESTIVOS!A$1:A$55), "")</f>
        <v>#VALUE!</v>
      </c>
      <c r="M929" s="4" t="b">
        <v>0</v>
      </c>
      <c r="N929" s="4" t="b">
        <v>0</v>
      </c>
      <c r="O929" s="4" t="b">
        <v>0</v>
      </c>
      <c r="P929" s="4" t="b">
        <v>0</v>
      </c>
      <c r="Q929" s="9" t="b">
        <v>0</v>
      </c>
      <c r="R929" s="12" t="b">
        <v>0</v>
      </c>
    </row>
    <row r="930" spans="1:18" x14ac:dyDescent="0.25">
      <c r="A930" s="8"/>
      <c r="B930" s="7" t="b">
        <v>0</v>
      </c>
      <c r="C930" s="4" t="b">
        <v>0</v>
      </c>
      <c r="D930" s="4" t="b">
        <v>0</v>
      </c>
      <c r="E930" s="16">
        <v>929</v>
      </c>
      <c r="F930" s="9" t="b">
        <v>0</v>
      </c>
      <c r="G930" s="17" t="b">
        <v>0</v>
      </c>
      <c r="H930" s="16" t="b">
        <v>0</v>
      </c>
      <c r="I930" s="28"/>
      <c r="J930" s="16">
        <v>15</v>
      </c>
      <c r="K930" s="4" t="e">
        <f ca="1">IF(AND(F930&lt;&gt;"", L930&lt;&gt;""), NETWORKDAYS(TODAY(), L930-1, FESTIVOS!A$1:A$55), "")</f>
        <v>#VALUE!</v>
      </c>
      <c r="L930" s="9" t="e">
        <f>IF(AND(F930&lt;&gt;"", J930&lt;&gt;""), WORKDAY(F930, J930, FESTIVOS!A$1:A$55), "")</f>
        <v>#VALUE!</v>
      </c>
      <c r="M930" s="4" t="b">
        <v>0</v>
      </c>
      <c r="N930" s="4" t="b">
        <v>0</v>
      </c>
      <c r="O930" s="4" t="b">
        <v>0</v>
      </c>
      <c r="P930" s="4" t="b">
        <v>0</v>
      </c>
      <c r="Q930" s="9" t="b">
        <v>0</v>
      </c>
      <c r="R930" s="12" t="b">
        <v>0</v>
      </c>
    </row>
    <row r="931" spans="1:18" x14ac:dyDescent="0.25">
      <c r="A931" s="8"/>
      <c r="B931" s="7" t="b">
        <v>0</v>
      </c>
      <c r="C931" s="4" t="b">
        <v>0</v>
      </c>
      <c r="D931" s="4" t="b">
        <v>0</v>
      </c>
      <c r="E931" s="16">
        <v>930</v>
      </c>
      <c r="F931" s="9" t="b">
        <v>0</v>
      </c>
      <c r="G931" s="17" t="b">
        <v>0</v>
      </c>
      <c r="H931" s="16" t="b">
        <v>0</v>
      </c>
      <c r="I931" s="28"/>
      <c r="J931" s="16">
        <v>15</v>
      </c>
      <c r="K931" s="4" t="e">
        <f ca="1">IF(AND(F931&lt;&gt;"", L931&lt;&gt;""), NETWORKDAYS(TODAY(), L931-1, FESTIVOS!A$1:A$55), "")</f>
        <v>#VALUE!</v>
      </c>
      <c r="L931" s="9" t="e">
        <f>IF(AND(F931&lt;&gt;"", J931&lt;&gt;""), WORKDAY(F931, J931, FESTIVOS!A$1:A$55), "")</f>
        <v>#VALUE!</v>
      </c>
      <c r="M931" s="4" t="b">
        <v>0</v>
      </c>
      <c r="N931" s="4" t="b">
        <v>0</v>
      </c>
      <c r="O931" s="4" t="b">
        <v>0</v>
      </c>
      <c r="P931" s="4" t="b">
        <v>0</v>
      </c>
      <c r="Q931" s="9" t="b">
        <v>0</v>
      </c>
      <c r="R931" s="12" t="b">
        <v>0</v>
      </c>
    </row>
    <row r="932" spans="1:18" x14ac:dyDescent="0.25">
      <c r="A932" s="8"/>
      <c r="B932" s="7" t="b">
        <v>0</v>
      </c>
      <c r="C932" s="4" t="b">
        <v>0</v>
      </c>
      <c r="D932" s="4" t="b">
        <v>0</v>
      </c>
      <c r="E932" s="16">
        <v>931</v>
      </c>
      <c r="F932" s="9" t="b">
        <v>0</v>
      </c>
      <c r="G932" s="17" t="b">
        <v>0</v>
      </c>
      <c r="H932" s="16" t="b">
        <v>0</v>
      </c>
      <c r="I932" s="28"/>
      <c r="J932" s="16">
        <v>15</v>
      </c>
      <c r="K932" s="4" t="e">
        <f ca="1">IF(AND(F932&lt;&gt;"", L932&lt;&gt;""), NETWORKDAYS(TODAY(), L932-1, FESTIVOS!A$1:A$55), "")</f>
        <v>#VALUE!</v>
      </c>
      <c r="L932" s="9" t="e">
        <f>IF(AND(F932&lt;&gt;"", J932&lt;&gt;""), WORKDAY(F932, J932, FESTIVOS!A$1:A$55), "")</f>
        <v>#VALUE!</v>
      </c>
      <c r="M932" s="4" t="b">
        <v>0</v>
      </c>
      <c r="N932" s="4" t="b">
        <v>0</v>
      </c>
      <c r="O932" s="4" t="b">
        <v>0</v>
      </c>
      <c r="P932" s="4" t="b">
        <v>0</v>
      </c>
      <c r="Q932" s="9" t="b">
        <v>0</v>
      </c>
      <c r="R932" s="12" t="b">
        <v>0</v>
      </c>
    </row>
    <row r="933" spans="1:18" x14ac:dyDescent="0.25">
      <c r="A933" s="8"/>
      <c r="B933" s="7" t="b">
        <v>0</v>
      </c>
      <c r="C933" s="4" t="b">
        <v>0</v>
      </c>
      <c r="D933" s="4" t="b">
        <v>0</v>
      </c>
      <c r="E933" s="16">
        <v>932</v>
      </c>
      <c r="F933" s="9" t="b">
        <v>0</v>
      </c>
      <c r="G933" s="17" t="b">
        <v>0</v>
      </c>
      <c r="H933" s="16" t="b">
        <v>0</v>
      </c>
      <c r="I933" s="28"/>
      <c r="J933" s="16">
        <v>15</v>
      </c>
      <c r="K933" s="4" t="e">
        <f ca="1">IF(AND(F933&lt;&gt;"", L933&lt;&gt;""), NETWORKDAYS(TODAY(), L933-1, FESTIVOS!A$1:A$55), "")</f>
        <v>#VALUE!</v>
      </c>
      <c r="L933" s="9" t="e">
        <f>IF(AND(F933&lt;&gt;"", J933&lt;&gt;""), WORKDAY(F933, J933, FESTIVOS!A$1:A$55), "")</f>
        <v>#VALUE!</v>
      </c>
      <c r="M933" s="4" t="b">
        <v>0</v>
      </c>
      <c r="N933" s="4" t="b">
        <v>0</v>
      </c>
      <c r="O933" s="4" t="b">
        <v>0</v>
      </c>
      <c r="P933" s="4" t="b">
        <v>0</v>
      </c>
      <c r="Q933" s="9" t="b">
        <v>0</v>
      </c>
      <c r="R933" s="12" t="b">
        <v>0</v>
      </c>
    </row>
    <row r="934" spans="1:18" x14ac:dyDescent="0.25">
      <c r="A934" s="8"/>
      <c r="B934" s="7" t="b">
        <v>0</v>
      </c>
      <c r="C934" s="4" t="b">
        <v>0</v>
      </c>
      <c r="D934" s="4" t="b">
        <v>0</v>
      </c>
      <c r="E934" s="16">
        <v>933</v>
      </c>
      <c r="F934" s="9" t="b">
        <v>0</v>
      </c>
      <c r="G934" s="17" t="b">
        <v>0</v>
      </c>
      <c r="H934" s="16" t="b">
        <v>0</v>
      </c>
      <c r="I934" s="28"/>
      <c r="J934" s="16">
        <v>15</v>
      </c>
      <c r="K934" s="4" t="e">
        <f ca="1">IF(AND(F934&lt;&gt;"", L934&lt;&gt;""), NETWORKDAYS(TODAY(), L934-1, FESTIVOS!A$1:A$55), "")</f>
        <v>#VALUE!</v>
      </c>
      <c r="L934" s="9" t="e">
        <f>IF(AND(F934&lt;&gt;"", J934&lt;&gt;""), WORKDAY(F934, J934, FESTIVOS!A$1:A$55), "")</f>
        <v>#VALUE!</v>
      </c>
      <c r="M934" s="4" t="b">
        <v>0</v>
      </c>
      <c r="N934" s="4" t="b">
        <v>0</v>
      </c>
      <c r="O934" s="4" t="b">
        <v>0</v>
      </c>
      <c r="P934" s="4" t="b">
        <v>0</v>
      </c>
      <c r="Q934" s="9" t="b">
        <v>0</v>
      </c>
      <c r="R934" s="12" t="b">
        <v>0</v>
      </c>
    </row>
    <row r="935" spans="1:18" x14ac:dyDescent="0.25">
      <c r="A935" s="14" t="s">
        <v>16</v>
      </c>
      <c r="B935" s="15" t="s">
        <v>1557</v>
      </c>
      <c r="C935" s="16" t="s">
        <v>1557</v>
      </c>
      <c r="D935" s="16" t="s">
        <v>1575</v>
      </c>
      <c r="E935" s="16">
        <v>934</v>
      </c>
      <c r="F935" s="17">
        <v>46177</v>
      </c>
      <c r="G935" s="17" t="b">
        <v>0</v>
      </c>
      <c r="H935" s="16">
        <v>0</v>
      </c>
      <c r="I935" s="29" t="s">
        <v>20</v>
      </c>
      <c r="J935" s="16">
        <v>15</v>
      </c>
      <c r="K935" s="4">
        <f ca="1">IF(AND(F935&lt;&gt;"", L935&lt;&gt;""), NETWORKDAYS(TODAY(), L935-1, FESTIVOS!A$1:A$55), "")</f>
        <v>7</v>
      </c>
      <c r="L935" s="9">
        <f>IF(AND(F935&lt;&gt;"", J935&lt;&gt;""), WORKDAY(F935, J935, FESTIVOS!A$1:A$55), "")</f>
        <v>46203</v>
      </c>
      <c r="M935" s="16" t="s">
        <v>1179</v>
      </c>
      <c r="N935" s="16" t="b">
        <v>0</v>
      </c>
      <c r="O935" s="16" t="b">
        <v>0</v>
      </c>
      <c r="P935" s="16" t="b">
        <v>0</v>
      </c>
      <c r="Q935" s="17" t="b">
        <v>0</v>
      </c>
      <c r="R935" s="18" t="b">
        <v>0</v>
      </c>
    </row>
    <row r="936" spans="1:18" x14ac:dyDescent="0.25">
      <c r="A936" s="14" t="s">
        <v>16</v>
      </c>
      <c r="B936" s="15" t="s">
        <v>1568</v>
      </c>
      <c r="C936" s="16" t="s">
        <v>1568</v>
      </c>
      <c r="D936" s="16" t="s">
        <v>1576</v>
      </c>
      <c r="E936" s="16">
        <v>935</v>
      </c>
      <c r="F936" s="17">
        <v>46148</v>
      </c>
      <c r="G936" s="17" t="b">
        <v>0</v>
      </c>
      <c r="H936" s="16" t="b">
        <v>0</v>
      </c>
      <c r="I936" s="29"/>
      <c r="J936" s="16">
        <v>15</v>
      </c>
      <c r="K936" s="4">
        <f ca="1">IF(AND(F936&lt;&gt;"", L936&lt;&gt;""), NETWORKDAYS(TODAY(), L936-1, FESTIVOS!A$1:A$55), "")</f>
        <v>-15</v>
      </c>
      <c r="L936" s="9">
        <f>IF(AND(F936&lt;&gt;"", J936&lt;&gt;""), WORKDAY(F936, J936, FESTIVOS!A$1:A$55), "")</f>
        <v>46170</v>
      </c>
      <c r="M936" s="16" t="s">
        <v>1179</v>
      </c>
      <c r="N936" s="16" t="b">
        <v>0</v>
      </c>
      <c r="O936" s="16" t="b">
        <v>0</v>
      </c>
      <c r="P936" s="16" t="b">
        <v>0</v>
      </c>
      <c r="Q936" s="17" t="b">
        <v>0</v>
      </c>
      <c r="R936" s="18" t="b">
        <v>0</v>
      </c>
    </row>
    <row r="937" spans="1:18" x14ac:dyDescent="0.25">
      <c r="A937" s="8"/>
      <c r="B937" s="7" t="b">
        <v>0</v>
      </c>
      <c r="C937" s="4" t="b">
        <v>0</v>
      </c>
      <c r="D937" s="4" t="b">
        <v>0</v>
      </c>
      <c r="E937" s="16">
        <v>936</v>
      </c>
      <c r="F937" s="9" t="b">
        <v>0</v>
      </c>
      <c r="G937" s="17" t="b">
        <v>0</v>
      </c>
      <c r="H937" s="16" t="b">
        <v>0</v>
      </c>
      <c r="I937" s="28"/>
      <c r="J937" s="16">
        <v>15</v>
      </c>
      <c r="K937" s="4" t="e">
        <f ca="1">IF(AND(F937&lt;&gt;"", L937&lt;&gt;""), NETWORKDAYS(TODAY(), L937-1, FESTIVOS!A$1:A$55), "")</f>
        <v>#VALUE!</v>
      </c>
      <c r="L937" s="9" t="e">
        <f>IF(AND(F937&lt;&gt;"", J937&lt;&gt;""), WORKDAY(F937, J937, FESTIVOS!A$1:A$55), "")</f>
        <v>#VALUE!</v>
      </c>
      <c r="M937" s="4" t="b">
        <v>0</v>
      </c>
      <c r="N937" s="4" t="b">
        <v>0</v>
      </c>
      <c r="O937" s="4" t="b">
        <v>0</v>
      </c>
      <c r="P937" s="4" t="b">
        <v>0</v>
      </c>
      <c r="Q937" s="9" t="b">
        <v>0</v>
      </c>
      <c r="R937" s="12" t="b">
        <v>0</v>
      </c>
    </row>
    <row r="938" spans="1:18" x14ac:dyDescent="0.25">
      <c r="A938" s="8"/>
      <c r="B938" s="7" t="b">
        <v>0</v>
      </c>
      <c r="C938" s="4" t="b">
        <v>0</v>
      </c>
      <c r="D938" s="4" t="b">
        <v>0</v>
      </c>
      <c r="E938" s="16">
        <v>937</v>
      </c>
      <c r="F938" s="9" t="b">
        <v>0</v>
      </c>
      <c r="G938" s="17" t="b">
        <v>0</v>
      </c>
      <c r="H938" s="16" t="b">
        <v>0</v>
      </c>
      <c r="I938" s="28"/>
      <c r="J938" s="16">
        <v>15</v>
      </c>
      <c r="K938" s="4" t="e">
        <f ca="1">IF(AND(F938&lt;&gt;"", L938&lt;&gt;""), NETWORKDAYS(TODAY(), L938-1, FESTIVOS!A$1:A$55), "")</f>
        <v>#VALUE!</v>
      </c>
      <c r="L938" s="9" t="e">
        <f>IF(AND(F938&lt;&gt;"", J938&lt;&gt;""), WORKDAY(F938, J938, FESTIVOS!A$1:A$55), "")</f>
        <v>#VALUE!</v>
      </c>
      <c r="M938" s="4" t="b">
        <v>0</v>
      </c>
      <c r="N938" s="4" t="b">
        <v>0</v>
      </c>
      <c r="O938" s="4" t="b">
        <v>0</v>
      </c>
      <c r="P938" s="4" t="b">
        <v>0</v>
      </c>
      <c r="Q938" s="9" t="b">
        <v>0</v>
      </c>
      <c r="R938" s="12" t="b">
        <v>0</v>
      </c>
    </row>
    <row r="939" spans="1:18" x14ac:dyDescent="0.25">
      <c r="A939" s="8"/>
      <c r="B939" s="7" t="b">
        <v>0</v>
      </c>
      <c r="C939" s="4" t="b">
        <v>0</v>
      </c>
      <c r="D939" s="4" t="b">
        <v>0</v>
      </c>
      <c r="E939" s="16">
        <v>938</v>
      </c>
      <c r="F939" s="9" t="b">
        <v>0</v>
      </c>
      <c r="G939" s="17" t="b">
        <v>0</v>
      </c>
      <c r="H939" s="16" t="b">
        <v>0</v>
      </c>
      <c r="I939" s="28"/>
      <c r="J939" s="16">
        <v>15</v>
      </c>
      <c r="K939" s="4" t="e">
        <f ca="1">IF(AND(F939&lt;&gt;"", L939&lt;&gt;""), NETWORKDAYS(TODAY(), L939-1, FESTIVOS!A$1:A$55), "")</f>
        <v>#VALUE!</v>
      </c>
      <c r="L939" s="9" t="e">
        <f>IF(AND(F939&lt;&gt;"", J939&lt;&gt;""), WORKDAY(F939, J939, FESTIVOS!A$1:A$55), "")</f>
        <v>#VALUE!</v>
      </c>
      <c r="M939" s="4" t="b">
        <v>0</v>
      </c>
      <c r="N939" s="4" t="b">
        <v>0</v>
      </c>
      <c r="O939" s="4" t="b">
        <v>0</v>
      </c>
      <c r="P939" s="4" t="b">
        <v>0</v>
      </c>
      <c r="Q939" s="9" t="b">
        <v>0</v>
      </c>
      <c r="R939" s="12" t="b">
        <v>0</v>
      </c>
    </row>
    <row r="940" spans="1:18" x14ac:dyDescent="0.25">
      <c r="A940" s="14" t="s">
        <v>16</v>
      </c>
      <c r="B940" s="15" t="s">
        <v>1577</v>
      </c>
      <c r="C940" s="16" t="s">
        <v>1577</v>
      </c>
      <c r="D940" s="16" t="s">
        <v>1578</v>
      </c>
      <c r="E940" s="16">
        <v>939</v>
      </c>
      <c r="F940" s="17">
        <v>46148</v>
      </c>
      <c r="G940" s="17" t="b">
        <v>0</v>
      </c>
      <c r="H940" s="16" t="b">
        <v>0</v>
      </c>
      <c r="I940" s="29"/>
      <c r="J940" s="16">
        <v>15</v>
      </c>
      <c r="K940" s="4">
        <f ca="1">IF(AND(F940&lt;&gt;"", L940&lt;&gt;""), NETWORKDAYS(TODAY(), L940-1, FESTIVOS!A$1:A$55), "")</f>
        <v>-15</v>
      </c>
      <c r="L940" s="9">
        <f>IF(AND(F940&lt;&gt;"", J940&lt;&gt;""), WORKDAY(F940, J940, FESTIVOS!A$1:A$55), "")</f>
        <v>46170</v>
      </c>
      <c r="M940" s="16" t="s">
        <v>1179</v>
      </c>
      <c r="N940" s="16" t="b">
        <v>0</v>
      </c>
      <c r="O940" s="16" t="b">
        <v>0</v>
      </c>
      <c r="P940" s="16" t="b">
        <v>0</v>
      </c>
      <c r="Q940" s="17" t="b">
        <v>0</v>
      </c>
      <c r="R940" s="18" t="b">
        <v>0</v>
      </c>
    </row>
    <row r="941" spans="1:18" x14ac:dyDescent="0.25">
      <c r="A941" s="8"/>
      <c r="B941" s="7" t="b">
        <v>0</v>
      </c>
      <c r="C941" s="4" t="b">
        <v>0</v>
      </c>
      <c r="D941" s="4" t="b">
        <v>0</v>
      </c>
      <c r="E941" s="16">
        <v>940</v>
      </c>
      <c r="F941" s="9" t="b">
        <v>0</v>
      </c>
      <c r="G941" s="17" t="b">
        <v>0</v>
      </c>
      <c r="H941" s="16" t="b">
        <v>0</v>
      </c>
      <c r="I941" s="28"/>
      <c r="J941" s="16">
        <v>15</v>
      </c>
      <c r="K941" s="4" t="e">
        <f ca="1">IF(AND(F941&lt;&gt;"", L941&lt;&gt;""), NETWORKDAYS(TODAY(), L941-1, FESTIVOS!A$1:A$55), "")</f>
        <v>#VALUE!</v>
      </c>
      <c r="L941" s="9" t="e">
        <f>IF(AND(F941&lt;&gt;"", J941&lt;&gt;""), WORKDAY(F941, J941, FESTIVOS!A$1:A$55), "")</f>
        <v>#VALUE!</v>
      </c>
      <c r="M941" s="4" t="b">
        <v>0</v>
      </c>
      <c r="N941" s="4" t="b">
        <v>0</v>
      </c>
      <c r="O941" s="4" t="b">
        <v>0</v>
      </c>
      <c r="P941" s="4" t="b">
        <v>0</v>
      </c>
      <c r="Q941" s="9" t="b">
        <v>0</v>
      </c>
      <c r="R941" s="12" t="b">
        <v>0</v>
      </c>
    </row>
    <row r="942" spans="1:18" x14ac:dyDescent="0.25">
      <c r="A942" s="8"/>
      <c r="B942" s="7" t="b">
        <v>0</v>
      </c>
      <c r="C942" s="4" t="b">
        <v>0</v>
      </c>
      <c r="D942" s="4" t="b">
        <v>0</v>
      </c>
      <c r="E942" s="16">
        <v>941</v>
      </c>
      <c r="F942" s="9" t="b">
        <v>0</v>
      </c>
      <c r="G942" s="17" t="b">
        <v>0</v>
      </c>
      <c r="H942" s="16" t="b">
        <v>0</v>
      </c>
      <c r="I942" s="28"/>
      <c r="J942" s="16">
        <v>15</v>
      </c>
      <c r="K942" s="4" t="e">
        <f ca="1">IF(AND(F942&lt;&gt;"", L942&lt;&gt;""), NETWORKDAYS(TODAY(), L942-1, FESTIVOS!A$1:A$55), "")</f>
        <v>#VALUE!</v>
      </c>
      <c r="L942" s="9" t="e">
        <f>IF(AND(F942&lt;&gt;"", J942&lt;&gt;""), WORKDAY(F942, J942, FESTIVOS!A$1:A$55), "")</f>
        <v>#VALUE!</v>
      </c>
      <c r="M942" s="4" t="b">
        <v>0</v>
      </c>
      <c r="N942" s="4" t="b">
        <v>0</v>
      </c>
      <c r="O942" s="4" t="b">
        <v>0</v>
      </c>
      <c r="P942" s="4" t="b">
        <v>0</v>
      </c>
      <c r="Q942" s="9" t="b">
        <v>0</v>
      </c>
      <c r="R942" s="12" t="b">
        <v>0</v>
      </c>
    </row>
    <row r="943" spans="1:18" x14ac:dyDescent="0.25">
      <c r="A943" s="8"/>
      <c r="B943" s="7" t="b">
        <v>0</v>
      </c>
      <c r="C943" s="4" t="b">
        <v>0</v>
      </c>
      <c r="D943" s="4" t="b">
        <v>0</v>
      </c>
      <c r="E943" s="16">
        <v>942</v>
      </c>
      <c r="F943" s="9" t="b">
        <v>0</v>
      </c>
      <c r="G943" s="17" t="b">
        <v>0</v>
      </c>
      <c r="H943" s="16" t="b">
        <v>0</v>
      </c>
      <c r="I943" s="28"/>
      <c r="J943" s="16">
        <v>15</v>
      </c>
      <c r="K943" s="4" t="e">
        <f ca="1">IF(AND(F943&lt;&gt;"", L943&lt;&gt;""), NETWORKDAYS(TODAY(), L943-1, FESTIVOS!A$1:A$55), "")</f>
        <v>#VALUE!</v>
      </c>
      <c r="L943" s="9" t="e">
        <f>IF(AND(F943&lt;&gt;"", J943&lt;&gt;""), WORKDAY(F943, J943, FESTIVOS!A$1:A$55), "")</f>
        <v>#VALUE!</v>
      </c>
      <c r="M943" s="4" t="b">
        <v>0</v>
      </c>
      <c r="N943" s="4" t="b">
        <v>0</v>
      </c>
      <c r="O943" s="4" t="b">
        <v>0</v>
      </c>
      <c r="P943" s="4" t="b">
        <v>0</v>
      </c>
      <c r="Q943" s="9" t="b">
        <v>0</v>
      </c>
      <c r="R943" s="12" t="b">
        <v>0</v>
      </c>
    </row>
    <row r="944" spans="1:18" x14ac:dyDescent="0.25">
      <c r="A944" s="8"/>
      <c r="B944" s="7" t="b">
        <v>0</v>
      </c>
      <c r="C944" s="4" t="b">
        <v>0</v>
      </c>
      <c r="D944" s="4" t="b">
        <v>0</v>
      </c>
      <c r="E944" s="16">
        <v>943</v>
      </c>
      <c r="F944" s="9" t="b">
        <v>0</v>
      </c>
      <c r="G944" s="17" t="b">
        <v>0</v>
      </c>
      <c r="H944" s="16" t="b">
        <v>0</v>
      </c>
      <c r="I944" s="28"/>
      <c r="J944" s="16">
        <v>15</v>
      </c>
      <c r="K944" s="4" t="e">
        <f ca="1">IF(AND(F944&lt;&gt;"", L944&lt;&gt;""), NETWORKDAYS(TODAY(), L944-1, FESTIVOS!A$1:A$55), "")</f>
        <v>#VALUE!</v>
      </c>
      <c r="L944" s="9" t="e">
        <f>IF(AND(F944&lt;&gt;"", J944&lt;&gt;""), WORKDAY(F944, J944, FESTIVOS!A$1:A$55), "")</f>
        <v>#VALUE!</v>
      </c>
      <c r="M944" s="4" t="b">
        <v>0</v>
      </c>
      <c r="N944" s="4" t="b">
        <v>0</v>
      </c>
      <c r="O944" s="4" t="b">
        <v>0</v>
      </c>
      <c r="P944" s="4" t="b">
        <v>0</v>
      </c>
      <c r="Q944" s="9" t="b">
        <v>0</v>
      </c>
      <c r="R944" s="12" t="b">
        <v>0</v>
      </c>
    </row>
    <row r="945" spans="1:18" x14ac:dyDescent="0.25">
      <c r="A945" s="14" t="s">
        <v>16</v>
      </c>
      <c r="B945" s="15" t="s">
        <v>1579</v>
      </c>
      <c r="C945" s="16" t="s">
        <v>1579</v>
      </c>
      <c r="D945" s="16" t="s">
        <v>1580</v>
      </c>
      <c r="E945" s="16">
        <v>944</v>
      </c>
      <c r="F945" s="17">
        <v>46271</v>
      </c>
      <c r="G945" s="17" t="b">
        <v>0</v>
      </c>
      <c r="H945" s="16" t="b">
        <v>0</v>
      </c>
      <c r="I945" s="29" t="b">
        <v>0</v>
      </c>
      <c r="J945" s="16">
        <v>15</v>
      </c>
      <c r="K945" s="4">
        <f ca="1">IF(AND(F945&lt;&gt;"", L945&lt;&gt;""), NETWORKDAYS(TODAY(), L945-1, FESTIVOS!A$1:A$55), "")</f>
        <v>67</v>
      </c>
      <c r="L945" s="9">
        <f>IF(AND(F945&lt;&gt;"", J945&lt;&gt;""), WORKDAY(F945, J945, FESTIVOS!A$1:A$55), "")</f>
        <v>46290</v>
      </c>
      <c r="M945" s="16" t="s">
        <v>1179</v>
      </c>
      <c r="N945" s="16" t="b">
        <v>0</v>
      </c>
      <c r="O945" s="16" t="b">
        <v>0</v>
      </c>
      <c r="P945" s="16" t="b">
        <v>0</v>
      </c>
      <c r="Q945" s="17" t="b">
        <v>0</v>
      </c>
      <c r="R945" s="18" t="b">
        <v>0</v>
      </c>
    </row>
    <row r="946" spans="1:18" x14ac:dyDescent="0.25">
      <c r="A946" s="8"/>
      <c r="B946" s="7" t="b">
        <v>0</v>
      </c>
      <c r="C946" s="4" t="b">
        <v>0</v>
      </c>
      <c r="D946" s="4" t="b">
        <v>0</v>
      </c>
      <c r="E946" s="16">
        <v>945</v>
      </c>
      <c r="F946" s="9" t="b">
        <v>0</v>
      </c>
      <c r="G946" s="17" t="b">
        <v>0</v>
      </c>
      <c r="H946" s="16" t="b">
        <v>0</v>
      </c>
      <c r="I946" s="28"/>
      <c r="J946" s="16">
        <v>15</v>
      </c>
      <c r="K946" s="4" t="e">
        <f ca="1">IF(AND(F946&lt;&gt;"", L946&lt;&gt;""), NETWORKDAYS(TODAY(), L946-1, FESTIVOS!A$1:A$55), "")</f>
        <v>#VALUE!</v>
      </c>
      <c r="L946" s="9" t="e">
        <f>IF(AND(F946&lt;&gt;"", J946&lt;&gt;""), WORKDAY(F946, J946, FESTIVOS!A$1:A$55), "")</f>
        <v>#VALUE!</v>
      </c>
      <c r="M946" s="4" t="b">
        <v>0</v>
      </c>
      <c r="N946" s="4" t="b">
        <v>0</v>
      </c>
      <c r="O946" s="4" t="b">
        <v>0</v>
      </c>
      <c r="P946" s="4" t="b">
        <v>0</v>
      </c>
      <c r="Q946" s="9" t="b">
        <v>0</v>
      </c>
      <c r="R946" s="12" t="b">
        <v>0</v>
      </c>
    </row>
    <row r="947" spans="1:18" x14ac:dyDescent="0.25">
      <c r="A947" s="14" t="s">
        <v>16</v>
      </c>
      <c r="B947" s="15" t="s">
        <v>1581</v>
      </c>
      <c r="C947" s="16" t="s">
        <v>1581</v>
      </c>
      <c r="D947" s="16" t="s">
        <v>1582</v>
      </c>
      <c r="E947" s="16">
        <v>946</v>
      </c>
      <c r="F947" s="17">
        <v>46271</v>
      </c>
      <c r="G947" s="17" t="b">
        <v>0</v>
      </c>
      <c r="H947" s="16">
        <v>0</v>
      </c>
      <c r="I947" s="29" t="s">
        <v>20</v>
      </c>
      <c r="J947" s="16">
        <v>15</v>
      </c>
      <c r="K947" s="4">
        <f ca="1">IF(AND(F947&lt;&gt;"", L947&lt;&gt;""), NETWORKDAYS(TODAY(), L947-1, FESTIVOS!A$1:A$55), "")</f>
        <v>67</v>
      </c>
      <c r="L947" s="9">
        <f>IF(AND(F947&lt;&gt;"", J947&lt;&gt;""), WORKDAY(F947, J947, FESTIVOS!A$1:A$55), "")</f>
        <v>46290</v>
      </c>
      <c r="M947" s="16" t="s">
        <v>1179</v>
      </c>
      <c r="N947" s="16" t="b">
        <v>0</v>
      </c>
      <c r="O947" s="16" t="b">
        <v>0</v>
      </c>
      <c r="P947" s="16" t="b">
        <v>0</v>
      </c>
      <c r="Q947" s="17" t="b">
        <v>0</v>
      </c>
      <c r="R947" s="18" t="b">
        <v>0</v>
      </c>
    </row>
    <row r="948" spans="1:18" x14ac:dyDescent="0.25">
      <c r="A948" s="8" t="s">
        <v>16</v>
      </c>
      <c r="B948" s="7" t="s">
        <v>1583</v>
      </c>
      <c r="C948" s="4" t="s">
        <v>46</v>
      </c>
      <c r="D948" s="4" t="s">
        <v>1584</v>
      </c>
      <c r="E948" s="16">
        <v>947</v>
      </c>
      <c r="F948" s="9">
        <v>46182</v>
      </c>
      <c r="G948" s="17" t="b">
        <v>0</v>
      </c>
      <c r="H948" s="16">
        <v>0</v>
      </c>
      <c r="I948" s="28" t="s">
        <v>20</v>
      </c>
      <c r="J948" s="16">
        <v>15</v>
      </c>
      <c r="K948" s="4">
        <f ca="1">IF(AND(F948&lt;&gt;"", L948&lt;&gt;""), NETWORKDAYS(TODAY(), L948-1, FESTIVOS!A$1:A$55), "")</f>
        <v>9</v>
      </c>
      <c r="L948" s="9">
        <f>IF(AND(F948&lt;&gt;"", J948&lt;&gt;""), WORKDAY(F948, J948, FESTIVOS!A$1:A$55), "")</f>
        <v>46205</v>
      </c>
      <c r="M948" s="4" t="b">
        <v>0</v>
      </c>
      <c r="N948" s="4" t="b">
        <v>0</v>
      </c>
      <c r="O948" s="4" t="b">
        <v>0</v>
      </c>
      <c r="P948" s="4" t="b">
        <v>0</v>
      </c>
      <c r="Q948" s="9" t="b">
        <v>0</v>
      </c>
      <c r="R948" s="12" t="b">
        <v>0</v>
      </c>
    </row>
    <row r="949" spans="1:18" x14ac:dyDescent="0.25">
      <c r="A949" s="14" t="s">
        <v>16</v>
      </c>
      <c r="B949" s="15" t="s">
        <v>1585</v>
      </c>
      <c r="C949" s="16" t="s">
        <v>1585</v>
      </c>
      <c r="D949" s="16" t="s">
        <v>1586</v>
      </c>
      <c r="E949" s="16">
        <v>948</v>
      </c>
      <c r="F949" s="17">
        <v>46182</v>
      </c>
      <c r="G949" s="17" t="b">
        <v>0</v>
      </c>
      <c r="H949" s="16">
        <v>0</v>
      </c>
      <c r="I949" s="29" t="s">
        <v>20</v>
      </c>
      <c r="J949" s="16">
        <v>15</v>
      </c>
      <c r="K949" s="4">
        <f ca="1">IF(AND(F949&lt;&gt;"", L949&lt;&gt;""), NETWORKDAYS(TODAY(), L949-1, FESTIVOS!A$1:A$55), "")</f>
        <v>9</v>
      </c>
      <c r="L949" s="9">
        <f>IF(AND(F949&lt;&gt;"", J949&lt;&gt;""), WORKDAY(F949, J949, FESTIVOS!A$1:A$55), "")</f>
        <v>46205</v>
      </c>
      <c r="M949" s="16" t="s">
        <v>1179</v>
      </c>
      <c r="N949" s="16" t="b">
        <v>0</v>
      </c>
      <c r="O949" s="16" t="b">
        <v>0</v>
      </c>
      <c r="P949" s="16" t="b">
        <v>0</v>
      </c>
      <c r="Q949" s="17" t="b">
        <v>0</v>
      </c>
      <c r="R949" s="18" t="b">
        <v>0</v>
      </c>
    </row>
    <row r="950" spans="1:18" x14ac:dyDescent="0.25">
      <c r="A950" s="8" t="s">
        <v>16</v>
      </c>
      <c r="B950" s="7" t="s">
        <v>1587</v>
      </c>
      <c r="C950" s="4" t="s">
        <v>46</v>
      </c>
      <c r="D950" s="4" t="s">
        <v>1404</v>
      </c>
      <c r="E950" s="16">
        <v>949</v>
      </c>
      <c r="F950" s="9">
        <v>46182</v>
      </c>
      <c r="G950" s="17" t="b">
        <v>0</v>
      </c>
      <c r="H950" s="16">
        <v>1</v>
      </c>
      <c r="I950" s="28" t="s">
        <v>20</v>
      </c>
      <c r="J950" s="16">
        <v>15</v>
      </c>
      <c r="K950" s="4">
        <f ca="1">IF(AND(F950&lt;&gt;"", L950&lt;&gt;""), NETWORKDAYS(TODAY(), L950-1, FESTIVOS!A$1:A$55), "")</f>
        <v>9</v>
      </c>
      <c r="L950" s="9">
        <f>IF(AND(F950&lt;&gt;"", J950&lt;&gt;""), WORKDAY(F950, J950, FESTIVOS!A$1:A$55), "")</f>
        <v>46205</v>
      </c>
      <c r="M950" s="4" t="b">
        <v>0</v>
      </c>
      <c r="N950" s="4" t="b">
        <v>0</v>
      </c>
      <c r="O950" s="4" t="b">
        <v>0</v>
      </c>
      <c r="P950" s="4" t="b">
        <v>0</v>
      </c>
      <c r="Q950" s="9" t="b">
        <v>0</v>
      </c>
      <c r="R950" s="12" t="b">
        <v>0</v>
      </c>
    </row>
    <row r="951" spans="1:18" x14ac:dyDescent="0.25">
      <c r="A951" s="8" t="s">
        <v>16</v>
      </c>
      <c r="B951" s="7" t="s">
        <v>1588</v>
      </c>
      <c r="C951" s="4" t="s">
        <v>46</v>
      </c>
      <c r="D951" s="4" t="s">
        <v>1404</v>
      </c>
      <c r="E951" s="16">
        <v>950</v>
      </c>
      <c r="F951" s="9">
        <v>46182</v>
      </c>
      <c r="G951" s="17" t="b">
        <v>0</v>
      </c>
      <c r="H951" s="16">
        <v>1</v>
      </c>
      <c r="I951" s="28" t="s">
        <v>20</v>
      </c>
      <c r="J951" s="16">
        <v>15</v>
      </c>
      <c r="K951" s="4">
        <f ca="1">IF(AND(F951&lt;&gt;"", L951&lt;&gt;""), NETWORKDAYS(TODAY(), L951-1, FESTIVOS!A$1:A$55), "")</f>
        <v>9</v>
      </c>
      <c r="L951" s="9">
        <f>IF(AND(F951&lt;&gt;"", J951&lt;&gt;""), WORKDAY(F951, J951, FESTIVOS!A$1:A$55), "")</f>
        <v>46205</v>
      </c>
      <c r="M951" s="4" t="b">
        <v>0</v>
      </c>
      <c r="N951" s="4" t="b">
        <v>0</v>
      </c>
      <c r="O951" s="4" t="b">
        <v>0</v>
      </c>
      <c r="P951" s="4" t="b">
        <v>0</v>
      </c>
      <c r="Q951" s="9" t="b">
        <v>0</v>
      </c>
      <c r="R951" s="12" t="b">
        <v>0</v>
      </c>
    </row>
    <row r="952" spans="1:18" x14ac:dyDescent="0.25">
      <c r="A952" s="8" t="s">
        <v>16</v>
      </c>
      <c r="B952" s="7" t="s">
        <v>1589</v>
      </c>
      <c r="C952" s="4" t="s">
        <v>46</v>
      </c>
      <c r="D952" s="4" t="s">
        <v>1404</v>
      </c>
      <c r="E952" s="16">
        <v>951</v>
      </c>
      <c r="F952" s="9">
        <v>46182</v>
      </c>
      <c r="G952" s="17" t="b">
        <v>0</v>
      </c>
      <c r="H952" s="16">
        <v>1</v>
      </c>
      <c r="I952" s="28" t="s">
        <v>20</v>
      </c>
      <c r="J952" s="16">
        <v>15</v>
      </c>
      <c r="K952" s="4">
        <f ca="1">IF(AND(F952&lt;&gt;"", L952&lt;&gt;""), NETWORKDAYS(TODAY(), L952-1, FESTIVOS!A$1:A$55), "")</f>
        <v>9</v>
      </c>
      <c r="L952" s="9">
        <f>IF(AND(F952&lt;&gt;"", J952&lt;&gt;""), WORKDAY(F952, J952, FESTIVOS!A$1:A$55), "")</f>
        <v>46205</v>
      </c>
      <c r="M952" s="4" t="b">
        <v>0</v>
      </c>
      <c r="N952" s="4" t="b">
        <v>0</v>
      </c>
      <c r="O952" s="4" t="b">
        <v>0</v>
      </c>
      <c r="P952" s="4" t="b">
        <v>0</v>
      </c>
      <c r="Q952" s="9" t="b">
        <v>0</v>
      </c>
      <c r="R952" s="12" t="b">
        <v>0</v>
      </c>
    </row>
    <row r="953" spans="1:18" x14ac:dyDescent="0.25">
      <c r="A953" s="8" t="s">
        <v>16</v>
      </c>
      <c r="B953" s="7" t="s">
        <v>1590</v>
      </c>
      <c r="C953" s="4" t="s">
        <v>32</v>
      </c>
      <c r="D953" s="4" t="s">
        <v>1591</v>
      </c>
      <c r="E953" s="16">
        <v>952</v>
      </c>
      <c r="F953" s="9">
        <v>46182</v>
      </c>
      <c r="G953" s="17" t="b">
        <v>0</v>
      </c>
      <c r="H953" s="16">
        <v>0</v>
      </c>
      <c r="I953" s="28" t="s">
        <v>20</v>
      </c>
      <c r="J953" s="16">
        <v>15</v>
      </c>
      <c r="K953" s="4">
        <f ca="1">IF(AND(F953&lt;&gt;"", L953&lt;&gt;""), NETWORKDAYS(TODAY(), L953-1, FESTIVOS!A$1:A$55), "")</f>
        <v>9</v>
      </c>
      <c r="L953" s="9">
        <f>IF(AND(F953&lt;&gt;"", J953&lt;&gt;""), WORKDAY(F953, J953, FESTIVOS!A$1:A$55), "")</f>
        <v>46205</v>
      </c>
      <c r="M953" s="4" t="b">
        <v>0</v>
      </c>
      <c r="N953" s="4" t="b">
        <v>0</v>
      </c>
      <c r="O953" s="4" t="b">
        <v>0</v>
      </c>
      <c r="P953" s="4" t="b">
        <v>0</v>
      </c>
      <c r="Q953" s="9" t="b">
        <v>0</v>
      </c>
      <c r="R953" s="12" t="b">
        <v>0</v>
      </c>
    </row>
    <row r="954" spans="1:18" x14ac:dyDescent="0.25">
      <c r="A954" s="8" t="s">
        <v>16</v>
      </c>
      <c r="B954" s="7" t="s">
        <v>17</v>
      </c>
      <c r="C954" s="4" t="s">
        <v>84</v>
      </c>
      <c r="D954" s="4" t="s">
        <v>1592</v>
      </c>
      <c r="E954" s="16">
        <v>953</v>
      </c>
      <c r="F954" s="9">
        <v>46182</v>
      </c>
      <c r="G954" s="17" t="b">
        <v>0</v>
      </c>
      <c r="H954" s="16">
        <v>3</v>
      </c>
      <c r="I954" s="28" t="s">
        <v>20</v>
      </c>
      <c r="J954" s="16">
        <v>15</v>
      </c>
      <c r="K954" s="4">
        <f ca="1">IF(AND(F954&lt;&gt;"", L954&lt;&gt;""), NETWORKDAYS(TODAY(), L954-1, FESTIVOS!A$1:A$55), "")</f>
        <v>9</v>
      </c>
      <c r="L954" s="9">
        <f>IF(AND(F954&lt;&gt;"", J954&lt;&gt;""), WORKDAY(F954, J954, FESTIVOS!A$1:A$55), "")</f>
        <v>46205</v>
      </c>
      <c r="M954" s="4" t="b">
        <v>0</v>
      </c>
      <c r="N954" s="4" t="b">
        <v>0</v>
      </c>
      <c r="O954" s="4" t="b">
        <v>0</v>
      </c>
      <c r="P954" s="4" t="b">
        <v>0</v>
      </c>
      <c r="Q954" s="9" t="b">
        <v>0</v>
      </c>
      <c r="R954" s="12" t="b">
        <v>0</v>
      </c>
    </row>
    <row r="955" spans="1:18" x14ac:dyDescent="0.25">
      <c r="A955" s="8" t="s">
        <v>16</v>
      </c>
      <c r="B955" s="7" t="s">
        <v>17</v>
      </c>
      <c r="C955" s="4" t="s">
        <v>84</v>
      </c>
      <c r="D955" s="4" t="s">
        <v>1592</v>
      </c>
      <c r="E955" s="16">
        <v>954</v>
      </c>
      <c r="F955" s="9">
        <v>46182</v>
      </c>
      <c r="G955" s="17" t="b">
        <v>0</v>
      </c>
      <c r="H955" s="16">
        <v>3</v>
      </c>
      <c r="I955" s="28" t="s">
        <v>20</v>
      </c>
      <c r="J955" s="16">
        <v>15</v>
      </c>
      <c r="K955" s="4">
        <f ca="1">IF(AND(F955&lt;&gt;"", L955&lt;&gt;""), NETWORKDAYS(TODAY(), L955-1, FESTIVOS!A$1:A$55), "")</f>
        <v>9</v>
      </c>
      <c r="L955" s="9">
        <f>IF(AND(F955&lt;&gt;"", J955&lt;&gt;""), WORKDAY(F955, J955, FESTIVOS!A$1:A$55), "")</f>
        <v>46205</v>
      </c>
      <c r="M955" s="4" t="b">
        <v>0</v>
      </c>
      <c r="N955" s="4" t="b">
        <v>0</v>
      </c>
      <c r="O955" s="4" t="b">
        <v>0</v>
      </c>
      <c r="P955" s="4" t="b">
        <v>0</v>
      </c>
      <c r="Q955" s="9" t="b">
        <v>0</v>
      </c>
      <c r="R955" s="12" t="b">
        <v>0</v>
      </c>
    </row>
    <row r="956" spans="1:18" x14ac:dyDescent="0.25">
      <c r="A956" s="8" t="s">
        <v>16</v>
      </c>
      <c r="B956" s="7" t="s">
        <v>17</v>
      </c>
      <c r="C956" s="4" t="s">
        <v>84</v>
      </c>
      <c r="D956" s="4" t="s">
        <v>1592</v>
      </c>
      <c r="E956" s="16">
        <v>955</v>
      </c>
      <c r="F956" s="9">
        <v>46182</v>
      </c>
      <c r="G956" s="17" t="b">
        <v>0</v>
      </c>
      <c r="H956" s="16">
        <v>3</v>
      </c>
      <c r="I956" s="28" t="s">
        <v>20</v>
      </c>
      <c r="J956" s="16">
        <v>15</v>
      </c>
      <c r="K956" s="4">
        <f ca="1">IF(AND(F956&lt;&gt;"", L956&lt;&gt;""), NETWORKDAYS(TODAY(), L956-1, FESTIVOS!A$1:A$55), "")</f>
        <v>9</v>
      </c>
      <c r="L956" s="9">
        <f>IF(AND(F956&lt;&gt;"", J956&lt;&gt;""), WORKDAY(F956, J956, FESTIVOS!A$1:A$55), "")</f>
        <v>46205</v>
      </c>
      <c r="M956" s="4" t="b">
        <v>0</v>
      </c>
      <c r="N956" s="4" t="b">
        <v>0</v>
      </c>
      <c r="O956" s="4" t="b">
        <v>0</v>
      </c>
      <c r="P956" s="4" t="b">
        <v>0</v>
      </c>
      <c r="Q956" s="9" t="b">
        <v>0</v>
      </c>
      <c r="R956" s="12" t="b">
        <v>0</v>
      </c>
    </row>
    <row r="957" spans="1:18" x14ac:dyDescent="0.25">
      <c r="A957" s="8" t="s">
        <v>16</v>
      </c>
      <c r="B957" s="7" t="s">
        <v>17</v>
      </c>
      <c r="C957" s="4" t="s">
        <v>84</v>
      </c>
      <c r="D957" s="4" t="s">
        <v>1592</v>
      </c>
      <c r="E957" s="16">
        <v>956</v>
      </c>
      <c r="F957" s="9">
        <v>46182</v>
      </c>
      <c r="G957" s="17" t="b">
        <v>0</v>
      </c>
      <c r="H957" s="16">
        <v>3</v>
      </c>
      <c r="I957" s="28" t="s">
        <v>20</v>
      </c>
      <c r="J957" s="16">
        <v>15</v>
      </c>
      <c r="K957" s="4">
        <f ca="1">IF(AND(F957&lt;&gt;"", L957&lt;&gt;""), NETWORKDAYS(TODAY(), L957-1, FESTIVOS!A$1:A$55), "")</f>
        <v>9</v>
      </c>
      <c r="L957" s="9">
        <f>IF(AND(F957&lt;&gt;"", J957&lt;&gt;""), WORKDAY(F957, J957, FESTIVOS!A$1:A$55), "")</f>
        <v>46205</v>
      </c>
      <c r="M957" s="4" t="b">
        <v>0</v>
      </c>
      <c r="N957" s="4" t="b">
        <v>0</v>
      </c>
      <c r="O957" s="4" t="b">
        <v>0</v>
      </c>
      <c r="P957" s="4" t="b">
        <v>0</v>
      </c>
      <c r="Q957" s="9" t="b">
        <v>0</v>
      </c>
      <c r="R957" s="12" t="b">
        <v>0</v>
      </c>
    </row>
    <row r="958" spans="1:18" x14ac:dyDescent="0.25">
      <c r="A958" s="8" t="s">
        <v>16</v>
      </c>
      <c r="B958" s="7" t="s">
        <v>17</v>
      </c>
      <c r="C958" s="4" t="s">
        <v>84</v>
      </c>
      <c r="D958" s="4" t="s">
        <v>1592</v>
      </c>
      <c r="E958" s="16">
        <v>957</v>
      </c>
      <c r="F958" s="9">
        <v>46182</v>
      </c>
      <c r="G958" s="17" t="b">
        <v>0</v>
      </c>
      <c r="H958" s="16">
        <v>3</v>
      </c>
      <c r="I958" s="28" t="s">
        <v>20</v>
      </c>
      <c r="J958" s="16">
        <v>15</v>
      </c>
      <c r="K958" s="4">
        <f ca="1">IF(AND(F958&lt;&gt;"", L958&lt;&gt;""), NETWORKDAYS(TODAY(), L958-1, FESTIVOS!A$1:A$55), "")</f>
        <v>9</v>
      </c>
      <c r="L958" s="9">
        <f>IF(AND(F958&lt;&gt;"", J958&lt;&gt;""), WORKDAY(F958, J958, FESTIVOS!A$1:A$55), "")</f>
        <v>46205</v>
      </c>
      <c r="M958" s="4" t="b">
        <v>0</v>
      </c>
      <c r="N958" s="4" t="b">
        <v>0</v>
      </c>
      <c r="O958" s="4" t="b">
        <v>0</v>
      </c>
      <c r="P958" s="4" t="b">
        <v>0</v>
      </c>
      <c r="Q958" s="9" t="b">
        <v>0</v>
      </c>
      <c r="R958" s="12" t="b">
        <v>0</v>
      </c>
    </row>
    <row r="959" spans="1:18" x14ac:dyDescent="0.25">
      <c r="A959" s="8" t="s">
        <v>16</v>
      </c>
      <c r="B959" s="7" t="s">
        <v>17</v>
      </c>
      <c r="C959" s="4" t="s">
        <v>84</v>
      </c>
      <c r="D959" s="4" t="s">
        <v>1592</v>
      </c>
      <c r="E959" s="16">
        <v>958</v>
      </c>
      <c r="F959" s="9">
        <v>46182</v>
      </c>
      <c r="G959" s="17" t="b">
        <v>0</v>
      </c>
      <c r="H959" s="16">
        <v>3</v>
      </c>
      <c r="I959" s="28" t="s">
        <v>20</v>
      </c>
      <c r="J959" s="16">
        <v>15</v>
      </c>
      <c r="K959" s="4">
        <f ca="1">IF(AND(F959&lt;&gt;"", L959&lt;&gt;""), NETWORKDAYS(TODAY(), L959-1, FESTIVOS!A$1:A$55), "")</f>
        <v>9</v>
      </c>
      <c r="L959" s="9">
        <f>IF(AND(F959&lt;&gt;"", J959&lt;&gt;""), WORKDAY(F959, J959, FESTIVOS!A$1:A$55), "")</f>
        <v>46205</v>
      </c>
      <c r="M959" s="4" t="b">
        <v>0</v>
      </c>
      <c r="N959" s="4" t="b">
        <v>0</v>
      </c>
      <c r="O959" s="4" t="b">
        <v>0</v>
      </c>
      <c r="P959" s="4" t="b">
        <v>0</v>
      </c>
      <c r="Q959" s="9" t="b">
        <v>0</v>
      </c>
      <c r="R959" s="12" t="b">
        <v>0</v>
      </c>
    </row>
    <row r="960" spans="1:18" x14ac:dyDescent="0.25">
      <c r="A960" s="8" t="s">
        <v>16</v>
      </c>
      <c r="B960" s="7" t="s">
        <v>17</v>
      </c>
      <c r="C960" s="4" t="s">
        <v>84</v>
      </c>
      <c r="D960" s="4" t="s">
        <v>1592</v>
      </c>
      <c r="E960" s="16">
        <v>959</v>
      </c>
      <c r="F960" s="9">
        <v>46182</v>
      </c>
      <c r="G960" s="17" t="b">
        <v>0</v>
      </c>
      <c r="H960" s="16">
        <v>3</v>
      </c>
      <c r="I960" s="28" t="s">
        <v>20</v>
      </c>
      <c r="J960" s="16">
        <v>15</v>
      </c>
      <c r="K960" s="4">
        <f ca="1">IF(AND(F960&lt;&gt;"", L960&lt;&gt;""), NETWORKDAYS(TODAY(), L960-1, FESTIVOS!A$1:A$55), "")</f>
        <v>9</v>
      </c>
      <c r="L960" s="9">
        <f>IF(AND(F960&lt;&gt;"", J960&lt;&gt;""), WORKDAY(F960, J960, FESTIVOS!A$1:A$55), "")</f>
        <v>46205</v>
      </c>
      <c r="M960" s="4" t="b">
        <v>0</v>
      </c>
      <c r="N960" s="4" t="b">
        <v>0</v>
      </c>
      <c r="O960" s="4" t="b">
        <v>0</v>
      </c>
      <c r="P960" s="4" t="b">
        <v>0</v>
      </c>
      <c r="Q960" s="9" t="b">
        <v>0</v>
      </c>
      <c r="R960" s="12" t="b">
        <v>0</v>
      </c>
    </row>
    <row r="961" spans="1:18" x14ac:dyDescent="0.25">
      <c r="A961" s="8" t="s">
        <v>16</v>
      </c>
      <c r="B961" s="7" t="s">
        <v>17</v>
      </c>
      <c r="C961" s="4" t="s">
        <v>84</v>
      </c>
      <c r="D961" s="4" t="s">
        <v>1592</v>
      </c>
      <c r="E961" s="16">
        <v>960</v>
      </c>
      <c r="F961" s="9">
        <v>46182</v>
      </c>
      <c r="G961" s="17" t="b">
        <v>0</v>
      </c>
      <c r="H961" s="16">
        <v>3</v>
      </c>
      <c r="I961" s="28" t="s">
        <v>20</v>
      </c>
      <c r="J961" s="16">
        <v>15</v>
      </c>
      <c r="K961" s="4">
        <f ca="1">IF(AND(F961&lt;&gt;"", L961&lt;&gt;""), NETWORKDAYS(TODAY(), L961-1, FESTIVOS!A$1:A$55), "")</f>
        <v>9</v>
      </c>
      <c r="L961" s="9">
        <f>IF(AND(F961&lt;&gt;"", J961&lt;&gt;""), WORKDAY(F961, J961, FESTIVOS!A$1:A$55), "")</f>
        <v>46205</v>
      </c>
      <c r="M961" s="4" t="b">
        <v>0</v>
      </c>
      <c r="N961" s="4" t="b">
        <v>0</v>
      </c>
      <c r="O961" s="4" t="b">
        <v>0</v>
      </c>
      <c r="P961" s="4" t="b">
        <v>0</v>
      </c>
      <c r="Q961" s="9" t="b">
        <v>0</v>
      </c>
      <c r="R961" s="12" t="b">
        <v>0</v>
      </c>
    </row>
    <row r="962" spans="1:18" x14ac:dyDescent="0.25">
      <c r="A962" s="8" t="s">
        <v>16</v>
      </c>
      <c r="B962" s="7" t="s">
        <v>17</v>
      </c>
      <c r="C962" s="4" t="s">
        <v>84</v>
      </c>
      <c r="D962" s="4" t="s">
        <v>1592</v>
      </c>
      <c r="E962" s="16">
        <v>961</v>
      </c>
      <c r="F962" s="9">
        <v>46182</v>
      </c>
      <c r="G962" s="17" t="b">
        <v>0</v>
      </c>
      <c r="H962" s="16">
        <v>3</v>
      </c>
      <c r="I962" s="28" t="s">
        <v>20</v>
      </c>
      <c r="J962" s="16">
        <v>15</v>
      </c>
      <c r="K962" s="4">
        <f ca="1">IF(AND(F962&lt;&gt;"", L962&lt;&gt;""), NETWORKDAYS(TODAY(), L962-1, FESTIVOS!A$1:A$55), "")</f>
        <v>9</v>
      </c>
      <c r="L962" s="9">
        <f>IF(AND(F962&lt;&gt;"", J962&lt;&gt;""), WORKDAY(F962, J962, FESTIVOS!A$1:A$55), "")</f>
        <v>46205</v>
      </c>
      <c r="M962" s="4" t="b">
        <v>0</v>
      </c>
      <c r="N962" s="4" t="b">
        <v>0</v>
      </c>
      <c r="O962" s="4" t="b">
        <v>0</v>
      </c>
      <c r="P962" s="4" t="b">
        <v>0</v>
      </c>
      <c r="Q962" s="9" t="b">
        <v>0</v>
      </c>
      <c r="R962" s="12" t="b">
        <v>0</v>
      </c>
    </row>
    <row r="963" spans="1:18" x14ac:dyDescent="0.25">
      <c r="A963" s="8" t="s">
        <v>16</v>
      </c>
      <c r="B963" s="7" t="s">
        <v>17</v>
      </c>
      <c r="C963" s="4" t="s">
        <v>84</v>
      </c>
      <c r="D963" s="4" t="s">
        <v>1592</v>
      </c>
      <c r="E963" s="16">
        <v>962</v>
      </c>
      <c r="F963" s="9">
        <v>46182</v>
      </c>
      <c r="G963" s="17" t="b">
        <v>0</v>
      </c>
      <c r="H963" s="16">
        <v>3</v>
      </c>
      <c r="I963" s="28" t="s">
        <v>20</v>
      </c>
      <c r="J963" s="16">
        <v>15</v>
      </c>
      <c r="K963" s="4">
        <f ca="1">IF(AND(F963&lt;&gt;"", L963&lt;&gt;""), NETWORKDAYS(TODAY(), L963-1, FESTIVOS!A$1:A$55), "")</f>
        <v>9</v>
      </c>
      <c r="L963" s="9">
        <f>IF(AND(F963&lt;&gt;"", J963&lt;&gt;""), WORKDAY(F963, J963, FESTIVOS!A$1:A$55), "")</f>
        <v>46205</v>
      </c>
      <c r="M963" s="4" t="b">
        <v>0</v>
      </c>
      <c r="N963" s="4" t="b">
        <v>0</v>
      </c>
      <c r="O963" s="4" t="b">
        <v>0</v>
      </c>
      <c r="P963" s="4" t="b">
        <v>0</v>
      </c>
      <c r="Q963" s="9" t="b">
        <v>0</v>
      </c>
      <c r="R963" s="12" t="b">
        <v>0</v>
      </c>
    </row>
    <row r="964" spans="1:18" x14ac:dyDescent="0.25">
      <c r="A964" s="8" t="s">
        <v>16</v>
      </c>
      <c r="B964" s="7" t="s">
        <v>17</v>
      </c>
      <c r="C964" s="4" t="s">
        <v>84</v>
      </c>
      <c r="D964" s="4" t="s">
        <v>1592</v>
      </c>
      <c r="E964" s="16">
        <v>963</v>
      </c>
      <c r="F964" s="9">
        <v>46182</v>
      </c>
      <c r="G964" s="17" t="b">
        <v>0</v>
      </c>
      <c r="H964" s="16">
        <v>3</v>
      </c>
      <c r="I964" s="28" t="s">
        <v>20</v>
      </c>
      <c r="J964" s="16">
        <v>15</v>
      </c>
      <c r="K964" s="4">
        <f ca="1">IF(AND(F964&lt;&gt;"", L964&lt;&gt;""), NETWORKDAYS(TODAY(), L964-1, FESTIVOS!A$1:A$55), "")</f>
        <v>9</v>
      </c>
      <c r="L964" s="9">
        <f>IF(AND(F964&lt;&gt;"", J964&lt;&gt;""), WORKDAY(F964, J964, FESTIVOS!A$1:A$55), "")</f>
        <v>46205</v>
      </c>
      <c r="M964" s="4" t="b">
        <v>0</v>
      </c>
      <c r="N964" s="4" t="b">
        <v>0</v>
      </c>
      <c r="O964" s="4" t="b">
        <v>0</v>
      </c>
      <c r="P964" s="4" t="b">
        <v>0</v>
      </c>
      <c r="Q964" s="9" t="b">
        <v>0</v>
      </c>
      <c r="R964" s="12" t="b">
        <v>0</v>
      </c>
    </row>
    <row r="965" spans="1:18" x14ac:dyDescent="0.25">
      <c r="A965" s="8" t="s">
        <v>16</v>
      </c>
      <c r="B965" s="7" t="s">
        <v>17</v>
      </c>
      <c r="C965" s="4" t="s">
        <v>84</v>
      </c>
      <c r="D965" s="4" t="s">
        <v>1592</v>
      </c>
      <c r="E965" s="16">
        <v>964</v>
      </c>
      <c r="F965" s="9">
        <v>46182</v>
      </c>
      <c r="G965" s="17" t="b">
        <v>0</v>
      </c>
      <c r="H965" s="16">
        <v>3</v>
      </c>
      <c r="I965" s="28" t="s">
        <v>20</v>
      </c>
      <c r="J965" s="16">
        <v>15</v>
      </c>
      <c r="K965" s="4">
        <f ca="1">IF(AND(F965&lt;&gt;"", L965&lt;&gt;""), NETWORKDAYS(TODAY(), L965-1, FESTIVOS!A$1:A$55), "")</f>
        <v>9</v>
      </c>
      <c r="L965" s="9">
        <f>IF(AND(F965&lt;&gt;"", J965&lt;&gt;""), WORKDAY(F965, J965, FESTIVOS!A$1:A$55), "")</f>
        <v>46205</v>
      </c>
      <c r="M965" s="4" t="b">
        <v>0</v>
      </c>
      <c r="N965" s="4" t="b">
        <v>0</v>
      </c>
      <c r="O965" s="4" t="b">
        <v>0</v>
      </c>
      <c r="P965" s="4" t="b">
        <v>0</v>
      </c>
      <c r="Q965" s="9" t="b">
        <v>0</v>
      </c>
      <c r="R965" s="12" t="b">
        <v>0</v>
      </c>
    </row>
    <row r="966" spans="1:18" x14ac:dyDescent="0.25">
      <c r="A966" s="8" t="s">
        <v>16</v>
      </c>
      <c r="B966" s="7" t="s">
        <v>17</v>
      </c>
      <c r="C966" s="4" t="s">
        <v>84</v>
      </c>
      <c r="D966" s="4" t="s">
        <v>1592</v>
      </c>
      <c r="E966" s="16">
        <v>965</v>
      </c>
      <c r="F966" s="9">
        <v>46182</v>
      </c>
      <c r="G966" s="17" t="b">
        <v>0</v>
      </c>
      <c r="H966" s="16">
        <v>3</v>
      </c>
      <c r="I966" s="28" t="s">
        <v>20</v>
      </c>
      <c r="J966" s="16">
        <v>15</v>
      </c>
      <c r="K966" s="4">
        <f ca="1">IF(AND(F966&lt;&gt;"", L966&lt;&gt;""), NETWORKDAYS(TODAY(), L966-1, FESTIVOS!A$1:A$55), "")</f>
        <v>9</v>
      </c>
      <c r="L966" s="9">
        <f>IF(AND(F966&lt;&gt;"", J966&lt;&gt;""), WORKDAY(F966, J966, FESTIVOS!A$1:A$55), "")</f>
        <v>46205</v>
      </c>
      <c r="M966" s="4" t="b">
        <v>0</v>
      </c>
      <c r="N966" s="4" t="b">
        <v>0</v>
      </c>
      <c r="O966" s="4" t="b">
        <v>0</v>
      </c>
      <c r="P966" s="4" t="b">
        <v>0</v>
      </c>
      <c r="Q966" s="9" t="b">
        <v>0</v>
      </c>
      <c r="R966" s="12" t="b">
        <v>0</v>
      </c>
    </row>
    <row r="967" spans="1:18" x14ac:dyDescent="0.25">
      <c r="A967" s="8" t="s">
        <v>16</v>
      </c>
      <c r="B967" s="7" t="s">
        <v>17</v>
      </c>
      <c r="C967" s="4" t="s">
        <v>84</v>
      </c>
      <c r="D967" s="4" t="s">
        <v>1592</v>
      </c>
      <c r="E967" s="16">
        <v>966</v>
      </c>
      <c r="F967" s="9">
        <v>46182</v>
      </c>
      <c r="G967" s="17" t="b">
        <v>0</v>
      </c>
      <c r="H967" s="16">
        <v>3</v>
      </c>
      <c r="I967" s="28" t="s">
        <v>20</v>
      </c>
      <c r="J967" s="16">
        <v>15</v>
      </c>
      <c r="K967" s="4">
        <f ca="1">IF(AND(F967&lt;&gt;"", L967&lt;&gt;""), NETWORKDAYS(TODAY(), L967-1, FESTIVOS!A$1:A$55), "")</f>
        <v>9</v>
      </c>
      <c r="L967" s="9">
        <f>IF(AND(F967&lt;&gt;"", J967&lt;&gt;""), WORKDAY(F967, J967, FESTIVOS!A$1:A$55), "")</f>
        <v>46205</v>
      </c>
      <c r="M967" s="4" t="b">
        <v>0</v>
      </c>
      <c r="N967" s="4" t="b">
        <v>0</v>
      </c>
      <c r="O967" s="4" t="b">
        <v>0</v>
      </c>
      <c r="P967" s="4" t="b">
        <v>0</v>
      </c>
      <c r="Q967" s="9" t="b">
        <v>0</v>
      </c>
      <c r="R967" s="12" t="b">
        <v>0</v>
      </c>
    </row>
    <row r="968" spans="1:18" x14ac:dyDescent="0.25">
      <c r="A968" s="8" t="s">
        <v>16</v>
      </c>
      <c r="B968" s="7" t="s">
        <v>17</v>
      </c>
      <c r="C968" s="4" t="s">
        <v>84</v>
      </c>
      <c r="D968" s="4" t="s">
        <v>1592</v>
      </c>
      <c r="E968" s="16">
        <v>967</v>
      </c>
      <c r="F968" s="9">
        <v>46182</v>
      </c>
      <c r="G968" s="17" t="b">
        <v>0</v>
      </c>
      <c r="H968" s="16">
        <v>3</v>
      </c>
      <c r="I968" s="28" t="s">
        <v>20</v>
      </c>
      <c r="J968" s="16">
        <v>15</v>
      </c>
      <c r="K968" s="4">
        <f ca="1">IF(AND(F968&lt;&gt;"", L968&lt;&gt;""), NETWORKDAYS(TODAY(), L968-1, FESTIVOS!A$1:A$55), "")</f>
        <v>9</v>
      </c>
      <c r="L968" s="9">
        <f>IF(AND(F968&lt;&gt;"", J968&lt;&gt;""), WORKDAY(F968, J968, FESTIVOS!A$1:A$55), "")</f>
        <v>46205</v>
      </c>
      <c r="M968" s="4" t="b">
        <v>0</v>
      </c>
      <c r="N968" s="4" t="b">
        <v>0</v>
      </c>
      <c r="O968" s="4" t="b">
        <v>0</v>
      </c>
      <c r="P968" s="4" t="b">
        <v>0</v>
      </c>
      <c r="Q968" s="9" t="b">
        <v>0</v>
      </c>
      <c r="R968" s="12" t="b">
        <v>0</v>
      </c>
    </row>
    <row r="969" spans="1:18" x14ac:dyDescent="0.25">
      <c r="A969" s="8" t="s">
        <v>16</v>
      </c>
      <c r="B969" s="7" t="s">
        <v>17</v>
      </c>
      <c r="C969" s="4" t="s">
        <v>84</v>
      </c>
      <c r="D969" s="4" t="s">
        <v>1592</v>
      </c>
      <c r="E969" s="16">
        <v>968</v>
      </c>
      <c r="F969" s="9">
        <v>46182</v>
      </c>
      <c r="G969" s="17" t="b">
        <v>0</v>
      </c>
      <c r="H969" s="16">
        <v>3</v>
      </c>
      <c r="I969" s="28" t="s">
        <v>20</v>
      </c>
      <c r="J969" s="16">
        <v>15</v>
      </c>
      <c r="K969" s="4">
        <f ca="1">IF(AND(F969&lt;&gt;"", L969&lt;&gt;""), NETWORKDAYS(TODAY(), L969-1, FESTIVOS!A$1:A$55), "")</f>
        <v>9</v>
      </c>
      <c r="L969" s="9">
        <f>IF(AND(F969&lt;&gt;"", J969&lt;&gt;""), WORKDAY(F969, J969, FESTIVOS!A$1:A$55), "")</f>
        <v>46205</v>
      </c>
      <c r="M969" s="4" t="b">
        <v>0</v>
      </c>
      <c r="N969" s="4" t="b">
        <v>0</v>
      </c>
      <c r="O969" s="4" t="b">
        <v>0</v>
      </c>
      <c r="P969" s="4" t="b">
        <v>0</v>
      </c>
      <c r="Q969" s="9" t="b">
        <v>0</v>
      </c>
      <c r="R969" s="12" t="b">
        <v>0</v>
      </c>
    </row>
    <row r="970" spans="1:18" x14ac:dyDescent="0.25">
      <c r="A970" s="8" t="s">
        <v>16</v>
      </c>
      <c r="B970" s="7" t="s">
        <v>1593</v>
      </c>
      <c r="C970" s="4" t="s">
        <v>46</v>
      </c>
      <c r="D970" s="4" t="s">
        <v>1594</v>
      </c>
      <c r="E970" s="16">
        <v>969</v>
      </c>
      <c r="F970" s="9">
        <v>46182</v>
      </c>
      <c r="G970" s="17" t="b">
        <v>0</v>
      </c>
      <c r="H970" s="16">
        <v>0</v>
      </c>
      <c r="I970" s="28" t="s">
        <v>66</v>
      </c>
      <c r="J970" s="16">
        <v>15</v>
      </c>
      <c r="K970" s="4">
        <f ca="1">IF(AND(F970&lt;&gt;"", L970&lt;&gt;""), NETWORKDAYS(TODAY(), L970-1, FESTIVOS!A$1:A$55), "")</f>
        <v>9</v>
      </c>
      <c r="L970" s="9">
        <f>IF(AND(F970&lt;&gt;"", J970&lt;&gt;""), WORKDAY(F970, J970, FESTIVOS!A$1:A$55), "")</f>
        <v>46205</v>
      </c>
      <c r="M970" s="4" t="b">
        <v>0</v>
      </c>
      <c r="N970" s="4" t="b">
        <v>0</v>
      </c>
      <c r="O970" s="4" t="b">
        <v>0</v>
      </c>
      <c r="P970" s="4" t="b">
        <v>0</v>
      </c>
      <c r="Q970" s="9" t="b">
        <v>0</v>
      </c>
      <c r="R970" s="12" t="b">
        <v>0</v>
      </c>
    </row>
    <row r="971" spans="1:18" x14ac:dyDescent="0.25">
      <c r="A971" s="8" t="s">
        <v>16</v>
      </c>
      <c r="B971" s="7" t="s">
        <v>68</v>
      </c>
      <c r="C971" s="4" t="s">
        <v>186</v>
      </c>
      <c r="D971" s="4" t="s">
        <v>1595</v>
      </c>
      <c r="E971" s="16">
        <v>970</v>
      </c>
      <c r="F971" s="9">
        <v>46183</v>
      </c>
      <c r="G971" s="17" t="b">
        <v>0</v>
      </c>
      <c r="H971" s="16">
        <v>18</v>
      </c>
      <c r="I971" s="28" t="s">
        <v>20</v>
      </c>
      <c r="J971" s="16">
        <v>15</v>
      </c>
      <c r="K971" s="4">
        <f ca="1">IF(AND(F971&lt;&gt;"", L971&lt;&gt;""), NETWORKDAYS(TODAY(), L971-1, FESTIVOS!A$1:A$55), "")</f>
        <v>10</v>
      </c>
      <c r="L971" s="9">
        <f>IF(AND(F971&lt;&gt;"", J971&lt;&gt;""), WORKDAY(F971, J971, FESTIVOS!A$1:A$55), "")</f>
        <v>46206</v>
      </c>
      <c r="M971" s="4" t="b">
        <v>0</v>
      </c>
      <c r="N971" s="4" t="b">
        <v>0</v>
      </c>
      <c r="O971" s="4" t="b">
        <v>0</v>
      </c>
      <c r="P971" s="4" t="b">
        <v>0</v>
      </c>
      <c r="Q971" s="9" t="b">
        <v>0</v>
      </c>
      <c r="R971" s="12" t="b">
        <v>0</v>
      </c>
    </row>
    <row r="972" spans="1:18" x14ac:dyDescent="0.25">
      <c r="A972" s="8" t="s">
        <v>16</v>
      </c>
      <c r="B972" s="7" t="s">
        <v>1596</v>
      </c>
      <c r="C972" s="4" t="s">
        <v>32</v>
      </c>
      <c r="D972" s="4" t="s">
        <v>1597</v>
      </c>
      <c r="E972" s="16">
        <v>971</v>
      </c>
      <c r="F972" s="9">
        <v>46183</v>
      </c>
      <c r="G972" s="17" t="b">
        <v>0</v>
      </c>
      <c r="H972" s="16">
        <v>1</v>
      </c>
      <c r="I972" s="28" t="s">
        <v>20</v>
      </c>
      <c r="J972" s="16">
        <v>15</v>
      </c>
      <c r="K972" s="4">
        <f ca="1">IF(AND(F972&lt;&gt;"", L972&lt;&gt;""), NETWORKDAYS(TODAY(), L972-1, FESTIVOS!A$1:A$55), "")</f>
        <v>10</v>
      </c>
      <c r="L972" s="9">
        <f>IF(AND(F972&lt;&gt;"", J972&lt;&gt;""), WORKDAY(F972, J972, FESTIVOS!A$1:A$55), "")</f>
        <v>46206</v>
      </c>
      <c r="M972" s="4" t="b">
        <v>0</v>
      </c>
      <c r="N972" s="4" t="b">
        <v>0</v>
      </c>
      <c r="O972" s="4" t="b">
        <v>0</v>
      </c>
      <c r="P972" s="4" t="b">
        <v>0</v>
      </c>
      <c r="Q972" s="9" t="b">
        <v>0</v>
      </c>
      <c r="R972" s="12" t="b">
        <v>0</v>
      </c>
    </row>
    <row r="973" spans="1:18" x14ac:dyDescent="0.25">
      <c r="A973" s="8" t="s">
        <v>16</v>
      </c>
      <c r="B973" s="7" t="s">
        <v>1598</v>
      </c>
      <c r="C973" s="4" t="s">
        <v>46</v>
      </c>
      <c r="D973" s="4" t="s">
        <v>1599</v>
      </c>
      <c r="E973" s="16">
        <v>972</v>
      </c>
      <c r="F973" s="9">
        <v>46183</v>
      </c>
      <c r="G973" s="17" t="b">
        <v>0</v>
      </c>
      <c r="H973" s="16">
        <v>1</v>
      </c>
      <c r="I973" s="28" t="s">
        <v>20</v>
      </c>
      <c r="J973" s="16">
        <v>15</v>
      </c>
      <c r="K973" s="4">
        <f ca="1">IF(AND(F973&lt;&gt;"", L973&lt;&gt;""), NETWORKDAYS(TODAY(), L973-1, FESTIVOS!A$1:A$55), "")</f>
        <v>10</v>
      </c>
      <c r="L973" s="9">
        <f>IF(AND(F973&lt;&gt;"", J973&lt;&gt;""), WORKDAY(F973, J973, FESTIVOS!A$1:A$55), "")</f>
        <v>46206</v>
      </c>
      <c r="M973" s="4" t="b">
        <v>0</v>
      </c>
      <c r="N973" s="4" t="b">
        <v>0</v>
      </c>
      <c r="O973" s="4" t="b">
        <v>0</v>
      </c>
      <c r="P973" s="4" t="b">
        <v>0</v>
      </c>
      <c r="Q973" s="9" t="b">
        <v>0</v>
      </c>
      <c r="R973" s="12" t="b">
        <v>0</v>
      </c>
    </row>
    <row r="974" spans="1:18" x14ac:dyDescent="0.25">
      <c r="A974" s="8" t="b">
        <v>0</v>
      </c>
      <c r="B974" s="7" t="b">
        <v>0</v>
      </c>
      <c r="C974" s="4" t="b">
        <v>0</v>
      </c>
      <c r="D974" s="4" t="s">
        <v>1600</v>
      </c>
      <c r="E974" s="16">
        <v>973</v>
      </c>
      <c r="F974" s="4" t="b">
        <v>0</v>
      </c>
      <c r="G974" s="16" t="b">
        <v>0</v>
      </c>
      <c r="H974" s="16" t="b">
        <v>0</v>
      </c>
      <c r="I974" s="28" t="b">
        <v>0</v>
      </c>
      <c r="J974" s="4" t="b">
        <v>0</v>
      </c>
      <c r="K974" s="4" t="b">
        <v>0</v>
      </c>
      <c r="L974" s="4" t="b">
        <v>0</v>
      </c>
      <c r="M974" s="4" t="b">
        <v>0</v>
      </c>
      <c r="N974" s="4" t="b">
        <v>0</v>
      </c>
      <c r="O974" s="4" t="b">
        <v>0</v>
      </c>
      <c r="P974" s="4" t="b">
        <v>0</v>
      </c>
      <c r="Q974" s="9" t="b">
        <v>0</v>
      </c>
      <c r="R974" s="12" t="b">
        <v>0</v>
      </c>
    </row>
    <row r="975" spans="1:18" x14ac:dyDescent="0.25">
      <c r="A975" s="8" t="s">
        <v>16</v>
      </c>
      <c r="B975" s="7" t="s">
        <v>1601</v>
      </c>
      <c r="C975" s="4" t="s">
        <v>46</v>
      </c>
      <c r="D975" s="4" t="s">
        <v>1602</v>
      </c>
      <c r="E975" s="16">
        <v>974</v>
      </c>
      <c r="F975" s="9">
        <v>46183</v>
      </c>
      <c r="G975" s="17" t="b">
        <v>0</v>
      </c>
      <c r="H975" s="16">
        <v>3</v>
      </c>
      <c r="I975" s="28" t="s">
        <v>20</v>
      </c>
      <c r="J975" s="16">
        <v>15</v>
      </c>
      <c r="K975" s="4">
        <f ca="1">IF(AND(F975&lt;&gt;"", L975&lt;&gt;""), NETWORKDAYS(TODAY(), L975-1, FESTIVOS!A$1:A$55), "")</f>
        <v>10</v>
      </c>
      <c r="L975" s="9">
        <f>IF(AND(F975&lt;&gt;"", J975&lt;&gt;""), WORKDAY(F975, J975, FESTIVOS!A$1:A$55), "")</f>
        <v>46206</v>
      </c>
      <c r="M975" s="4" t="b">
        <v>0</v>
      </c>
      <c r="N975" s="4" t="b">
        <v>0</v>
      </c>
      <c r="O975" s="4" t="b">
        <v>0</v>
      </c>
      <c r="P975" s="4" t="b">
        <v>0</v>
      </c>
      <c r="Q975" s="9" t="b">
        <v>0</v>
      </c>
      <c r="R975" s="12" t="b">
        <v>0</v>
      </c>
    </row>
    <row r="976" spans="1:18" x14ac:dyDescent="0.25">
      <c r="A976" s="8" t="s">
        <v>16</v>
      </c>
      <c r="B976" s="7" t="s">
        <v>1603</v>
      </c>
      <c r="C976" s="4" t="s">
        <v>698</v>
      </c>
      <c r="D976" s="4" t="s">
        <v>1604</v>
      </c>
      <c r="E976" s="16">
        <v>975</v>
      </c>
      <c r="F976" s="9">
        <v>46183</v>
      </c>
      <c r="G976" s="17" t="b">
        <v>0</v>
      </c>
      <c r="H976" s="16">
        <v>0</v>
      </c>
      <c r="I976" s="28" t="s">
        <v>20</v>
      </c>
      <c r="J976" s="16">
        <v>15</v>
      </c>
      <c r="K976" s="4">
        <f ca="1">IF(AND(F976&lt;&gt;"", L976&lt;&gt;""), NETWORKDAYS(TODAY(), L976-1, FESTIVOS!A$1:A$55), "")</f>
        <v>10</v>
      </c>
      <c r="L976" s="9">
        <f>IF(AND(F976&lt;&gt;"", J976&lt;&gt;""), WORKDAY(F976, J976, FESTIVOS!A$1:A$55), "")</f>
        <v>46206</v>
      </c>
      <c r="M976" s="4" t="b">
        <v>0</v>
      </c>
      <c r="N976" s="4" t="b">
        <v>0</v>
      </c>
      <c r="O976" s="4" t="b">
        <v>0</v>
      </c>
      <c r="P976" s="4" t="b">
        <v>0</v>
      </c>
      <c r="Q976" s="9" t="b">
        <v>0</v>
      </c>
      <c r="R976" s="12" t="b">
        <v>0</v>
      </c>
    </row>
    <row r="977" spans="1:18" x14ac:dyDescent="0.25">
      <c r="A977" s="8" t="s">
        <v>16</v>
      </c>
      <c r="B977" s="7" t="s">
        <v>1605</v>
      </c>
      <c r="C977" s="4" t="s">
        <v>638</v>
      </c>
      <c r="D977" s="4" t="s">
        <v>1606</v>
      </c>
      <c r="E977" s="16">
        <v>976</v>
      </c>
      <c r="F977" s="9">
        <v>46182</v>
      </c>
      <c r="G977" s="17" t="b">
        <v>0</v>
      </c>
      <c r="H977" s="16">
        <v>0</v>
      </c>
      <c r="I977" s="28" t="s">
        <v>66</v>
      </c>
      <c r="J977" s="16">
        <v>15</v>
      </c>
      <c r="K977" s="4">
        <f ca="1">IF(AND(F977&lt;&gt;"", L977&lt;&gt;""), NETWORKDAYS(TODAY(), L977-1, FESTIVOS!A$1:A$55), "")</f>
        <v>9</v>
      </c>
      <c r="L977" s="9">
        <f>IF(AND(F977&lt;&gt;"", J977&lt;&gt;""), WORKDAY(F977, J977, FESTIVOS!A$1:A$55), "")</f>
        <v>46205</v>
      </c>
      <c r="M977" s="4" t="b">
        <v>0</v>
      </c>
      <c r="N977" s="4" t="b">
        <v>0</v>
      </c>
      <c r="O977" s="4" t="b">
        <v>0</v>
      </c>
      <c r="P977" s="4" t="b">
        <v>0</v>
      </c>
      <c r="Q977" s="9" t="b">
        <v>0</v>
      </c>
      <c r="R977" s="12" t="b">
        <v>0</v>
      </c>
    </row>
    <row r="978" spans="1:18" x14ac:dyDescent="0.25">
      <c r="A978" s="8" t="s">
        <v>16</v>
      </c>
      <c r="B978" s="7" t="s">
        <v>1605</v>
      </c>
      <c r="C978" s="4" t="s">
        <v>25</v>
      </c>
      <c r="D978" s="4" t="s">
        <v>1607</v>
      </c>
      <c r="E978" s="16">
        <v>977</v>
      </c>
      <c r="F978" s="9">
        <v>46184</v>
      </c>
      <c r="G978" s="17" t="b">
        <v>0</v>
      </c>
      <c r="H978" s="16">
        <v>1</v>
      </c>
      <c r="I978" s="28" t="s">
        <v>80</v>
      </c>
      <c r="J978" s="16">
        <v>15</v>
      </c>
      <c r="K978" s="4">
        <f ca="1">IF(AND(F978&lt;&gt;"", L978&lt;&gt;""), NETWORKDAYS(TODAY(), L978-1, FESTIVOS!A$1:A$55), "")</f>
        <v>11</v>
      </c>
      <c r="L978" s="9">
        <f>IF(AND(F978&lt;&gt;"", J978&lt;&gt;""), WORKDAY(F978, J978, FESTIVOS!A$1:A$55), "")</f>
        <v>46209</v>
      </c>
      <c r="M978" s="4" t="b">
        <v>0</v>
      </c>
      <c r="N978" s="4" t="b">
        <v>0</v>
      </c>
      <c r="O978" s="4" t="b">
        <v>0</v>
      </c>
      <c r="P978" s="4" t="b">
        <v>0</v>
      </c>
      <c r="Q978" s="9" t="b">
        <v>0</v>
      </c>
      <c r="R978" s="12" t="b">
        <v>0</v>
      </c>
    </row>
    <row r="979" spans="1:18" ht="16.899999999999999" customHeight="1" x14ac:dyDescent="0.25">
      <c r="A979" s="8" t="s">
        <v>16</v>
      </c>
      <c r="B979" s="7" t="s">
        <v>807</v>
      </c>
      <c r="C979" s="4" t="s">
        <v>32</v>
      </c>
      <c r="D979" s="4" t="s">
        <v>1608</v>
      </c>
      <c r="E979" s="16">
        <v>978</v>
      </c>
      <c r="F979" s="9">
        <v>46184</v>
      </c>
      <c r="G979" s="17" t="b">
        <v>0</v>
      </c>
      <c r="H979" s="16">
        <v>0</v>
      </c>
      <c r="I979" s="28" t="s">
        <v>20</v>
      </c>
      <c r="J979" s="16">
        <v>15</v>
      </c>
      <c r="K979" s="4">
        <f ca="1">IF(AND(F979&lt;&gt;"", L979&lt;&gt;""), NETWORKDAYS(TODAY(), L979-1, FESTIVOS!A$1:A$55), "")</f>
        <v>11</v>
      </c>
      <c r="L979" s="9">
        <f>IF(AND(F979&lt;&gt;"", J979&lt;&gt;""), WORKDAY(F979, J979, FESTIVOS!A$1:A$55), "")</f>
        <v>46209</v>
      </c>
      <c r="M979" s="4" t="b">
        <v>0</v>
      </c>
      <c r="N979" s="4" t="b">
        <v>0</v>
      </c>
      <c r="O979" s="4" t="b">
        <v>0</v>
      </c>
      <c r="P979" s="4" t="b">
        <v>0</v>
      </c>
      <c r="Q979" s="9" t="b">
        <v>0</v>
      </c>
      <c r="R979" s="12" t="b">
        <v>0</v>
      </c>
    </row>
    <row r="980" spans="1:18" x14ac:dyDescent="0.25">
      <c r="A980" s="8" t="s">
        <v>16</v>
      </c>
      <c r="B980" s="7" t="s">
        <v>1344</v>
      </c>
      <c r="C980" s="4" t="s">
        <v>25</v>
      </c>
      <c r="D980" s="4" t="s">
        <v>1609</v>
      </c>
      <c r="E980" s="16">
        <v>979</v>
      </c>
      <c r="F980" s="9">
        <v>46184</v>
      </c>
      <c r="G980" s="17" t="b">
        <v>0</v>
      </c>
      <c r="H980" s="16">
        <v>0</v>
      </c>
      <c r="I980" s="28" t="s">
        <v>20</v>
      </c>
      <c r="J980" s="16">
        <v>15</v>
      </c>
      <c r="K980" s="4">
        <f ca="1">IF(AND(F980&lt;&gt;"", L980&lt;&gt;""), NETWORKDAYS(TODAY(), L980-1, FESTIVOS!A$1:A$55), "")</f>
        <v>11</v>
      </c>
      <c r="L980" s="9">
        <f>IF(AND(F980&lt;&gt;"", J980&lt;&gt;""), WORKDAY(F980, J980, FESTIVOS!A$1:A$55), "")</f>
        <v>46209</v>
      </c>
      <c r="M980" s="4" t="b">
        <v>0</v>
      </c>
      <c r="N980" s="4" t="b">
        <v>0</v>
      </c>
      <c r="O980" s="4" t="b">
        <v>0</v>
      </c>
      <c r="P980" s="4" t="b">
        <v>0</v>
      </c>
      <c r="Q980" s="9" t="b">
        <v>0</v>
      </c>
      <c r="R980" s="12" t="b">
        <v>0</v>
      </c>
    </row>
    <row r="981" spans="1:18" x14ac:dyDescent="0.25">
      <c r="A981" s="14" t="s">
        <v>636</v>
      </c>
      <c r="B981" s="15" t="s">
        <v>1237</v>
      </c>
      <c r="C981" s="16" t="s">
        <v>1237</v>
      </c>
      <c r="D981" s="16" t="s">
        <v>1610</v>
      </c>
      <c r="E981" s="16">
        <v>980</v>
      </c>
      <c r="F981" s="17">
        <v>46184</v>
      </c>
      <c r="G981" s="17" t="b">
        <v>0</v>
      </c>
      <c r="H981" s="16">
        <v>1</v>
      </c>
      <c r="I981" s="29" t="s">
        <v>1611</v>
      </c>
      <c r="J981" s="16">
        <v>10</v>
      </c>
      <c r="K981" s="4">
        <f ca="1">IF(AND(F981&lt;&gt;"", L981&lt;&gt;""), NETWORKDAYS(TODAY(), L981-1, FESTIVOS!A$1:A$55), "")</f>
        <v>6</v>
      </c>
      <c r="L981" s="9">
        <f>IF(AND(F981&lt;&gt;"", J981&lt;&gt;""), WORKDAY(F981, J981, FESTIVOS!A$1:A$55), "")</f>
        <v>46199</v>
      </c>
      <c r="M981" s="16" t="s">
        <v>1179</v>
      </c>
      <c r="N981" s="16" t="b">
        <v>0</v>
      </c>
      <c r="O981" s="16" t="b">
        <v>0</v>
      </c>
      <c r="P981" s="16" t="b">
        <v>0</v>
      </c>
      <c r="Q981" s="17" t="b">
        <v>0</v>
      </c>
      <c r="R981" s="18" t="b">
        <v>0</v>
      </c>
    </row>
    <row r="982" spans="1:18" x14ac:dyDescent="0.25">
      <c r="A982" s="14" t="s">
        <v>16</v>
      </c>
      <c r="B982" s="15" t="s">
        <v>1612</v>
      </c>
      <c r="C982" s="16" t="s">
        <v>1612</v>
      </c>
      <c r="D982" s="16" t="s">
        <v>1613</v>
      </c>
      <c r="E982" s="16">
        <v>981</v>
      </c>
      <c r="F982" s="17">
        <v>46184</v>
      </c>
      <c r="G982" s="17" t="b">
        <v>0</v>
      </c>
      <c r="H982" s="16">
        <v>0</v>
      </c>
      <c r="I982" s="29" t="b">
        <v>0</v>
      </c>
      <c r="J982" s="16">
        <v>15</v>
      </c>
      <c r="K982" s="4">
        <f ca="1">IF(AND(F982&lt;&gt;"", L982&lt;&gt;""), NETWORKDAYS(TODAY(), L982-1, FESTIVOS!A$1:A$55), "")</f>
        <v>11</v>
      </c>
      <c r="L982" s="9">
        <f>IF(AND(F982&lt;&gt;"", J982&lt;&gt;""), WORKDAY(F982, J982, FESTIVOS!A$1:A$55), "")</f>
        <v>46209</v>
      </c>
      <c r="M982" s="16" t="s">
        <v>1179</v>
      </c>
      <c r="N982" s="16" t="b">
        <v>0</v>
      </c>
      <c r="O982" s="16" t="b">
        <v>0</v>
      </c>
      <c r="P982" s="16" t="b">
        <v>0</v>
      </c>
      <c r="Q982" s="17" t="b">
        <v>0</v>
      </c>
      <c r="R982" s="18" t="b">
        <v>0</v>
      </c>
    </row>
    <row r="983" spans="1:18" x14ac:dyDescent="0.25">
      <c r="A983" s="8" t="s">
        <v>16</v>
      </c>
      <c r="B983" s="7" t="s">
        <v>1614</v>
      </c>
      <c r="C983" s="4" t="s">
        <v>46</v>
      </c>
      <c r="D983" s="4" t="s">
        <v>608</v>
      </c>
      <c r="E983" s="16">
        <v>982</v>
      </c>
      <c r="F983" s="9">
        <v>46184</v>
      </c>
      <c r="G983" s="17" t="b">
        <v>0</v>
      </c>
      <c r="H983" s="16">
        <v>0</v>
      </c>
      <c r="I983" s="28" t="s">
        <v>20</v>
      </c>
      <c r="J983" s="16">
        <v>15</v>
      </c>
      <c r="K983" s="4">
        <f ca="1">IF(AND(F983&lt;&gt;"", L983&lt;&gt;""), NETWORKDAYS(TODAY(), L983-1, FESTIVOS!A$1:A$55), "")</f>
        <v>11</v>
      </c>
      <c r="L983" s="9">
        <f>IF(AND(F983&lt;&gt;"", J983&lt;&gt;""), WORKDAY(F983, J983, FESTIVOS!A$1:A$55), "")</f>
        <v>46209</v>
      </c>
      <c r="M983" s="16" t="s">
        <v>1179</v>
      </c>
      <c r="N983" s="4" t="b">
        <v>0</v>
      </c>
      <c r="O983" s="4" t="b">
        <v>0</v>
      </c>
      <c r="P983" s="4" t="b">
        <v>0</v>
      </c>
      <c r="Q983" s="9" t="b">
        <v>0</v>
      </c>
      <c r="R983" s="12" t="b">
        <v>0</v>
      </c>
    </row>
    <row r="984" spans="1:18" x14ac:dyDescent="0.25">
      <c r="A984" s="8" t="s">
        <v>16</v>
      </c>
      <c r="B984" s="7" t="s">
        <v>1615</v>
      </c>
      <c r="C984" s="4" t="s">
        <v>46</v>
      </c>
      <c r="D984" s="4" t="s">
        <v>419</v>
      </c>
      <c r="E984" s="16">
        <v>983</v>
      </c>
      <c r="F984" s="9">
        <v>46184</v>
      </c>
      <c r="G984" s="17" t="b">
        <v>0</v>
      </c>
      <c r="H984" s="16">
        <v>1</v>
      </c>
      <c r="I984" s="28" t="s">
        <v>20</v>
      </c>
      <c r="J984" s="16">
        <v>15</v>
      </c>
      <c r="K984" s="4">
        <f ca="1">IF(AND(F984&lt;&gt;"", L984&lt;&gt;""), NETWORKDAYS(TODAY(), L984-1, FESTIVOS!A$1:A$55), "")</f>
        <v>11</v>
      </c>
      <c r="L984" s="9">
        <f>IF(AND(F984&lt;&gt;"", J984&lt;&gt;""), WORKDAY(F984, J984, FESTIVOS!A$1:A$55), "")</f>
        <v>46209</v>
      </c>
      <c r="M984" s="16" t="s">
        <v>1179</v>
      </c>
      <c r="N984" s="4" t="b">
        <v>0</v>
      </c>
      <c r="O984" s="4" t="b">
        <v>0</v>
      </c>
      <c r="P984" s="4" t="b">
        <v>0</v>
      </c>
      <c r="Q984" s="9" t="b">
        <v>0</v>
      </c>
      <c r="R984" s="12" t="b">
        <v>0</v>
      </c>
    </row>
    <row r="985" spans="1:18" x14ac:dyDescent="0.25">
      <c r="A985" s="8" t="s">
        <v>16</v>
      </c>
      <c r="B985" s="7" t="s">
        <v>1616</v>
      </c>
      <c r="C985" s="4" t="s">
        <v>46</v>
      </c>
      <c r="D985" s="4" t="s">
        <v>1404</v>
      </c>
      <c r="E985" s="16">
        <v>984</v>
      </c>
      <c r="F985" s="9">
        <v>46184</v>
      </c>
      <c r="G985" s="17" t="b">
        <v>0</v>
      </c>
      <c r="H985" s="16">
        <v>1</v>
      </c>
      <c r="I985" s="28" t="s">
        <v>20</v>
      </c>
      <c r="J985" s="16">
        <v>15</v>
      </c>
      <c r="K985" s="4">
        <f ca="1">IF(AND(F985&lt;&gt;"", L985&lt;&gt;""), NETWORKDAYS(TODAY(), L985-1, FESTIVOS!A$1:A$55), "")</f>
        <v>11</v>
      </c>
      <c r="L985" s="9">
        <f>IF(AND(F985&lt;&gt;"", J985&lt;&gt;""), WORKDAY(F985, J985, FESTIVOS!A$1:A$55), "")</f>
        <v>46209</v>
      </c>
      <c r="M985" s="16" t="s">
        <v>1179</v>
      </c>
      <c r="N985" s="4" t="b">
        <v>0</v>
      </c>
      <c r="O985" s="4" t="b">
        <v>0</v>
      </c>
      <c r="P985" s="4" t="b">
        <v>0</v>
      </c>
      <c r="Q985" s="9" t="b">
        <v>0</v>
      </c>
      <c r="R985" s="12" t="b">
        <v>0</v>
      </c>
    </row>
    <row r="986" spans="1:18" x14ac:dyDescent="0.25">
      <c r="A986" s="8" t="s">
        <v>16</v>
      </c>
      <c r="B986" s="7" t="s">
        <v>1617</v>
      </c>
      <c r="C986" s="4" t="s">
        <v>46</v>
      </c>
      <c r="D986" s="4" t="s">
        <v>1404</v>
      </c>
      <c r="E986" s="16">
        <v>985</v>
      </c>
      <c r="F986" s="9">
        <v>46184</v>
      </c>
      <c r="G986" s="17" t="b">
        <v>0</v>
      </c>
      <c r="H986" s="16">
        <v>1</v>
      </c>
      <c r="I986" s="28" t="s">
        <v>20</v>
      </c>
      <c r="J986" s="16">
        <v>15</v>
      </c>
      <c r="K986" s="4">
        <f ca="1">IF(AND(F986&lt;&gt;"", L986&lt;&gt;""), NETWORKDAYS(TODAY(), L986-1, FESTIVOS!A$1:A$55), "")</f>
        <v>11</v>
      </c>
      <c r="L986" s="9">
        <f>IF(AND(F986&lt;&gt;"", J986&lt;&gt;""), WORKDAY(F986, J986, FESTIVOS!A$1:A$55), "")</f>
        <v>46209</v>
      </c>
      <c r="M986" s="16" t="s">
        <v>1179</v>
      </c>
      <c r="N986" s="4" t="b">
        <v>0</v>
      </c>
      <c r="O986" s="4" t="b">
        <v>0</v>
      </c>
      <c r="P986" s="4" t="b">
        <v>0</v>
      </c>
      <c r="Q986" s="9" t="b">
        <v>0</v>
      </c>
      <c r="R986" s="12" t="b">
        <v>0</v>
      </c>
    </row>
    <row r="987" spans="1:18" x14ac:dyDescent="0.25">
      <c r="A987" s="8" t="s">
        <v>16</v>
      </c>
      <c r="B987" s="7" t="s">
        <v>1618</v>
      </c>
      <c r="C987" s="4" t="s">
        <v>46</v>
      </c>
      <c r="D987" s="4" t="s">
        <v>1404</v>
      </c>
      <c r="E987" s="16">
        <v>986</v>
      </c>
      <c r="F987" s="9">
        <v>46184</v>
      </c>
      <c r="G987" s="17" t="b">
        <v>0</v>
      </c>
      <c r="H987" s="16">
        <v>1</v>
      </c>
      <c r="I987" s="28" t="s">
        <v>20</v>
      </c>
      <c r="J987" s="16">
        <v>15</v>
      </c>
      <c r="K987" s="4">
        <f ca="1">IF(AND(F987&lt;&gt;"", L987&lt;&gt;""), NETWORKDAYS(TODAY(), L987-1, FESTIVOS!A$1:A$55), "")</f>
        <v>11</v>
      </c>
      <c r="L987" s="9">
        <f>IF(AND(F987&lt;&gt;"", J987&lt;&gt;""), WORKDAY(F987, J987, FESTIVOS!A$1:A$55), "")</f>
        <v>46209</v>
      </c>
      <c r="M987" s="16" t="s">
        <v>1179</v>
      </c>
      <c r="N987" s="4" t="b">
        <v>0</v>
      </c>
      <c r="O987" s="4" t="b">
        <v>0</v>
      </c>
      <c r="P987" s="4" t="b">
        <v>0</v>
      </c>
      <c r="Q987" s="9" t="b">
        <v>0</v>
      </c>
      <c r="R987" s="12" t="b">
        <v>0</v>
      </c>
    </row>
    <row r="988" spans="1:18" x14ac:dyDescent="0.25">
      <c r="A988" s="8" t="s">
        <v>16</v>
      </c>
      <c r="B988" s="7" t="s">
        <v>1619</v>
      </c>
      <c r="C988" s="4" t="s">
        <v>46</v>
      </c>
      <c r="D988" s="4" t="s">
        <v>1404</v>
      </c>
      <c r="E988" s="16">
        <v>987</v>
      </c>
      <c r="F988" s="9">
        <v>46185</v>
      </c>
      <c r="G988" s="17" t="b">
        <v>0</v>
      </c>
      <c r="H988" s="16">
        <v>1</v>
      </c>
      <c r="I988" s="28" t="s">
        <v>20</v>
      </c>
      <c r="J988" s="16">
        <v>15</v>
      </c>
      <c r="K988" s="4">
        <f ca="1">IF(AND(F988&lt;&gt;"", L988&lt;&gt;""), NETWORKDAYS(TODAY(), L988-1, FESTIVOS!A$1:A$55), "")</f>
        <v>12</v>
      </c>
      <c r="L988" s="9">
        <f>IF(AND(F988&lt;&gt;"", J988&lt;&gt;""), WORKDAY(F988, J988, FESTIVOS!A$1:A$55), "")</f>
        <v>46210</v>
      </c>
      <c r="M988" s="16" t="s">
        <v>1179</v>
      </c>
      <c r="N988" s="4" t="b">
        <v>0</v>
      </c>
      <c r="O988" s="4" t="b">
        <v>0</v>
      </c>
      <c r="P988" s="4" t="b">
        <v>0</v>
      </c>
      <c r="Q988" s="9" t="b">
        <v>0</v>
      </c>
      <c r="R988" s="12" t="b">
        <v>0</v>
      </c>
    </row>
    <row r="989" spans="1:18" x14ac:dyDescent="0.25">
      <c r="A989" s="8" t="s">
        <v>16</v>
      </c>
      <c r="B989" s="7" t="s">
        <v>1620</v>
      </c>
      <c r="C989" s="4" t="s">
        <v>46</v>
      </c>
      <c r="D989" s="4" t="s">
        <v>1404</v>
      </c>
      <c r="E989" s="16">
        <v>988</v>
      </c>
      <c r="F989" s="9">
        <v>46185</v>
      </c>
      <c r="G989" s="17" t="b">
        <v>0</v>
      </c>
      <c r="H989" s="16">
        <v>1</v>
      </c>
      <c r="I989" s="28" t="s">
        <v>20</v>
      </c>
      <c r="J989" s="16">
        <v>15</v>
      </c>
      <c r="K989" s="4">
        <f ca="1">IF(AND(F989&lt;&gt;"", L989&lt;&gt;""), NETWORKDAYS(TODAY(), L989-1, FESTIVOS!A$1:A$55), "")</f>
        <v>12</v>
      </c>
      <c r="L989" s="9">
        <f>IF(AND(F989&lt;&gt;"", J989&lt;&gt;""), WORKDAY(F989, J989, FESTIVOS!A$1:A$55), "")</f>
        <v>46210</v>
      </c>
      <c r="M989" s="16" t="s">
        <v>1179</v>
      </c>
      <c r="N989" s="4" t="b">
        <v>0</v>
      </c>
      <c r="O989" s="4" t="b">
        <v>0</v>
      </c>
      <c r="P989" s="4" t="b">
        <v>0</v>
      </c>
      <c r="Q989" s="9" t="b">
        <v>0</v>
      </c>
      <c r="R989" s="12" t="b">
        <v>0</v>
      </c>
    </row>
    <row r="990" spans="1:18" x14ac:dyDescent="0.25">
      <c r="A990" s="8" t="s">
        <v>16</v>
      </c>
      <c r="B990" s="7" t="s">
        <v>1621</v>
      </c>
      <c r="C990" s="4" t="s">
        <v>25</v>
      </c>
      <c r="D990" s="4" t="s">
        <v>1622</v>
      </c>
      <c r="E990" s="16">
        <v>989</v>
      </c>
      <c r="F990" s="9">
        <v>46185</v>
      </c>
      <c r="G990" s="17" t="b">
        <v>0</v>
      </c>
      <c r="H990" s="16">
        <v>2</v>
      </c>
      <c r="I990" s="28" t="s">
        <v>20</v>
      </c>
      <c r="J990" s="16">
        <v>15</v>
      </c>
      <c r="K990" s="4">
        <f ca="1">IF(AND(F990&lt;&gt;"", L990&lt;&gt;""), NETWORKDAYS(TODAY(), L990-1, FESTIVOS!A$1:A$55), "")</f>
        <v>12</v>
      </c>
      <c r="L990" s="9">
        <f>IF(AND(F990&lt;&gt;"", J990&lt;&gt;""), WORKDAY(F990, J990, FESTIVOS!A$1:A$55), "")</f>
        <v>46210</v>
      </c>
      <c r="M990" s="16" t="s">
        <v>1179</v>
      </c>
      <c r="N990" s="4" t="b">
        <v>0</v>
      </c>
      <c r="O990" s="4" t="b">
        <v>0</v>
      </c>
      <c r="P990" s="4" t="b">
        <v>0</v>
      </c>
      <c r="Q990" s="9" t="b">
        <v>0</v>
      </c>
      <c r="R990" s="12" t="b">
        <v>0</v>
      </c>
    </row>
    <row r="991" spans="1:18" x14ac:dyDescent="0.25">
      <c r="A991" s="14" t="s">
        <v>16</v>
      </c>
      <c r="B991" s="15" t="s">
        <v>1623</v>
      </c>
      <c r="C991" s="16" t="s">
        <v>25</v>
      </c>
      <c r="D991" s="16" t="s">
        <v>1624</v>
      </c>
      <c r="E991" s="16">
        <v>990</v>
      </c>
      <c r="F991" s="17">
        <v>46185</v>
      </c>
      <c r="G991" s="17" t="b">
        <v>0</v>
      </c>
      <c r="H991" s="16">
        <v>2</v>
      </c>
      <c r="I991" s="29" t="s">
        <v>20</v>
      </c>
      <c r="J991" s="16">
        <v>15</v>
      </c>
      <c r="K991" s="4">
        <f ca="1">IF(AND(F991&lt;&gt;"", L991&lt;&gt;""), NETWORKDAYS(TODAY(), L991-1, FESTIVOS!A$1:A$55), "")</f>
        <v>12</v>
      </c>
      <c r="L991" s="9">
        <f>IF(AND(F991&lt;&gt;"", J991&lt;&gt;""), WORKDAY(F991, J991, FESTIVOS!A$1:A$55), "")</f>
        <v>46210</v>
      </c>
      <c r="M991" s="16" t="s">
        <v>1179</v>
      </c>
      <c r="N991" s="16" t="b">
        <v>0</v>
      </c>
      <c r="O991" s="16" t="b">
        <v>0</v>
      </c>
      <c r="P991" s="16" t="b">
        <v>0</v>
      </c>
      <c r="Q991" s="17" t="b">
        <v>0</v>
      </c>
      <c r="R991" s="18" t="b">
        <v>0</v>
      </c>
    </row>
    <row r="992" spans="1:18" x14ac:dyDescent="0.25">
      <c r="A992" s="8" t="s">
        <v>16</v>
      </c>
      <c r="B992" s="7" t="s">
        <v>35</v>
      </c>
      <c r="C992" s="4" t="s">
        <v>32</v>
      </c>
      <c r="D992" s="4" t="s">
        <v>185</v>
      </c>
      <c r="E992" s="16">
        <v>991</v>
      </c>
      <c r="F992" s="9">
        <v>46185</v>
      </c>
      <c r="G992" s="17" t="b">
        <v>0</v>
      </c>
      <c r="H992" s="16">
        <v>0</v>
      </c>
      <c r="I992" s="28" t="s">
        <v>20</v>
      </c>
      <c r="J992" s="16">
        <v>15</v>
      </c>
      <c r="K992" s="4">
        <f ca="1">IF(AND(F992&lt;&gt;"", L992&lt;&gt;""), NETWORKDAYS(TODAY(), L992-1, FESTIVOS!A$1:A$55), "")</f>
        <v>12</v>
      </c>
      <c r="L992" s="9">
        <f>IF(AND(F992&lt;&gt;"", J992&lt;&gt;""), WORKDAY(F992, J992, FESTIVOS!A$1:A$55), "")</f>
        <v>46210</v>
      </c>
      <c r="M992" s="16" t="s">
        <v>1179</v>
      </c>
      <c r="N992" s="4" t="b">
        <v>0</v>
      </c>
      <c r="O992" s="4" t="b">
        <v>0</v>
      </c>
      <c r="P992" s="4" t="b">
        <v>0</v>
      </c>
      <c r="Q992" s="9" t="b">
        <v>0</v>
      </c>
      <c r="R992" s="12" t="b">
        <v>0</v>
      </c>
    </row>
    <row r="993" spans="1:18" x14ac:dyDescent="0.25">
      <c r="A993" s="8" t="s">
        <v>16</v>
      </c>
      <c r="B993" s="7" t="s">
        <v>1625</v>
      </c>
      <c r="C993" s="4" t="s">
        <v>25</v>
      </c>
      <c r="D993" s="4" t="s">
        <v>1626</v>
      </c>
      <c r="E993" s="16">
        <v>992</v>
      </c>
      <c r="F993" s="9">
        <v>46189</v>
      </c>
      <c r="G993" s="17" t="b">
        <v>0</v>
      </c>
      <c r="H993" s="16">
        <v>0</v>
      </c>
      <c r="I993" s="28" t="s">
        <v>66</v>
      </c>
      <c r="J993" s="16">
        <v>15</v>
      </c>
      <c r="K993" s="4">
        <f ca="1">IF(AND(F993&lt;&gt;"", L993&lt;&gt;""), NETWORKDAYS(TODAY(), L993-1, FESTIVOS!A$1:A$55), "")</f>
        <v>13</v>
      </c>
      <c r="L993" s="9">
        <f>IF(AND(F993&lt;&gt;"", J993&lt;&gt;""), WORKDAY(F993, J993, FESTIVOS!A$1:A$55), "")</f>
        <v>46211</v>
      </c>
      <c r="M993" s="16" t="s">
        <v>1179</v>
      </c>
      <c r="N993" s="4" t="b">
        <v>0</v>
      </c>
      <c r="O993" s="4" t="b">
        <v>0</v>
      </c>
      <c r="P993" s="4" t="b">
        <v>0</v>
      </c>
      <c r="Q993" s="9" t="b">
        <v>0</v>
      </c>
      <c r="R993" s="12" t="b">
        <v>0</v>
      </c>
    </row>
    <row r="994" spans="1:18" x14ac:dyDescent="0.25">
      <c r="A994" s="14" t="s">
        <v>16</v>
      </c>
      <c r="B994" s="7" t="s">
        <v>1625</v>
      </c>
      <c r="C994" s="16" t="s">
        <v>25</v>
      </c>
      <c r="D994" s="16" t="s">
        <v>1627</v>
      </c>
      <c r="E994" s="16">
        <v>993</v>
      </c>
      <c r="F994" s="9">
        <v>46189</v>
      </c>
      <c r="G994" s="17" t="b">
        <v>0</v>
      </c>
      <c r="H994" s="16" t="b">
        <v>0</v>
      </c>
      <c r="I994" s="28" t="s">
        <v>66</v>
      </c>
      <c r="J994" s="16">
        <v>15</v>
      </c>
      <c r="K994" s="4">
        <f ca="1">IF(AND(F994&lt;&gt;"", L994&lt;&gt;""), NETWORKDAYS(TODAY(), L994-1, FESTIVOS!A$1:A$55), "")</f>
        <v>13</v>
      </c>
      <c r="L994" s="9">
        <f>IF(AND(F994&lt;&gt;"", J994&lt;&gt;""), WORKDAY(F994, J994, FESTIVOS!A$1:A$55), "")</f>
        <v>46211</v>
      </c>
      <c r="M994" s="16" t="s">
        <v>1179</v>
      </c>
      <c r="N994" s="16" t="b">
        <v>0</v>
      </c>
      <c r="O994" s="16" t="b">
        <v>0</v>
      </c>
      <c r="P994" s="16" t="b">
        <v>0</v>
      </c>
      <c r="Q994" s="17" t="b">
        <v>0</v>
      </c>
      <c r="R994" s="18" t="b">
        <v>0</v>
      </c>
    </row>
    <row r="995" spans="1:18" x14ac:dyDescent="0.25">
      <c r="A995" s="8" t="s">
        <v>16</v>
      </c>
      <c r="B995" s="7" t="s">
        <v>1628</v>
      </c>
      <c r="C995" s="4" t="s">
        <v>42</v>
      </c>
      <c r="D995" s="4" t="s">
        <v>1629</v>
      </c>
      <c r="E995" s="16">
        <v>994</v>
      </c>
      <c r="F995" s="9">
        <v>46189</v>
      </c>
      <c r="G995" s="17" t="b">
        <v>0</v>
      </c>
      <c r="H995" s="16" t="b">
        <v>0</v>
      </c>
      <c r="I995" s="28" t="s">
        <v>20</v>
      </c>
      <c r="J995" s="16">
        <v>15</v>
      </c>
      <c r="K995" s="4">
        <f ca="1">IF(AND(F995&lt;&gt;"", L995&lt;&gt;""), NETWORKDAYS(TODAY(), L995-1, FESTIVOS!A$1:A$55), "")</f>
        <v>13</v>
      </c>
      <c r="L995" s="9">
        <f>IF(AND(F995&lt;&gt;"", J995&lt;&gt;""), WORKDAY(F995, J995, FESTIVOS!A$1:A$55), "")</f>
        <v>46211</v>
      </c>
      <c r="M995" s="16" t="s">
        <v>1179</v>
      </c>
      <c r="N995" s="4" t="b">
        <v>0</v>
      </c>
      <c r="O995" s="4" t="b">
        <v>0</v>
      </c>
      <c r="P995" s="4" t="b">
        <v>0</v>
      </c>
      <c r="Q995" s="4" t="b">
        <v>0</v>
      </c>
      <c r="R995" s="5" t="b">
        <v>0</v>
      </c>
    </row>
    <row r="996" spans="1:18" x14ac:dyDescent="0.25">
      <c r="A996" s="8" t="s">
        <v>16</v>
      </c>
      <c r="B996" s="7" t="s">
        <v>1630</v>
      </c>
      <c r="C996" s="4" t="s">
        <v>25</v>
      </c>
      <c r="D996" s="4" t="s">
        <v>1631</v>
      </c>
      <c r="E996" s="16">
        <v>995</v>
      </c>
      <c r="F996" s="9">
        <v>46190</v>
      </c>
      <c r="G996" s="17" t="b">
        <v>0</v>
      </c>
      <c r="H996" s="16">
        <v>96</v>
      </c>
      <c r="I996" s="28" t="s">
        <v>44</v>
      </c>
      <c r="J996" s="16">
        <v>15</v>
      </c>
      <c r="K996" s="4">
        <f ca="1">IF(AND(F996&lt;&gt;"", L996&lt;&gt;""), NETWORKDAYS(TODAY(), L996-1, FESTIVOS!A$1:A$55), "")</f>
        <v>14</v>
      </c>
      <c r="L996" s="9">
        <f>IF(AND(F996&lt;&gt;"", J996&lt;&gt;""), WORKDAY(F996, J996, FESTIVOS!A$1:A$55), "")</f>
        <v>46212</v>
      </c>
      <c r="M996" s="16" t="s">
        <v>1179</v>
      </c>
      <c r="N996" s="4" t="b">
        <v>0</v>
      </c>
      <c r="O996" s="4" t="b">
        <v>0</v>
      </c>
      <c r="P996" s="4" t="b">
        <v>0</v>
      </c>
      <c r="Q996" s="4" t="b">
        <v>0</v>
      </c>
      <c r="R996" s="5" t="b">
        <v>0</v>
      </c>
    </row>
    <row r="997" spans="1:18" ht="13.9" customHeight="1" x14ac:dyDescent="0.25">
      <c r="A997" s="8" t="s">
        <v>16</v>
      </c>
      <c r="B997" s="7" t="s">
        <v>1632</v>
      </c>
      <c r="C997" s="4" t="s">
        <v>1633</v>
      </c>
      <c r="D997" s="4" t="s">
        <v>1634</v>
      </c>
      <c r="E997" s="16">
        <v>996</v>
      </c>
      <c r="F997" s="9">
        <v>46190</v>
      </c>
      <c r="G997" s="17" t="b">
        <v>0</v>
      </c>
      <c r="H997" s="16">
        <v>0</v>
      </c>
      <c r="I997" s="28" t="s">
        <v>20</v>
      </c>
      <c r="J997" s="16">
        <v>15</v>
      </c>
      <c r="K997" s="4">
        <f ca="1">IF(AND(F997&lt;&gt;"", L997&lt;&gt;""), NETWORKDAYS(TODAY(), L997-1, FESTIVOS!A$1:A$55), "")</f>
        <v>14</v>
      </c>
      <c r="L997" s="9">
        <f>IF(AND(F997&lt;&gt;"", J997&lt;&gt;""), WORKDAY(F997, J997, FESTIVOS!A$1:A$55), "")</f>
        <v>46212</v>
      </c>
      <c r="M997" s="16" t="s">
        <v>1179</v>
      </c>
      <c r="N997" s="4" t="b">
        <v>0</v>
      </c>
      <c r="O997" s="4" t="b">
        <v>0</v>
      </c>
      <c r="P997" s="4" t="b">
        <v>0</v>
      </c>
      <c r="Q997" s="4" t="b">
        <v>0</v>
      </c>
      <c r="R997" s="5" t="b">
        <v>0</v>
      </c>
    </row>
    <row r="998" spans="1:18" x14ac:dyDescent="0.25">
      <c r="A998" s="8" t="s">
        <v>1283</v>
      </c>
      <c r="B998" s="7" t="s">
        <v>131</v>
      </c>
      <c r="C998" s="4" t="s">
        <v>84</v>
      </c>
      <c r="D998" s="4" t="s">
        <v>1635</v>
      </c>
      <c r="E998" s="16">
        <v>997</v>
      </c>
      <c r="F998" s="9">
        <v>46190</v>
      </c>
      <c r="G998" s="17" t="b">
        <v>0</v>
      </c>
      <c r="H998" s="16">
        <v>0</v>
      </c>
      <c r="I998" s="28" t="s">
        <v>20</v>
      </c>
      <c r="J998" s="16">
        <v>15</v>
      </c>
      <c r="K998" s="4">
        <f ca="1">IF(AND(F998&lt;&gt;"", L998&lt;&gt;""), NETWORKDAYS(TODAY(), L998-1, FESTIVOS!A$1:A$55), "")</f>
        <v>14</v>
      </c>
      <c r="L998" s="9">
        <f>IF(AND(F998&lt;&gt;"", J998&lt;&gt;""), WORKDAY(F998, J998, FESTIVOS!A$1:A$55), "")</f>
        <v>46212</v>
      </c>
      <c r="M998" s="16" t="s">
        <v>1179</v>
      </c>
      <c r="N998" s="4" t="b">
        <v>0</v>
      </c>
      <c r="O998" s="4" t="b">
        <v>0</v>
      </c>
      <c r="P998" s="4" t="b">
        <v>0</v>
      </c>
      <c r="Q998" s="4" t="b">
        <v>0</v>
      </c>
      <c r="R998" s="5" t="b">
        <v>0</v>
      </c>
    </row>
    <row r="999" spans="1:18" x14ac:dyDescent="0.25">
      <c r="A999" s="8" t="s">
        <v>1283</v>
      </c>
      <c r="B999" s="7" t="s">
        <v>131</v>
      </c>
      <c r="C999" s="4" t="s">
        <v>84</v>
      </c>
      <c r="D999" s="4" t="s">
        <v>1635</v>
      </c>
      <c r="E999" s="16">
        <v>998</v>
      </c>
      <c r="F999" s="9">
        <v>46190</v>
      </c>
      <c r="G999" s="17" t="b">
        <v>0</v>
      </c>
      <c r="H999" s="16">
        <v>0</v>
      </c>
      <c r="I999" s="28" t="s">
        <v>20</v>
      </c>
      <c r="J999" s="4">
        <v>15</v>
      </c>
      <c r="K999" s="4">
        <f ca="1">IF(AND(F999&lt;&gt;"", L999&lt;&gt;""), NETWORKDAYS(TODAY(), L999-1, FESTIVOS!A$1:A$55), "")</f>
        <v>14</v>
      </c>
      <c r="L999" s="9">
        <f>IF(AND(F999&lt;&gt;"", J999&lt;&gt;""), WORKDAY(F999, J999, FESTIVOS!A$1:A$55), "")</f>
        <v>46212</v>
      </c>
      <c r="M999" s="4" t="s">
        <v>1179</v>
      </c>
      <c r="N999" s="4" t="b">
        <v>0</v>
      </c>
      <c r="O999" s="4" t="b">
        <v>0</v>
      </c>
      <c r="P999" s="4" t="b">
        <v>0</v>
      </c>
      <c r="Q999" s="4" t="b">
        <v>0</v>
      </c>
      <c r="R999" s="5" t="b">
        <v>0</v>
      </c>
    </row>
    <row r="1000" spans="1:18" x14ac:dyDescent="0.25">
      <c r="A1000" s="8" t="s">
        <v>1283</v>
      </c>
      <c r="B1000" s="7" t="s">
        <v>131</v>
      </c>
      <c r="C1000" s="4" t="s">
        <v>84</v>
      </c>
      <c r="D1000" s="4" t="s">
        <v>1635</v>
      </c>
      <c r="E1000" s="16">
        <v>999</v>
      </c>
      <c r="F1000" s="9">
        <v>46190</v>
      </c>
      <c r="G1000" s="17" t="b">
        <v>0</v>
      </c>
      <c r="H1000" s="16">
        <v>0</v>
      </c>
      <c r="I1000" s="28" t="s">
        <v>20</v>
      </c>
      <c r="J1000" s="4">
        <v>15</v>
      </c>
      <c r="K1000" s="4">
        <f ca="1">IF(AND(F1000&lt;&gt;"", L1000&lt;&gt;""), NETWORKDAYS(TODAY(), L1000-1, FESTIVOS!A$1:A$55), "")</f>
        <v>14</v>
      </c>
      <c r="L1000" s="9">
        <f>IF(AND(F1000&lt;&gt;"", J1000&lt;&gt;""), WORKDAY(F1000, J1000, FESTIVOS!A$1:A$55), "")</f>
        <v>46212</v>
      </c>
      <c r="M1000" s="4" t="s">
        <v>1179</v>
      </c>
      <c r="N1000" s="4" t="b">
        <v>0</v>
      </c>
      <c r="O1000" s="4" t="b">
        <v>0</v>
      </c>
      <c r="P1000" s="4" t="b">
        <v>0</v>
      </c>
      <c r="Q1000" s="4" t="b">
        <v>0</v>
      </c>
      <c r="R1000" s="5" t="b">
        <v>0</v>
      </c>
    </row>
    <row r="1001" spans="1:18" x14ac:dyDescent="0.25">
      <c r="A1001" s="8" t="s">
        <v>1283</v>
      </c>
      <c r="B1001" s="7" t="s">
        <v>131</v>
      </c>
      <c r="C1001" s="4" t="s">
        <v>84</v>
      </c>
      <c r="D1001" s="4" t="s">
        <v>1635</v>
      </c>
      <c r="E1001" s="16">
        <v>1000</v>
      </c>
      <c r="F1001" s="9">
        <v>46190</v>
      </c>
      <c r="G1001" s="17" t="b">
        <v>0</v>
      </c>
      <c r="H1001" s="16">
        <v>0</v>
      </c>
      <c r="I1001" s="28" t="s">
        <v>20</v>
      </c>
      <c r="J1001" s="4">
        <v>15</v>
      </c>
      <c r="K1001" s="4">
        <f ca="1">IF(AND(F1001&lt;&gt;"", L1001&lt;&gt;""), NETWORKDAYS(TODAY(), L1001-1, FESTIVOS!A$1:A$55), "")</f>
        <v>14</v>
      </c>
      <c r="L1001" s="9">
        <f>IF(AND(F1001&lt;&gt;"", J1001&lt;&gt;""), WORKDAY(F1001, J1001, FESTIVOS!A$1:A$55), "")</f>
        <v>46212</v>
      </c>
      <c r="M1001" s="4" t="s">
        <v>1179</v>
      </c>
      <c r="N1001" s="4" t="b">
        <v>0</v>
      </c>
      <c r="O1001" s="4" t="b">
        <v>0</v>
      </c>
      <c r="P1001" s="4" t="b">
        <v>0</v>
      </c>
      <c r="Q1001" s="4" t="b">
        <v>0</v>
      </c>
      <c r="R1001" s="5" t="b">
        <v>0</v>
      </c>
    </row>
    <row r="1002" spans="1:18" x14ac:dyDescent="0.25">
      <c r="A1002" s="8" t="s">
        <v>1283</v>
      </c>
      <c r="B1002" s="7" t="s">
        <v>131</v>
      </c>
      <c r="C1002" s="4" t="s">
        <v>84</v>
      </c>
      <c r="D1002" s="4" t="s">
        <v>1635</v>
      </c>
      <c r="E1002" s="16">
        <v>1001</v>
      </c>
      <c r="F1002" s="9">
        <v>46190</v>
      </c>
      <c r="G1002" s="17" t="b">
        <v>0</v>
      </c>
      <c r="H1002" s="16">
        <v>0</v>
      </c>
      <c r="I1002" s="28" t="s">
        <v>20</v>
      </c>
      <c r="J1002" s="4">
        <v>15</v>
      </c>
      <c r="K1002" s="4">
        <f ca="1">IF(AND(F1002&lt;&gt;"", L1002&lt;&gt;""), NETWORKDAYS(TODAY(), L1002-1, FESTIVOS!A$1:A$55), "")</f>
        <v>14</v>
      </c>
      <c r="L1002" s="9">
        <f>IF(AND(F1002&lt;&gt;"", J1002&lt;&gt;""), WORKDAY(F1002, J1002, FESTIVOS!A$1:A$55), "")</f>
        <v>46212</v>
      </c>
      <c r="M1002" s="4" t="s">
        <v>1179</v>
      </c>
      <c r="N1002" s="4" t="b">
        <v>0</v>
      </c>
      <c r="O1002" s="4" t="b">
        <v>0</v>
      </c>
      <c r="P1002" s="4" t="b">
        <v>0</v>
      </c>
      <c r="Q1002" s="4" t="b">
        <v>0</v>
      </c>
      <c r="R1002" s="5" t="b">
        <v>0</v>
      </c>
    </row>
    <row r="1003" spans="1:18" x14ac:dyDescent="0.25">
      <c r="A1003" s="8" t="s">
        <v>1283</v>
      </c>
      <c r="B1003" s="7" t="s">
        <v>131</v>
      </c>
      <c r="C1003" s="4" t="s">
        <v>84</v>
      </c>
      <c r="D1003" s="4" t="s">
        <v>1635</v>
      </c>
      <c r="E1003" s="16">
        <v>1002</v>
      </c>
      <c r="F1003" s="9">
        <v>46190</v>
      </c>
      <c r="G1003" s="17" t="b">
        <v>0</v>
      </c>
      <c r="H1003" s="16">
        <v>0</v>
      </c>
      <c r="I1003" s="28" t="s">
        <v>20</v>
      </c>
      <c r="J1003" s="4">
        <v>15</v>
      </c>
      <c r="K1003" s="4">
        <f ca="1">IF(AND(F1003&lt;&gt;"", L1003&lt;&gt;""), NETWORKDAYS(TODAY(), L1003-1, FESTIVOS!A$1:A$55), "")</f>
        <v>14</v>
      </c>
      <c r="L1003" s="9">
        <f>IF(AND(F1003&lt;&gt;"", J1003&lt;&gt;""), WORKDAY(F1003, J1003, FESTIVOS!A$1:A$55), "")</f>
        <v>46212</v>
      </c>
      <c r="M1003" s="4" t="s">
        <v>1179</v>
      </c>
      <c r="N1003" s="4" t="b">
        <v>0</v>
      </c>
      <c r="O1003" s="4" t="b">
        <v>0</v>
      </c>
      <c r="P1003" s="4" t="b">
        <v>0</v>
      </c>
      <c r="Q1003" s="4" t="b">
        <v>0</v>
      </c>
      <c r="R1003" s="5" t="b">
        <v>0</v>
      </c>
    </row>
    <row r="1004" spans="1:18" x14ac:dyDescent="0.25">
      <c r="A1004" s="8" t="s">
        <v>1283</v>
      </c>
      <c r="B1004" s="7" t="s">
        <v>131</v>
      </c>
      <c r="C1004" s="4" t="s">
        <v>84</v>
      </c>
      <c r="D1004" s="4" t="s">
        <v>1635</v>
      </c>
      <c r="E1004" s="16">
        <v>1003</v>
      </c>
      <c r="F1004" s="9">
        <v>46190</v>
      </c>
      <c r="G1004" s="17" t="b">
        <v>0</v>
      </c>
      <c r="H1004" s="16">
        <v>0</v>
      </c>
      <c r="I1004" s="28" t="s">
        <v>20</v>
      </c>
      <c r="J1004" s="4">
        <v>15</v>
      </c>
      <c r="K1004" s="4">
        <f ca="1">IF(AND(F1004&lt;&gt;"", L1004&lt;&gt;""), NETWORKDAYS(TODAY(), L1004-1, FESTIVOS!A$1:A$55), "")</f>
        <v>14</v>
      </c>
      <c r="L1004" s="9">
        <f>IF(AND(F1004&lt;&gt;"", J1004&lt;&gt;""), WORKDAY(F1004, J1004, FESTIVOS!A$1:A$55), "")</f>
        <v>46212</v>
      </c>
      <c r="M1004" s="4" t="s">
        <v>1179</v>
      </c>
      <c r="N1004" s="4" t="b">
        <v>0</v>
      </c>
      <c r="O1004" s="4" t="b">
        <v>0</v>
      </c>
      <c r="P1004" s="4" t="b">
        <v>0</v>
      </c>
      <c r="Q1004" s="4" t="b">
        <v>0</v>
      </c>
      <c r="R1004" s="5" t="b">
        <v>0</v>
      </c>
    </row>
    <row r="1005" spans="1:18" x14ac:dyDescent="0.25">
      <c r="A1005" s="8" t="s">
        <v>1283</v>
      </c>
      <c r="B1005" s="7" t="s">
        <v>17</v>
      </c>
      <c r="C1005" s="4" t="s">
        <v>84</v>
      </c>
      <c r="D1005" s="4" t="s">
        <v>1592</v>
      </c>
      <c r="E1005" s="16">
        <v>1004</v>
      </c>
      <c r="F1005" s="9">
        <v>46191</v>
      </c>
      <c r="G1005" s="30">
        <v>0.33333333333333331</v>
      </c>
      <c r="H1005" s="16">
        <v>3</v>
      </c>
      <c r="I1005" s="28" t="s">
        <v>20</v>
      </c>
      <c r="J1005" s="4">
        <v>15</v>
      </c>
      <c r="K1005" s="4">
        <f ca="1">IF(AND(F1005&lt;&gt;"", L1005&lt;&gt;""), NETWORKDAYS(TODAY(), L1005-1, FESTIVOS!A$1:A$55), "")</f>
        <v>15</v>
      </c>
      <c r="L1005" s="9">
        <f>IF(AND(F1005&lt;&gt;"", J1005&lt;&gt;""), WORKDAY(F1005, J1005, FESTIVOS!A$1:A$55), "")</f>
        <v>46213</v>
      </c>
      <c r="M1005" s="4" t="s">
        <v>1179</v>
      </c>
      <c r="N1005" s="4" t="b">
        <v>0</v>
      </c>
      <c r="O1005" s="4" t="b">
        <v>0</v>
      </c>
      <c r="P1005" s="4" t="b">
        <v>0</v>
      </c>
      <c r="Q1005" s="4" t="b">
        <v>0</v>
      </c>
      <c r="R1005" s="5" t="b">
        <v>0</v>
      </c>
    </row>
    <row r="1006" spans="1:18" x14ac:dyDescent="0.25">
      <c r="A1006" s="8" t="s">
        <v>1283</v>
      </c>
      <c r="B1006" s="7" t="s">
        <v>17</v>
      </c>
      <c r="C1006" s="4" t="s">
        <v>84</v>
      </c>
      <c r="D1006" s="4" t="s">
        <v>1592</v>
      </c>
      <c r="E1006" s="16">
        <v>1005</v>
      </c>
      <c r="F1006" s="9">
        <v>46191</v>
      </c>
      <c r="G1006" s="30">
        <v>0.33333333333333331</v>
      </c>
      <c r="H1006" s="16">
        <v>3</v>
      </c>
      <c r="I1006" s="28" t="s">
        <v>20</v>
      </c>
      <c r="J1006" s="4">
        <v>15</v>
      </c>
      <c r="K1006" s="4">
        <f ca="1">IF(AND(F1006&lt;&gt;"", L1006&lt;&gt;""), NETWORKDAYS(TODAY(), L1006-1, FESTIVOS!A$1:A$55), "")</f>
        <v>15</v>
      </c>
      <c r="L1006" s="9">
        <f>IF(AND(F1006&lt;&gt;"", J1006&lt;&gt;""), WORKDAY(F1006, J1006, FESTIVOS!A$1:A$55), "")</f>
        <v>46213</v>
      </c>
      <c r="M1006" s="4" t="s">
        <v>1179</v>
      </c>
      <c r="N1006" s="4" t="b">
        <v>0</v>
      </c>
      <c r="O1006" s="4" t="b">
        <v>0</v>
      </c>
      <c r="P1006" s="4" t="b">
        <v>0</v>
      </c>
      <c r="Q1006" s="4" t="b">
        <v>0</v>
      </c>
      <c r="R1006" s="5" t="b">
        <v>0</v>
      </c>
    </row>
    <row r="1007" spans="1:18" x14ac:dyDescent="0.25">
      <c r="A1007" s="8" t="s">
        <v>1283</v>
      </c>
      <c r="B1007" s="7" t="s">
        <v>17</v>
      </c>
      <c r="C1007" s="4" t="s">
        <v>84</v>
      </c>
      <c r="D1007" s="4" t="s">
        <v>1592</v>
      </c>
      <c r="E1007" s="16">
        <v>1006</v>
      </c>
      <c r="F1007" s="9">
        <v>46191</v>
      </c>
      <c r="G1007" s="30">
        <v>0.33333333333333331</v>
      </c>
      <c r="H1007" s="16">
        <v>3</v>
      </c>
      <c r="I1007" s="28" t="s">
        <v>20</v>
      </c>
      <c r="J1007" s="4">
        <v>15</v>
      </c>
      <c r="K1007" s="4">
        <f ca="1">IF(AND(F1007&lt;&gt;"", L1007&lt;&gt;""), NETWORKDAYS(TODAY(), L1007-1, FESTIVOS!A$1:A$55), "")</f>
        <v>15</v>
      </c>
      <c r="L1007" s="9">
        <f>IF(AND(F1007&lt;&gt;"", J1007&lt;&gt;""), WORKDAY(F1007, J1007, FESTIVOS!A$1:A$55), "")</f>
        <v>46213</v>
      </c>
      <c r="M1007" s="4" t="s">
        <v>1179</v>
      </c>
      <c r="N1007" s="4" t="b">
        <v>0</v>
      </c>
      <c r="O1007" s="4" t="b">
        <v>0</v>
      </c>
      <c r="P1007" s="4" t="b">
        <v>0</v>
      </c>
      <c r="Q1007" s="4" t="b">
        <v>0</v>
      </c>
      <c r="R1007" s="5" t="b">
        <v>0</v>
      </c>
    </row>
    <row r="1008" spans="1:18" x14ac:dyDescent="0.25">
      <c r="A1008" s="8" t="s">
        <v>1283</v>
      </c>
      <c r="B1008" s="7" t="s">
        <v>17</v>
      </c>
      <c r="C1008" s="4" t="s">
        <v>84</v>
      </c>
      <c r="D1008" s="4" t="s">
        <v>1592</v>
      </c>
      <c r="E1008" s="16">
        <v>1007</v>
      </c>
      <c r="F1008" s="9">
        <v>46191</v>
      </c>
      <c r="G1008" s="30">
        <v>0.33333333333333331</v>
      </c>
      <c r="H1008" s="16">
        <v>3</v>
      </c>
      <c r="I1008" s="28" t="s">
        <v>20</v>
      </c>
      <c r="J1008" s="4">
        <v>15</v>
      </c>
      <c r="K1008" s="4">
        <f ca="1">IF(AND(F1008&lt;&gt;"", L1008&lt;&gt;""), NETWORKDAYS(TODAY(), L1008-1, FESTIVOS!A$1:A$55), "")</f>
        <v>15</v>
      </c>
      <c r="L1008" s="9">
        <f>IF(AND(F1008&lt;&gt;"", J1008&lt;&gt;""), WORKDAY(F1008, J1008, FESTIVOS!A$1:A$55), "")</f>
        <v>46213</v>
      </c>
      <c r="M1008" s="4" t="s">
        <v>1179</v>
      </c>
      <c r="N1008" s="4" t="b">
        <v>0</v>
      </c>
      <c r="O1008" s="4" t="b">
        <v>0</v>
      </c>
      <c r="P1008" s="4" t="b">
        <v>0</v>
      </c>
      <c r="Q1008" s="4" t="b">
        <v>0</v>
      </c>
      <c r="R1008" s="5" t="b">
        <v>0</v>
      </c>
    </row>
    <row r="1009" spans="1:18" x14ac:dyDescent="0.25">
      <c r="A1009" s="8" t="s">
        <v>1283</v>
      </c>
      <c r="B1009" s="7" t="s">
        <v>17</v>
      </c>
      <c r="C1009" s="4" t="s">
        <v>84</v>
      </c>
      <c r="D1009" s="4" t="s">
        <v>1592</v>
      </c>
      <c r="E1009" s="16">
        <v>1008</v>
      </c>
      <c r="F1009" s="9">
        <v>46191</v>
      </c>
      <c r="G1009" s="30">
        <v>0.33333333333333331</v>
      </c>
      <c r="H1009" s="16">
        <v>3</v>
      </c>
      <c r="I1009" s="28" t="s">
        <v>20</v>
      </c>
      <c r="J1009" s="4">
        <v>15</v>
      </c>
      <c r="K1009" s="4">
        <f ca="1">IF(AND(F1009&lt;&gt;"", L1009&lt;&gt;""), NETWORKDAYS(TODAY(), L1009-1, FESTIVOS!A$1:A$55), "")</f>
        <v>15</v>
      </c>
      <c r="L1009" s="9">
        <f>IF(AND(F1009&lt;&gt;"", J1009&lt;&gt;""), WORKDAY(F1009, J1009, FESTIVOS!A$1:A$55), "")</f>
        <v>46213</v>
      </c>
      <c r="M1009" s="4" t="s">
        <v>1179</v>
      </c>
      <c r="N1009" s="4" t="b">
        <v>0</v>
      </c>
      <c r="O1009" s="4" t="b">
        <v>0</v>
      </c>
      <c r="P1009" s="4" t="b">
        <v>0</v>
      </c>
      <c r="Q1009" s="4" t="b">
        <v>0</v>
      </c>
      <c r="R1009" s="5" t="b">
        <v>0</v>
      </c>
    </row>
  </sheetData>
  <conditionalFormatting sqref="N1:N1009 Q1:Q1009">
    <cfRule type="cellIs" dxfId="7" priority="5" operator="greaterThan">
      <formula>7</formula>
    </cfRule>
    <cfRule type="cellIs" dxfId="6" priority="6" operator="lessThan">
      <formula>4</formula>
    </cfRule>
    <cfRule type="cellIs" dxfId="5" priority="7" operator="lessThan">
      <formula>7</formula>
    </cfRule>
    <cfRule type="cellIs" dxfId="4" priority="8" operator="lessThan">
      <formula>6</formula>
    </cfRule>
    <cfRule type="cellIs" dxfId="3" priority="464" operator="greaterThan">
      <formula>8</formula>
    </cfRule>
    <cfRule type="cellIs" dxfId="2" priority="465" operator="lessThan">
      <formula>3</formula>
    </cfRule>
    <cfRule type="cellIs" dxfId="1" priority="466" operator="lessThan">
      <formula>7</formula>
    </cfRule>
  </conditionalFormatting>
  <conditionalFormatting sqref="O2:O837 O839:O994">
    <cfRule type="colorScale" priority="462">
      <colorScale>
        <cfvo type="formula" val="$O$3"/>
        <cfvo type="formula" val="$O$2"/>
        <cfvo type="formula" val="#REF!"/>
        <color rgb="FFF8696B"/>
        <color rgb="FFFFEB84"/>
        <color rgb="FF63BE7B"/>
      </colorScale>
    </cfRule>
    <cfRule type="containsText" dxfId="0" priority="463" operator="containsText" text="supere la mitad">
      <formula>NOT(ISERROR(SEARCH("supere la mitad",O2)))</formula>
    </cfRule>
  </conditionalFormatting>
  <conditionalFormatting sqref="Q1:Q837 Q839:Q994 N1:N1009">
    <cfRule type="iconSet" priority="474">
      <iconSet iconSet="3Symbols2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B157:B440 C262:C442 B617 C126 A975:A997 A2:A973" xr:uid="{DBB154FB-5B6C-4DD1-B8F4-C4FF8DEA01AD}">
      <formula1>"INFORMACIÓN O DOCUMENTOS, CONSULTA, FACTURACIÓN Y COBROS, VINCULACIÓN Y DESVINCULACIÓN, NO ES DE NUESTRA COMPETENCIA, OTRO"</formula1>
    </dataValidation>
    <dataValidation type="list" allowBlank="1" showInputMessage="1" showErrorMessage="1" sqref="I975:I997 I2:I973" xr:uid="{AF92649B-FC7F-4019-985A-916BE5832493}">
      <formula1>"JURÍDICA, RESIDUOS , APROVECHAMIENTO , TECNOLOGICA ,  COMERCIAL , TALENTO HUMANO, FINANCIERA , GERENCIA , ARCHIVO , HSEQ"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6DA3-36DE-4DC5-ACE0-E417BB94604F}">
  <dimension ref="A1:A55"/>
  <sheetViews>
    <sheetView topLeftCell="A31" workbookViewId="0">
      <selection sqref="A1:A55"/>
    </sheetView>
  </sheetViews>
  <sheetFormatPr baseColWidth="10" defaultColWidth="11.42578125" defaultRowHeight="15" x14ac:dyDescent="0.25"/>
  <sheetData>
    <row r="1" spans="1:1" x14ac:dyDescent="0.25">
      <c r="A1" s="2">
        <v>45658</v>
      </c>
    </row>
    <row r="2" spans="1:1" x14ac:dyDescent="0.25">
      <c r="A2" s="2">
        <v>45663</v>
      </c>
    </row>
    <row r="3" spans="1:1" x14ac:dyDescent="0.25">
      <c r="A3" s="2">
        <v>45740</v>
      </c>
    </row>
    <row r="4" spans="1:1" x14ac:dyDescent="0.25">
      <c r="A4" s="2">
        <v>45764</v>
      </c>
    </row>
    <row r="5" spans="1:1" x14ac:dyDescent="0.25">
      <c r="A5" s="2">
        <v>45765</v>
      </c>
    </row>
    <row r="6" spans="1:1" x14ac:dyDescent="0.25">
      <c r="A6" s="2">
        <v>45778</v>
      </c>
    </row>
    <row r="7" spans="1:1" x14ac:dyDescent="0.25">
      <c r="A7" s="2">
        <v>45810</v>
      </c>
    </row>
    <row r="8" spans="1:1" x14ac:dyDescent="0.25">
      <c r="A8" s="2">
        <v>45831</v>
      </c>
    </row>
    <row r="9" spans="1:1" x14ac:dyDescent="0.25">
      <c r="A9" s="2">
        <v>45838</v>
      </c>
    </row>
    <row r="10" spans="1:1" x14ac:dyDescent="0.25">
      <c r="A10" s="2">
        <v>45858</v>
      </c>
    </row>
    <row r="11" spans="1:1" x14ac:dyDescent="0.25">
      <c r="A11" s="2">
        <v>45876</v>
      </c>
    </row>
    <row r="12" spans="1:1" x14ac:dyDescent="0.25">
      <c r="A12" s="2">
        <v>45887</v>
      </c>
    </row>
    <row r="13" spans="1:1" x14ac:dyDescent="0.25">
      <c r="A13" s="2">
        <v>45943</v>
      </c>
    </row>
    <row r="14" spans="1:1" x14ac:dyDescent="0.25">
      <c r="A14" s="2">
        <v>45964</v>
      </c>
    </row>
    <row r="15" spans="1:1" x14ac:dyDescent="0.25">
      <c r="A15" s="2">
        <v>45978</v>
      </c>
    </row>
    <row r="16" spans="1:1" x14ac:dyDescent="0.25">
      <c r="A16" s="2">
        <v>45999</v>
      </c>
    </row>
    <row r="17" spans="1:1" x14ac:dyDescent="0.25">
      <c r="A17" s="2">
        <v>46016</v>
      </c>
    </row>
    <row r="18" spans="1:1" x14ac:dyDescent="0.25">
      <c r="A18" s="2">
        <v>46023</v>
      </c>
    </row>
    <row r="19" spans="1:1" x14ac:dyDescent="0.25">
      <c r="A19" s="2">
        <v>46034</v>
      </c>
    </row>
    <row r="20" spans="1:1" x14ac:dyDescent="0.25">
      <c r="A20" s="2">
        <v>46104</v>
      </c>
    </row>
    <row r="21" spans="1:1" x14ac:dyDescent="0.25">
      <c r="A21" s="2">
        <v>46114</v>
      </c>
    </row>
    <row r="22" spans="1:1" x14ac:dyDescent="0.25">
      <c r="A22" s="2">
        <v>46115</v>
      </c>
    </row>
    <row r="23" spans="1:1" x14ac:dyDescent="0.25">
      <c r="A23" s="2">
        <v>46143</v>
      </c>
    </row>
    <row r="24" spans="1:1" x14ac:dyDescent="0.25">
      <c r="A24" s="2">
        <v>46160</v>
      </c>
    </row>
    <row r="25" spans="1:1" x14ac:dyDescent="0.25">
      <c r="A25" s="2">
        <v>46181</v>
      </c>
    </row>
    <row r="26" spans="1:1" x14ac:dyDescent="0.25">
      <c r="A26" s="2">
        <v>46188</v>
      </c>
    </row>
    <row r="27" spans="1:1" x14ac:dyDescent="0.25">
      <c r="A27" s="2">
        <v>46202</v>
      </c>
    </row>
    <row r="28" spans="1:1" x14ac:dyDescent="0.25">
      <c r="A28" s="2">
        <v>46223</v>
      </c>
    </row>
    <row r="29" spans="1:1" x14ac:dyDescent="0.25">
      <c r="A29" s="2">
        <v>46241</v>
      </c>
    </row>
    <row r="30" spans="1:1" x14ac:dyDescent="0.25">
      <c r="A30" s="2">
        <v>46251</v>
      </c>
    </row>
    <row r="31" spans="1:1" x14ac:dyDescent="0.25">
      <c r="A31" s="2">
        <v>46307</v>
      </c>
    </row>
    <row r="32" spans="1:1" x14ac:dyDescent="0.25">
      <c r="A32" s="2">
        <v>46328</v>
      </c>
    </row>
    <row r="33" spans="1:1" x14ac:dyDescent="0.25">
      <c r="A33" s="2">
        <v>46342</v>
      </c>
    </row>
    <row r="34" spans="1:1" x14ac:dyDescent="0.25">
      <c r="A34" s="2">
        <v>46364</v>
      </c>
    </row>
    <row r="35" spans="1:1" x14ac:dyDescent="0.25">
      <c r="A35" s="2">
        <v>46381</v>
      </c>
    </row>
    <row r="36" spans="1:1" x14ac:dyDescent="0.25">
      <c r="A36" s="2">
        <v>46388</v>
      </c>
    </row>
    <row r="37" spans="1:1" x14ac:dyDescent="0.25">
      <c r="A37" s="2">
        <v>46398</v>
      </c>
    </row>
    <row r="38" spans="1:1" x14ac:dyDescent="0.25">
      <c r="A38" s="2">
        <v>46467</v>
      </c>
    </row>
    <row r="39" spans="1:1" x14ac:dyDescent="0.25">
      <c r="A39" s="2">
        <v>46468</v>
      </c>
    </row>
    <row r="40" spans="1:1" x14ac:dyDescent="0.25">
      <c r="A40" s="2">
        <v>46471</v>
      </c>
    </row>
    <row r="41" spans="1:1" x14ac:dyDescent="0.25">
      <c r="A41" s="2">
        <v>46472</v>
      </c>
    </row>
    <row r="42" spans="1:1" x14ac:dyDescent="0.25">
      <c r="A42" s="2">
        <v>46474</v>
      </c>
    </row>
    <row r="43" spans="1:1" x14ac:dyDescent="0.25">
      <c r="A43" s="2">
        <v>46508</v>
      </c>
    </row>
    <row r="44" spans="1:1" x14ac:dyDescent="0.25">
      <c r="A44" s="2">
        <v>46517</v>
      </c>
    </row>
    <row r="45" spans="1:1" x14ac:dyDescent="0.25">
      <c r="A45" s="2">
        <v>46538</v>
      </c>
    </row>
    <row r="46" spans="1:1" x14ac:dyDescent="0.25">
      <c r="A46" s="2">
        <v>46545</v>
      </c>
    </row>
    <row r="47" spans="1:1" x14ac:dyDescent="0.25">
      <c r="A47" s="2">
        <v>46573</v>
      </c>
    </row>
    <row r="48" spans="1:1" x14ac:dyDescent="0.25">
      <c r="A48" s="2">
        <v>46588</v>
      </c>
    </row>
    <row r="49" spans="1:1" x14ac:dyDescent="0.25">
      <c r="A49" s="2">
        <v>46606</v>
      </c>
    </row>
    <row r="50" spans="1:1" x14ac:dyDescent="0.25">
      <c r="A50" s="2">
        <v>46615</v>
      </c>
    </row>
    <row r="51" spans="1:1" x14ac:dyDescent="0.25">
      <c r="A51" s="2">
        <v>46678</v>
      </c>
    </row>
    <row r="52" spans="1:1" x14ac:dyDescent="0.25">
      <c r="A52" s="2">
        <v>46692</v>
      </c>
    </row>
    <row r="53" spans="1:1" x14ac:dyDescent="0.25">
      <c r="A53" s="2">
        <v>46706</v>
      </c>
    </row>
    <row r="54" spans="1:1" x14ac:dyDescent="0.25">
      <c r="A54" s="2">
        <v>46729</v>
      </c>
    </row>
    <row r="55" spans="1:1" x14ac:dyDescent="0.25">
      <c r="A55" s="2">
        <v>46746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0FA92E8F75344F9F2C43EB25F80F20" ma:contentTypeVersion="16" ma:contentTypeDescription="Crear nuevo documento." ma:contentTypeScope="" ma:versionID="801ff8f4c354aa119372ea92e08c672a">
  <xsd:schema xmlns:xsd="http://www.w3.org/2001/XMLSchema" xmlns:xs="http://www.w3.org/2001/XMLSchema" xmlns:p="http://schemas.microsoft.com/office/2006/metadata/properties" xmlns:ns2="f35c5223-551c-4d60-b8b9-af82acbb16f2" xmlns:ns3="c99ae9ae-8cce-4386-8088-e05dd1b5ed28" targetNamespace="http://schemas.microsoft.com/office/2006/metadata/properties" ma:root="true" ma:fieldsID="88018ae6bed9e47bf93588cd8ce20954" ns2:_="" ns3:_="">
    <xsd:import namespace="f35c5223-551c-4d60-b8b9-af82acbb16f2"/>
    <xsd:import namespace="c99ae9ae-8cce-4386-8088-e05dd1b5ed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c5223-551c-4d60-b8b9-af82acbb16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701a467-d33b-4b95-8233-ff58e27dfbf0}" ma:internalName="TaxCatchAll" ma:showField="CatchAllData" ma:web="f35c5223-551c-4d60-b8b9-af82acbb1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ae9ae-8cce-4386-8088-e05dd1b5ed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acefed2-e64b-48dc-b7cd-6f9922894a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5c5223-551c-4d60-b8b9-af82acbb16f2" xsi:nil="true"/>
    <lcf76f155ced4ddcb4097134ff3c332f xmlns="c99ae9ae-8cce-4386-8088-e05dd1b5ed2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065559-AFED-4320-85C1-BCE5432BFB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c5223-551c-4d60-b8b9-af82acbb16f2"/>
    <ds:schemaRef ds:uri="c99ae9ae-8cce-4386-8088-e05dd1b5ed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84F184-862F-4CA5-B02D-6ED917E7BDF8}">
  <ds:schemaRefs>
    <ds:schemaRef ds:uri="http://schemas.microsoft.com/office/2006/metadata/properties"/>
    <ds:schemaRef ds:uri="http://schemas.microsoft.com/office/infopath/2007/PartnerControls"/>
    <ds:schemaRef ds:uri="f35c5223-551c-4d60-b8b9-af82acbb16f2"/>
    <ds:schemaRef ds:uri="c99ae9ae-8cce-4386-8088-e05dd1b5ed28"/>
  </ds:schemaRefs>
</ds:datastoreItem>
</file>

<file path=customXml/itemProps3.xml><?xml version="1.0" encoding="utf-8"?>
<ds:datastoreItem xmlns:ds="http://schemas.openxmlformats.org/officeDocument/2006/customXml" ds:itemID="{38822EB0-D34D-4E89-BBE3-B31AB6B9B3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apoyojuridicaservi@outlook.com</dc:creator>
  <cp:keywords/>
  <dc:description/>
  <cp:lastModifiedBy>Gestión Tecnológica Servintegral</cp:lastModifiedBy>
  <cp:revision/>
  <dcterms:created xsi:type="dcterms:W3CDTF">2024-10-10T15:31:47Z</dcterms:created>
  <dcterms:modified xsi:type="dcterms:W3CDTF">2026-06-18T14:52:21Z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0x010100980FA92E8F75344F9F2C43EB25F80F20</vt:lpwstr>
  </property>
  <property fmtid="{D5CDD505-2E9C-101B-9397-08002B2CF9AE}" pid="3" name="MediaServiceImageTags">
    <vt:lpwstr/>
  </property>
</Properties>
</file>