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cho\Documents\radicado\"/>
    </mc:Choice>
  </mc:AlternateContent>
  <xr:revisionPtr revIDLastSave="0" documentId="13_ncr:1_{A31C70C1-1B11-43C2-A2EA-2CB6ED0FCE3B}" xr6:coauthVersionLast="47" xr6:coauthVersionMax="47" xr10:uidLastSave="{00000000-0000-0000-0000-000000000000}"/>
  <bookViews>
    <workbookView xWindow="3120" yWindow="2325" windowWidth="21600" windowHeight="13155" xr2:uid="{C40AF5DC-6521-4BAD-9766-FD6C2173BCC1}"/>
  </bookViews>
  <sheets>
    <sheet name="2026" sheetId="3" r:id="rId1"/>
    <sheet name="FESTIVOS" sheetId="4" r:id="rId2"/>
  </sheets>
  <definedNames>
    <definedName name="_xlnm._FilterDatabase" localSheetId="0" hidden="1">'2026'!$A$1:$P$1242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6" i="3" l="1"/>
  <c r="H407" i="3"/>
  <c r="H311" i="3" l="1"/>
  <c r="J311" i="3" s="1"/>
  <c r="H312" i="3"/>
  <c r="J312" i="3" s="1"/>
  <c r="P312" i="3" s="1"/>
  <c r="H313" i="3"/>
  <c r="J313" i="3" s="1"/>
  <c r="H314" i="3"/>
  <c r="J314" i="3" s="1"/>
  <c r="I314" i="3" s="1"/>
  <c r="H315" i="3"/>
  <c r="J315" i="3" s="1"/>
  <c r="H316" i="3"/>
  <c r="J316" i="3" s="1"/>
  <c r="H317" i="3"/>
  <c r="J317" i="3" s="1"/>
  <c r="H318" i="3"/>
  <c r="J318" i="3" s="1"/>
  <c r="I318" i="3" s="1"/>
  <c r="L318" i="3" s="1"/>
  <c r="H319" i="3"/>
  <c r="J319" i="3" s="1"/>
  <c r="P319" i="3" s="1"/>
  <c r="H320" i="3"/>
  <c r="J320" i="3" s="1"/>
  <c r="H321" i="3"/>
  <c r="J321" i="3" s="1"/>
  <c r="I321" i="3" s="1"/>
  <c r="H322" i="3"/>
  <c r="J322" i="3" s="1"/>
  <c r="H323" i="3"/>
  <c r="J323" i="3" s="1"/>
  <c r="H324" i="3"/>
  <c r="J324" i="3" s="1"/>
  <c r="H325" i="3"/>
  <c r="J325" i="3" s="1"/>
  <c r="H326" i="3"/>
  <c r="J326" i="3" s="1"/>
  <c r="H327" i="3"/>
  <c r="J327" i="3" s="1"/>
  <c r="H328" i="3"/>
  <c r="J328" i="3"/>
  <c r="H329" i="3"/>
  <c r="J329" i="3" s="1"/>
  <c r="H330" i="3"/>
  <c r="J330" i="3" s="1"/>
  <c r="I330" i="3" s="1"/>
  <c r="H331" i="3"/>
  <c r="J331" i="3" s="1"/>
  <c r="H332" i="3"/>
  <c r="J332" i="3" s="1"/>
  <c r="H333" i="3"/>
  <c r="J333" i="3" s="1"/>
  <c r="I333" i="3" s="1"/>
  <c r="H334" i="3"/>
  <c r="J334" i="3" s="1"/>
  <c r="H335" i="3"/>
  <c r="J335" i="3" s="1"/>
  <c r="H336" i="3"/>
  <c r="J336" i="3" s="1"/>
  <c r="P336" i="3" s="1"/>
  <c r="H337" i="3"/>
  <c r="J337" i="3" s="1"/>
  <c r="I337" i="3" s="1"/>
  <c r="H338" i="3"/>
  <c r="J338" i="3" s="1"/>
  <c r="I338" i="3" s="1"/>
  <c r="M338" i="3" s="1"/>
  <c r="H339" i="3"/>
  <c r="J339" i="3"/>
  <c r="H340" i="3"/>
  <c r="J340" i="3" s="1"/>
  <c r="H341" i="3"/>
  <c r="H342" i="3"/>
  <c r="J342" i="3" s="1"/>
  <c r="I342" i="3" s="1"/>
  <c r="L342" i="3" s="1"/>
  <c r="H343" i="3"/>
  <c r="J343" i="3"/>
  <c r="H344" i="3"/>
  <c r="J344" i="3" s="1"/>
  <c r="I344" i="3" s="1"/>
  <c r="H345" i="3"/>
  <c r="J345" i="3"/>
  <c r="H346" i="3"/>
  <c r="J346" i="3" s="1"/>
  <c r="I346" i="3" s="1"/>
  <c r="H347" i="3"/>
  <c r="J347" i="3"/>
  <c r="H348" i="3"/>
  <c r="J348" i="3" s="1"/>
  <c r="H349" i="3"/>
  <c r="J349" i="3" s="1"/>
  <c r="I349" i="3" s="1"/>
  <c r="H350" i="3"/>
  <c r="J350" i="3"/>
  <c r="P350" i="3" s="1"/>
  <c r="H351" i="3"/>
  <c r="J351" i="3" s="1"/>
  <c r="H352" i="3"/>
  <c r="J352" i="3" s="1"/>
  <c r="H353" i="3"/>
  <c r="J353" i="3" s="1"/>
  <c r="H354" i="3"/>
  <c r="J354" i="3" s="1"/>
  <c r="I354" i="3" s="1"/>
  <c r="L354" i="3" s="1"/>
  <c r="H355" i="3"/>
  <c r="J355" i="3" s="1"/>
  <c r="H356" i="3"/>
  <c r="J356" i="3"/>
  <c r="H357" i="3"/>
  <c r="J357" i="3" s="1"/>
  <c r="H358" i="3"/>
  <c r="J358" i="3" s="1"/>
  <c r="I358" i="3" s="1"/>
  <c r="L358" i="3" s="1"/>
  <c r="H359" i="3"/>
  <c r="J359" i="3"/>
  <c r="H360" i="3"/>
  <c r="J360" i="3" s="1"/>
  <c r="H361" i="3"/>
  <c r="J361" i="3" s="1"/>
  <c r="I361" i="3" s="1"/>
  <c r="L361" i="3" s="1"/>
  <c r="H362" i="3"/>
  <c r="J362" i="3" s="1"/>
  <c r="H363" i="3"/>
  <c r="J363" i="3" s="1"/>
  <c r="H364" i="3"/>
  <c r="J364" i="3" s="1"/>
  <c r="J365" i="3"/>
  <c r="J366" i="3"/>
  <c r="I366" i="3" s="1"/>
  <c r="H367" i="3"/>
  <c r="J367" i="3" s="1"/>
  <c r="P367" i="3" s="1"/>
  <c r="H368" i="3"/>
  <c r="J368" i="3"/>
  <c r="H369" i="3"/>
  <c r="J369" i="3" s="1"/>
  <c r="P369" i="3" s="1"/>
  <c r="I369" i="3"/>
  <c r="H370" i="3"/>
  <c r="J370" i="3" s="1"/>
  <c r="I370" i="3" s="1"/>
  <c r="M370" i="3" s="1"/>
  <c r="H371" i="3"/>
  <c r="J371" i="3" s="1"/>
  <c r="H372" i="3"/>
  <c r="J372" i="3" s="1"/>
  <c r="H373" i="3"/>
  <c r="J373" i="3" s="1"/>
  <c r="I373" i="3" s="1"/>
  <c r="H374" i="3"/>
  <c r="J374" i="3" s="1"/>
  <c r="H375" i="3"/>
  <c r="J375" i="3" s="1"/>
  <c r="H376" i="3"/>
  <c r="J376" i="3" s="1"/>
  <c r="H377" i="3"/>
  <c r="J377" i="3" s="1"/>
  <c r="I377" i="3" s="1"/>
  <c r="H378" i="3"/>
  <c r="J378" i="3" s="1"/>
  <c r="I378" i="3" s="1"/>
  <c r="M378" i="3" s="1"/>
  <c r="H379" i="3"/>
  <c r="J379" i="3" s="1"/>
  <c r="H380" i="3"/>
  <c r="J380" i="3" s="1"/>
  <c r="I380" i="3" s="1"/>
  <c r="H381" i="3"/>
  <c r="J381" i="3" s="1"/>
  <c r="H382" i="3"/>
  <c r="J382" i="3" s="1"/>
  <c r="I382" i="3" s="1"/>
  <c r="J383" i="3"/>
  <c r="H384" i="3"/>
  <c r="J384" i="3" s="1"/>
  <c r="H385" i="3"/>
  <c r="J385" i="3" s="1"/>
  <c r="I385" i="3" s="1"/>
  <c r="L385" i="3" s="1"/>
  <c r="H386" i="3"/>
  <c r="J386" i="3"/>
  <c r="P386" i="3" s="1"/>
  <c r="H387" i="3"/>
  <c r="J387" i="3" s="1"/>
  <c r="I387" i="3" s="1"/>
  <c r="M387" i="3" s="1"/>
  <c r="H388" i="3"/>
  <c r="J388" i="3" s="1"/>
  <c r="H389" i="3"/>
  <c r="J389" i="3" s="1"/>
  <c r="H390" i="3"/>
  <c r="J390" i="3" s="1"/>
  <c r="I390" i="3" s="1"/>
  <c r="L390" i="3" s="1"/>
  <c r="H391" i="3"/>
  <c r="J391" i="3" s="1"/>
  <c r="H392" i="3"/>
  <c r="J392" i="3" s="1"/>
  <c r="P392" i="3" s="1"/>
  <c r="H393" i="3"/>
  <c r="J393" i="3" s="1"/>
  <c r="H394" i="3"/>
  <c r="J394" i="3" s="1"/>
  <c r="I394" i="3" s="1"/>
  <c r="L394" i="3" s="1"/>
  <c r="H395" i="3"/>
  <c r="J395" i="3" s="1"/>
  <c r="H396" i="3"/>
  <c r="J396" i="3" s="1"/>
  <c r="H397" i="3"/>
  <c r="J397" i="3" s="1"/>
  <c r="I397" i="3" s="1"/>
  <c r="H398" i="3"/>
  <c r="J398" i="3" s="1"/>
  <c r="H399" i="3"/>
  <c r="J399" i="3" s="1"/>
  <c r="H400" i="3"/>
  <c r="J400" i="3"/>
  <c r="H401" i="3"/>
  <c r="J401" i="3" s="1"/>
  <c r="H402" i="3"/>
  <c r="J402" i="3" s="1"/>
  <c r="I402" i="3" s="1"/>
  <c r="H403" i="3"/>
  <c r="J403" i="3" s="1"/>
  <c r="H404" i="3"/>
  <c r="J404" i="3" s="1"/>
  <c r="H405" i="3"/>
  <c r="J405" i="3" s="1"/>
  <c r="H406" i="3"/>
  <c r="J406" i="3" s="1"/>
  <c r="I406" i="3" s="1"/>
  <c r="J407" i="3"/>
  <c r="J408" i="3"/>
  <c r="H409" i="3"/>
  <c r="J409" i="3" s="1"/>
  <c r="I409" i="3" s="1"/>
  <c r="H410" i="3"/>
  <c r="J410" i="3" s="1"/>
  <c r="H411" i="3"/>
  <c r="J411" i="3" s="1"/>
  <c r="H412" i="3"/>
  <c r="J412" i="3" s="1"/>
  <c r="H413" i="3"/>
  <c r="J413" i="3" s="1"/>
  <c r="H414" i="3"/>
  <c r="J414" i="3" s="1"/>
  <c r="I414" i="3" s="1"/>
  <c r="L414" i="3" s="1"/>
  <c r="H415" i="3"/>
  <c r="J415" i="3"/>
  <c r="H416" i="3"/>
  <c r="J416" i="3" s="1"/>
  <c r="H417" i="3"/>
  <c r="J417" i="3" s="1"/>
  <c r="H418" i="3"/>
  <c r="J418" i="3" s="1"/>
  <c r="H419" i="3"/>
  <c r="J419" i="3" s="1"/>
  <c r="H420" i="3"/>
  <c r="J420" i="3" s="1"/>
  <c r="H421" i="3"/>
  <c r="J421" i="3" s="1"/>
  <c r="I421" i="3" s="1"/>
  <c r="H422" i="3"/>
  <c r="J422" i="3"/>
  <c r="H423" i="3"/>
  <c r="J423" i="3" s="1"/>
  <c r="H424" i="3"/>
  <c r="J424" i="3" s="1"/>
  <c r="H425" i="3"/>
  <c r="J425" i="3" s="1"/>
  <c r="H426" i="3"/>
  <c r="J426" i="3" s="1"/>
  <c r="I426" i="3" s="1"/>
  <c r="L426" i="3" s="1"/>
  <c r="H427" i="3"/>
  <c r="J427" i="3" s="1"/>
  <c r="P427" i="3" s="1"/>
  <c r="H428" i="3"/>
  <c r="J428" i="3" s="1"/>
  <c r="H429" i="3"/>
  <c r="J429" i="3" s="1"/>
  <c r="I429" i="3" s="1"/>
  <c r="H430" i="3"/>
  <c r="J430" i="3" s="1"/>
  <c r="H431" i="3"/>
  <c r="J431" i="3"/>
  <c r="H432" i="3"/>
  <c r="J432" i="3" s="1"/>
  <c r="H433" i="3"/>
  <c r="J433" i="3" s="1"/>
  <c r="I433" i="3" s="1"/>
  <c r="L433" i="3" s="1"/>
  <c r="H434" i="3"/>
  <c r="J434" i="3" s="1"/>
  <c r="I434" i="3" s="1"/>
  <c r="H435" i="3"/>
  <c r="J435" i="3" s="1"/>
  <c r="H436" i="3"/>
  <c r="J436" i="3" s="1"/>
  <c r="H437" i="3"/>
  <c r="J437" i="3" s="1"/>
  <c r="I437" i="3" s="1"/>
  <c r="H438" i="3"/>
  <c r="J438" i="3" s="1"/>
  <c r="H439" i="3"/>
  <c r="J439" i="3" s="1"/>
  <c r="I439" i="3" s="1"/>
  <c r="H440" i="3"/>
  <c r="J440" i="3" s="1"/>
  <c r="H441" i="3"/>
  <c r="J441" i="3" s="1"/>
  <c r="H442" i="3"/>
  <c r="J442" i="3" s="1"/>
  <c r="H443" i="3"/>
  <c r="J443" i="3" s="1"/>
  <c r="I443" i="3" s="1"/>
  <c r="L443" i="3" s="1"/>
  <c r="H444" i="3"/>
  <c r="J444" i="3" s="1"/>
  <c r="I444" i="3" s="1"/>
  <c r="H445" i="3"/>
  <c r="J445" i="3" s="1"/>
  <c r="I445" i="3" s="1"/>
  <c r="H446" i="3"/>
  <c r="J446" i="3" s="1"/>
  <c r="I446" i="3" s="1"/>
  <c r="M446" i="3" s="1"/>
  <c r="H447" i="3"/>
  <c r="J447" i="3" s="1"/>
  <c r="I447" i="3" s="1"/>
  <c r="H448" i="3"/>
  <c r="J448" i="3" s="1"/>
  <c r="I448" i="3" s="1"/>
  <c r="M448" i="3" s="1"/>
  <c r="H449" i="3"/>
  <c r="J449" i="3" s="1"/>
  <c r="I449" i="3" s="1"/>
  <c r="M449" i="3" s="1"/>
  <c r="H450" i="3"/>
  <c r="J450" i="3"/>
  <c r="I450" i="3" s="1"/>
  <c r="M450" i="3" s="1"/>
  <c r="H451" i="3"/>
  <c r="J451" i="3" s="1"/>
  <c r="I451" i="3" s="1"/>
  <c r="H452" i="3"/>
  <c r="J452" i="3" s="1"/>
  <c r="I452" i="3" s="1"/>
  <c r="H453" i="3"/>
  <c r="J453" i="3" s="1"/>
  <c r="I453" i="3" s="1"/>
  <c r="M453" i="3" s="1"/>
  <c r="H454" i="3"/>
  <c r="J454" i="3" s="1"/>
  <c r="I454" i="3" s="1"/>
  <c r="L454" i="3" s="1"/>
  <c r="H455" i="3"/>
  <c r="J455" i="3" s="1"/>
  <c r="I455" i="3" s="1"/>
  <c r="H456" i="3"/>
  <c r="J456" i="3" s="1"/>
  <c r="I456" i="3" s="1"/>
  <c r="L456" i="3" s="1"/>
  <c r="J457" i="3"/>
  <c r="I457" i="3" s="1"/>
  <c r="L457" i="3" s="1"/>
  <c r="H458" i="3"/>
  <c r="J458" i="3" s="1"/>
  <c r="I458" i="3" s="1"/>
  <c r="H459" i="3"/>
  <c r="J459" i="3" s="1"/>
  <c r="I459" i="3" s="1"/>
  <c r="H460" i="3"/>
  <c r="J460" i="3" s="1"/>
  <c r="I460" i="3" s="1"/>
  <c r="M460" i="3" s="1"/>
  <c r="H461" i="3"/>
  <c r="J461" i="3" s="1"/>
  <c r="I461" i="3" s="1"/>
  <c r="H462" i="3"/>
  <c r="J462" i="3" s="1"/>
  <c r="I462" i="3" s="1"/>
  <c r="H463" i="3"/>
  <c r="J463" i="3" s="1"/>
  <c r="I463" i="3" s="1"/>
  <c r="L463" i="3" s="1"/>
  <c r="H464" i="3"/>
  <c r="J464" i="3" s="1"/>
  <c r="I464" i="3" s="1"/>
  <c r="M464" i="3" s="1"/>
  <c r="H465" i="3"/>
  <c r="J465" i="3" s="1"/>
  <c r="I465" i="3" s="1"/>
  <c r="H466" i="3"/>
  <c r="J466" i="3" s="1"/>
  <c r="I466" i="3" s="1"/>
  <c r="L466" i="3" s="1"/>
  <c r="H467" i="3"/>
  <c r="J467" i="3" s="1"/>
  <c r="I467" i="3" s="1"/>
  <c r="L467" i="3" s="1"/>
  <c r="H468" i="3"/>
  <c r="J468" i="3" s="1"/>
  <c r="I468" i="3" s="1"/>
  <c r="M468" i="3" s="1"/>
  <c r="H469" i="3"/>
  <c r="J469" i="3" s="1"/>
  <c r="I469" i="3" s="1"/>
  <c r="M469" i="3" s="1"/>
  <c r="H470" i="3"/>
  <c r="J470" i="3" s="1"/>
  <c r="I470" i="3" s="1"/>
  <c r="M470" i="3" s="1"/>
  <c r="H471" i="3"/>
  <c r="J471" i="3" s="1"/>
  <c r="I471" i="3" s="1"/>
  <c r="M471" i="3" s="1"/>
  <c r="H472" i="3"/>
  <c r="J472" i="3" s="1"/>
  <c r="I472" i="3" s="1"/>
  <c r="M472" i="3" s="1"/>
  <c r="H473" i="3"/>
  <c r="J473" i="3" s="1"/>
  <c r="I473" i="3" s="1"/>
  <c r="L473" i="3" s="1"/>
  <c r="H474" i="3"/>
  <c r="J474" i="3" s="1"/>
  <c r="I474" i="3" s="1"/>
  <c r="H475" i="3"/>
  <c r="J475" i="3" s="1"/>
  <c r="I475" i="3" s="1"/>
  <c r="L475" i="3" s="1"/>
  <c r="H476" i="3"/>
  <c r="J476" i="3" s="1"/>
  <c r="I476" i="3" s="1"/>
  <c r="L476" i="3" s="1"/>
  <c r="H477" i="3"/>
  <c r="J477" i="3" s="1"/>
  <c r="I477" i="3" s="1"/>
  <c r="H478" i="3"/>
  <c r="J478" i="3" s="1"/>
  <c r="I478" i="3" s="1"/>
  <c r="M478" i="3" s="1"/>
  <c r="H479" i="3"/>
  <c r="J479" i="3" s="1"/>
  <c r="I479" i="3" s="1"/>
  <c r="H480" i="3"/>
  <c r="J480" i="3" s="1"/>
  <c r="I480" i="3" s="1"/>
  <c r="L480" i="3" s="1"/>
  <c r="H481" i="3"/>
  <c r="J481" i="3" s="1"/>
  <c r="I481" i="3" s="1"/>
  <c r="H482" i="3"/>
  <c r="J482" i="3" s="1"/>
  <c r="I482" i="3" s="1"/>
  <c r="H483" i="3"/>
  <c r="J483" i="3" s="1"/>
  <c r="I483" i="3" s="1"/>
  <c r="H484" i="3"/>
  <c r="J484" i="3"/>
  <c r="I484" i="3" s="1"/>
  <c r="M484" i="3" s="1"/>
  <c r="H485" i="3"/>
  <c r="J485" i="3" s="1"/>
  <c r="I485" i="3" s="1"/>
  <c r="H486" i="3"/>
  <c r="J486" i="3" s="1"/>
  <c r="I486" i="3" s="1"/>
  <c r="H487" i="3"/>
  <c r="J487" i="3" s="1"/>
  <c r="I487" i="3" s="1"/>
  <c r="H488" i="3"/>
  <c r="J488" i="3" s="1"/>
  <c r="I488" i="3" s="1"/>
  <c r="L488" i="3" s="1"/>
  <c r="H489" i="3"/>
  <c r="J489" i="3" s="1"/>
  <c r="I489" i="3" s="1"/>
  <c r="L489" i="3" s="1"/>
  <c r="H490" i="3"/>
  <c r="J490" i="3" s="1"/>
  <c r="I490" i="3" s="1"/>
  <c r="M490" i="3" s="1"/>
  <c r="J491" i="3"/>
  <c r="I491" i="3" s="1"/>
  <c r="H492" i="3"/>
  <c r="J492" i="3" s="1"/>
  <c r="I492" i="3" s="1"/>
  <c r="H493" i="3"/>
  <c r="J493" i="3" s="1"/>
  <c r="H494" i="3"/>
  <c r="J494" i="3" s="1"/>
  <c r="I494" i="3" s="1"/>
  <c r="H495" i="3"/>
  <c r="J495" i="3" s="1"/>
  <c r="I495" i="3" s="1"/>
  <c r="J496" i="3"/>
  <c r="I496" i="3" s="1"/>
  <c r="M496" i="3" s="1"/>
  <c r="H497" i="3"/>
  <c r="J497" i="3" s="1"/>
  <c r="I497" i="3" s="1"/>
  <c r="L497" i="3" s="1"/>
  <c r="H498" i="3"/>
  <c r="J498" i="3" s="1"/>
  <c r="I498" i="3" s="1"/>
  <c r="L498" i="3" s="1"/>
  <c r="H499" i="3"/>
  <c r="J499" i="3" s="1"/>
  <c r="I499" i="3" s="1"/>
  <c r="H500" i="3"/>
  <c r="J500" i="3" s="1"/>
  <c r="I500" i="3" s="1"/>
  <c r="H501" i="3"/>
  <c r="J501" i="3" s="1"/>
  <c r="I501" i="3" s="1"/>
  <c r="M501" i="3" s="1"/>
  <c r="H502" i="3"/>
  <c r="J502" i="3" s="1"/>
  <c r="I502" i="3" s="1"/>
  <c r="H503" i="3"/>
  <c r="J503" i="3" s="1"/>
  <c r="I503" i="3" s="1"/>
  <c r="H504" i="3"/>
  <c r="J504" i="3" s="1"/>
  <c r="I504" i="3" s="1"/>
  <c r="M504" i="3" s="1"/>
  <c r="H505" i="3"/>
  <c r="J505" i="3" s="1"/>
  <c r="I505" i="3" s="1"/>
  <c r="H506" i="3"/>
  <c r="J506" i="3" s="1"/>
  <c r="I506" i="3" s="1"/>
  <c r="H507" i="3"/>
  <c r="J507" i="3" s="1"/>
  <c r="I507" i="3" s="1"/>
  <c r="H508" i="3"/>
  <c r="J508" i="3" s="1"/>
  <c r="I508" i="3" s="1"/>
  <c r="M508" i="3" s="1"/>
  <c r="H509" i="3"/>
  <c r="J509" i="3" s="1"/>
  <c r="I509" i="3" s="1"/>
  <c r="H510" i="3"/>
  <c r="J510" i="3"/>
  <c r="I510" i="3" s="1"/>
  <c r="M510" i="3" s="1"/>
  <c r="H511" i="3"/>
  <c r="J511" i="3" s="1"/>
  <c r="I511" i="3" s="1"/>
  <c r="L511" i="3" s="1"/>
  <c r="H512" i="3"/>
  <c r="J512" i="3" s="1"/>
  <c r="I512" i="3" s="1"/>
  <c r="L512" i="3" s="1"/>
  <c r="H513" i="3"/>
  <c r="J513" i="3" s="1"/>
  <c r="I513" i="3" s="1"/>
  <c r="H514" i="3"/>
  <c r="J514" i="3" s="1"/>
  <c r="I514" i="3" s="1"/>
  <c r="M514" i="3" s="1"/>
  <c r="H515" i="3"/>
  <c r="J515" i="3" s="1"/>
  <c r="I515" i="3" s="1"/>
  <c r="L515" i="3" s="1"/>
  <c r="H516" i="3"/>
  <c r="J516" i="3" s="1"/>
  <c r="I516" i="3" s="1"/>
  <c r="H517" i="3"/>
  <c r="J517" i="3" s="1"/>
  <c r="I517" i="3" s="1"/>
  <c r="H518" i="3"/>
  <c r="J518" i="3"/>
  <c r="I518" i="3" s="1"/>
  <c r="H519" i="3"/>
  <c r="J519" i="3" s="1"/>
  <c r="I519" i="3" s="1"/>
  <c r="H520" i="3"/>
  <c r="J520" i="3"/>
  <c r="I520" i="3" s="1"/>
  <c r="H521" i="3"/>
  <c r="J521" i="3" s="1"/>
  <c r="I521" i="3" s="1"/>
  <c r="M521" i="3" s="1"/>
  <c r="H522" i="3"/>
  <c r="J522" i="3" s="1"/>
  <c r="I522" i="3" s="1"/>
  <c r="L522" i="3" s="1"/>
  <c r="H523" i="3"/>
  <c r="J523" i="3" s="1"/>
  <c r="I523" i="3" s="1"/>
  <c r="H524" i="3"/>
  <c r="J524" i="3" s="1"/>
  <c r="I524" i="3" s="1"/>
  <c r="L524" i="3" s="1"/>
  <c r="H525" i="3"/>
  <c r="J525" i="3"/>
  <c r="I525" i="3" s="1"/>
  <c r="H526" i="3"/>
  <c r="J526" i="3" s="1"/>
  <c r="I526" i="3" s="1"/>
  <c r="M526" i="3" s="1"/>
  <c r="H527" i="3"/>
  <c r="J527" i="3" s="1"/>
  <c r="I527" i="3" s="1"/>
  <c r="H528" i="3"/>
  <c r="J528" i="3" s="1"/>
  <c r="I528" i="3" s="1"/>
  <c r="M528" i="3" s="1"/>
  <c r="H529" i="3"/>
  <c r="J529" i="3" s="1"/>
  <c r="I529" i="3" s="1"/>
  <c r="L529" i="3" s="1"/>
  <c r="H530" i="3"/>
  <c r="J530" i="3" s="1"/>
  <c r="I530" i="3" s="1"/>
  <c r="M530" i="3" s="1"/>
  <c r="H531" i="3"/>
  <c r="J531" i="3"/>
  <c r="I531" i="3" s="1"/>
  <c r="H532" i="3"/>
  <c r="J532" i="3" s="1"/>
  <c r="I532" i="3" s="1"/>
  <c r="M532" i="3" s="1"/>
  <c r="H533" i="3"/>
  <c r="J533" i="3" s="1"/>
  <c r="I533" i="3" s="1"/>
  <c r="L533" i="3" s="1"/>
  <c r="H534" i="3"/>
  <c r="J534" i="3" s="1"/>
  <c r="I534" i="3" s="1"/>
  <c r="H535" i="3"/>
  <c r="J535" i="3" s="1"/>
  <c r="I535" i="3" s="1"/>
  <c r="L535" i="3" s="1"/>
  <c r="H536" i="3"/>
  <c r="J536" i="3" s="1"/>
  <c r="I536" i="3" s="1"/>
  <c r="H537" i="3"/>
  <c r="J537" i="3" s="1"/>
  <c r="I537" i="3" s="1"/>
  <c r="L537" i="3" s="1"/>
  <c r="H538" i="3"/>
  <c r="J538" i="3" s="1"/>
  <c r="I538" i="3" s="1"/>
  <c r="L538" i="3" s="1"/>
  <c r="H539" i="3"/>
  <c r="J539" i="3" s="1"/>
  <c r="I539" i="3" s="1"/>
  <c r="H540" i="3"/>
  <c r="J540" i="3" s="1"/>
  <c r="I540" i="3" s="1"/>
  <c r="L540" i="3" s="1"/>
  <c r="H541" i="3"/>
  <c r="J541" i="3" s="1"/>
  <c r="I541" i="3" s="1"/>
  <c r="M541" i="3" s="1"/>
  <c r="H542" i="3"/>
  <c r="J542" i="3" s="1"/>
  <c r="I542" i="3" s="1"/>
  <c r="M542" i="3" s="1"/>
  <c r="H543" i="3"/>
  <c r="J543" i="3" s="1"/>
  <c r="I543" i="3" s="1"/>
  <c r="L543" i="3" s="1"/>
  <c r="H544" i="3"/>
  <c r="J544" i="3" s="1"/>
  <c r="I544" i="3" s="1"/>
  <c r="M544" i="3" s="1"/>
  <c r="H545" i="3"/>
  <c r="J545" i="3" s="1"/>
  <c r="I545" i="3" s="1"/>
  <c r="L545" i="3" s="1"/>
  <c r="H546" i="3"/>
  <c r="J546" i="3" s="1"/>
  <c r="I546" i="3" s="1"/>
  <c r="H547" i="3"/>
  <c r="J547" i="3" s="1"/>
  <c r="I547" i="3" s="1"/>
  <c r="L547" i="3" s="1"/>
  <c r="H548" i="3"/>
  <c r="J548" i="3" s="1"/>
  <c r="I548" i="3" s="1"/>
  <c r="H549" i="3"/>
  <c r="J549" i="3" s="1"/>
  <c r="I549" i="3" s="1"/>
  <c r="H550" i="3"/>
  <c r="J550" i="3" s="1"/>
  <c r="I550" i="3" s="1"/>
  <c r="L550" i="3" s="1"/>
  <c r="H551" i="3"/>
  <c r="J551" i="3" s="1"/>
  <c r="I551" i="3" s="1"/>
  <c r="H552" i="3"/>
  <c r="J552" i="3" s="1"/>
  <c r="I552" i="3" s="1"/>
  <c r="L552" i="3" s="1"/>
  <c r="H553" i="3"/>
  <c r="J553" i="3" s="1"/>
  <c r="I553" i="3" s="1"/>
  <c r="M553" i="3" s="1"/>
  <c r="H554" i="3"/>
  <c r="J554" i="3" s="1"/>
  <c r="I554" i="3" s="1"/>
  <c r="H555" i="3"/>
  <c r="J555" i="3"/>
  <c r="I555" i="3" s="1"/>
  <c r="H556" i="3"/>
  <c r="J556" i="3" s="1"/>
  <c r="I556" i="3" s="1"/>
  <c r="M556" i="3" s="1"/>
  <c r="H557" i="3"/>
  <c r="J557" i="3" s="1"/>
  <c r="I557" i="3" s="1"/>
  <c r="M557" i="3" s="1"/>
  <c r="H558" i="3"/>
  <c r="J558" i="3" s="1"/>
  <c r="I558" i="3" s="1"/>
  <c r="H559" i="3"/>
  <c r="J559" i="3"/>
  <c r="I559" i="3" s="1"/>
  <c r="L559" i="3" s="1"/>
  <c r="H560" i="3"/>
  <c r="J560" i="3" s="1"/>
  <c r="I560" i="3" s="1"/>
  <c r="L560" i="3" s="1"/>
  <c r="H561" i="3"/>
  <c r="J561" i="3" s="1"/>
  <c r="I561" i="3" s="1"/>
  <c r="M561" i="3" s="1"/>
  <c r="H562" i="3"/>
  <c r="J562" i="3" s="1"/>
  <c r="I562" i="3" s="1"/>
  <c r="M562" i="3" s="1"/>
  <c r="H563" i="3"/>
  <c r="J563" i="3" s="1"/>
  <c r="I563" i="3" s="1"/>
  <c r="H564" i="3"/>
  <c r="J564" i="3" s="1"/>
  <c r="I564" i="3" s="1"/>
  <c r="H565" i="3"/>
  <c r="J565" i="3" s="1"/>
  <c r="I565" i="3" s="1"/>
  <c r="M565" i="3" s="1"/>
  <c r="H566" i="3"/>
  <c r="J566" i="3" s="1"/>
  <c r="I566" i="3" s="1"/>
  <c r="H567" i="3"/>
  <c r="J567" i="3" s="1"/>
  <c r="I567" i="3" s="1"/>
  <c r="M567" i="3" s="1"/>
  <c r="H568" i="3"/>
  <c r="J568" i="3" s="1"/>
  <c r="I568" i="3" s="1"/>
  <c r="L568" i="3" s="1"/>
  <c r="H569" i="3"/>
  <c r="J569" i="3" s="1"/>
  <c r="I569" i="3" s="1"/>
  <c r="M569" i="3" s="1"/>
  <c r="H570" i="3"/>
  <c r="J570" i="3" s="1"/>
  <c r="I570" i="3" s="1"/>
  <c r="H571" i="3"/>
  <c r="J571" i="3" s="1"/>
  <c r="I571" i="3" s="1"/>
  <c r="L571" i="3" s="1"/>
  <c r="H572" i="3"/>
  <c r="J572" i="3" s="1"/>
  <c r="I572" i="3" s="1"/>
  <c r="L572" i="3" s="1"/>
  <c r="H573" i="3"/>
  <c r="J573" i="3" s="1"/>
  <c r="I573" i="3" s="1"/>
  <c r="H574" i="3"/>
  <c r="J574" i="3" s="1"/>
  <c r="I574" i="3" s="1"/>
  <c r="L574" i="3" s="1"/>
  <c r="H575" i="3"/>
  <c r="J575" i="3"/>
  <c r="I575" i="3" s="1"/>
  <c r="L575" i="3" s="1"/>
  <c r="H576" i="3"/>
  <c r="J576" i="3" s="1"/>
  <c r="I576" i="3" s="1"/>
  <c r="M576" i="3" s="1"/>
  <c r="H577" i="3"/>
  <c r="J577" i="3" s="1"/>
  <c r="I577" i="3" s="1"/>
  <c r="L577" i="3" s="1"/>
  <c r="H578" i="3"/>
  <c r="J578" i="3" s="1"/>
  <c r="I578" i="3" s="1"/>
  <c r="H579" i="3"/>
  <c r="J579" i="3" s="1"/>
  <c r="I579" i="3" s="1"/>
  <c r="H580" i="3"/>
  <c r="J580" i="3" s="1"/>
  <c r="I580" i="3" s="1"/>
  <c r="L580" i="3" s="1"/>
  <c r="H581" i="3"/>
  <c r="J581" i="3" s="1"/>
  <c r="I581" i="3" s="1"/>
  <c r="H582" i="3"/>
  <c r="J582" i="3" s="1"/>
  <c r="I582" i="3" s="1"/>
  <c r="H583" i="3"/>
  <c r="J583" i="3" s="1"/>
  <c r="I583" i="3" s="1"/>
  <c r="L583" i="3" s="1"/>
  <c r="H584" i="3"/>
  <c r="J584" i="3" s="1"/>
  <c r="I584" i="3" s="1"/>
  <c r="L584" i="3" s="1"/>
  <c r="H585" i="3"/>
  <c r="J585" i="3" s="1"/>
  <c r="I585" i="3" s="1"/>
  <c r="H586" i="3"/>
  <c r="J586" i="3" s="1"/>
  <c r="I586" i="3" s="1"/>
  <c r="L586" i="3" s="1"/>
  <c r="H587" i="3"/>
  <c r="J587" i="3" s="1"/>
  <c r="I587" i="3" s="1"/>
  <c r="M587" i="3" s="1"/>
  <c r="H588" i="3"/>
  <c r="J588" i="3" s="1"/>
  <c r="I588" i="3" s="1"/>
  <c r="L588" i="3" s="1"/>
  <c r="H589" i="3"/>
  <c r="J589" i="3" s="1"/>
  <c r="I589" i="3" s="1"/>
  <c r="M589" i="3" s="1"/>
  <c r="H590" i="3"/>
  <c r="J590" i="3" s="1"/>
  <c r="I590" i="3" s="1"/>
  <c r="H591" i="3"/>
  <c r="J591" i="3" s="1"/>
  <c r="I591" i="3" s="1"/>
  <c r="M591" i="3" s="1"/>
  <c r="H592" i="3"/>
  <c r="J592" i="3" s="1"/>
  <c r="I592" i="3" s="1"/>
  <c r="L592" i="3" s="1"/>
  <c r="H593" i="3"/>
  <c r="J593" i="3" s="1"/>
  <c r="I593" i="3" s="1"/>
  <c r="H594" i="3"/>
  <c r="J594" i="3" s="1"/>
  <c r="I594" i="3" s="1"/>
  <c r="M594" i="3" s="1"/>
  <c r="H595" i="3"/>
  <c r="J595" i="3" s="1"/>
  <c r="I595" i="3" s="1"/>
  <c r="L595" i="3" s="1"/>
  <c r="H596" i="3"/>
  <c r="J596" i="3" s="1"/>
  <c r="I596" i="3" s="1"/>
  <c r="H597" i="3"/>
  <c r="J597" i="3" s="1"/>
  <c r="I597" i="3" s="1"/>
  <c r="H598" i="3"/>
  <c r="J598" i="3" s="1"/>
  <c r="I598" i="3" s="1"/>
  <c r="H599" i="3"/>
  <c r="J599" i="3" s="1"/>
  <c r="I599" i="3" s="1"/>
  <c r="L599" i="3" s="1"/>
  <c r="H600" i="3"/>
  <c r="J600" i="3" s="1"/>
  <c r="I600" i="3" s="1"/>
  <c r="H601" i="3"/>
  <c r="J601" i="3" s="1"/>
  <c r="I601" i="3" s="1"/>
  <c r="M601" i="3" s="1"/>
  <c r="H602" i="3"/>
  <c r="J602" i="3" s="1"/>
  <c r="I602" i="3" s="1"/>
  <c r="M602" i="3" s="1"/>
  <c r="H603" i="3"/>
  <c r="J603" i="3" s="1"/>
  <c r="I603" i="3" s="1"/>
  <c r="H604" i="3"/>
  <c r="J604" i="3" s="1"/>
  <c r="I604" i="3" s="1"/>
  <c r="H605" i="3"/>
  <c r="J605" i="3" s="1"/>
  <c r="I605" i="3" s="1"/>
  <c r="M605" i="3" s="1"/>
  <c r="H606" i="3"/>
  <c r="J606" i="3" s="1"/>
  <c r="I606" i="3" s="1"/>
  <c r="H607" i="3"/>
  <c r="J607" i="3" s="1"/>
  <c r="I607" i="3" s="1"/>
  <c r="H608" i="3"/>
  <c r="J608" i="3" s="1"/>
  <c r="I608" i="3" s="1"/>
  <c r="L608" i="3" s="1"/>
  <c r="H609" i="3"/>
  <c r="J609" i="3" s="1"/>
  <c r="I609" i="3" s="1"/>
  <c r="L609" i="3" s="1"/>
  <c r="H610" i="3"/>
  <c r="J610" i="3" s="1"/>
  <c r="I610" i="3" s="1"/>
  <c r="L610" i="3" s="1"/>
  <c r="H611" i="3"/>
  <c r="J611" i="3" s="1"/>
  <c r="I611" i="3" s="1"/>
  <c r="H612" i="3"/>
  <c r="J612" i="3" s="1"/>
  <c r="I612" i="3" s="1"/>
  <c r="H613" i="3"/>
  <c r="J613" i="3"/>
  <c r="I613" i="3" s="1"/>
  <c r="H614" i="3"/>
  <c r="J614" i="3" s="1"/>
  <c r="I614" i="3" s="1"/>
  <c r="H615" i="3"/>
  <c r="J615" i="3" s="1"/>
  <c r="I615" i="3" s="1"/>
  <c r="H616" i="3"/>
  <c r="J616" i="3" s="1"/>
  <c r="I616" i="3" s="1"/>
  <c r="M616" i="3" s="1"/>
  <c r="H617" i="3"/>
  <c r="J617" i="3" s="1"/>
  <c r="I617" i="3" s="1"/>
  <c r="M617" i="3" s="1"/>
  <c r="H618" i="3"/>
  <c r="J618" i="3" s="1"/>
  <c r="I618" i="3" s="1"/>
  <c r="L618" i="3" s="1"/>
  <c r="H619" i="3"/>
  <c r="J619" i="3" s="1"/>
  <c r="I619" i="3" s="1"/>
  <c r="H620" i="3"/>
  <c r="J620" i="3" s="1"/>
  <c r="I620" i="3" s="1"/>
  <c r="H621" i="3"/>
  <c r="J621" i="3" s="1"/>
  <c r="I621" i="3" s="1"/>
  <c r="M621" i="3" s="1"/>
  <c r="H622" i="3"/>
  <c r="J622" i="3" s="1"/>
  <c r="I622" i="3" s="1"/>
  <c r="H623" i="3"/>
  <c r="J623" i="3"/>
  <c r="I623" i="3" s="1"/>
  <c r="H624" i="3"/>
  <c r="J624" i="3" s="1"/>
  <c r="I624" i="3" s="1"/>
  <c r="L624" i="3" s="1"/>
  <c r="H625" i="3"/>
  <c r="J625" i="3" s="1"/>
  <c r="I625" i="3" s="1"/>
  <c r="H626" i="3"/>
  <c r="J626" i="3" s="1"/>
  <c r="I626" i="3" s="1"/>
  <c r="L626" i="3" s="1"/>
  <c r="H627" i="3"/>
  <c r="J627" i="3" s="1"/>
  <c r="I627" i="3" s="1"/>
  <c r="M627" i="3" s="1"/>
  <c r="H628" i="3"/>
  <c r="J628" i="3" s="1"/>
  <c r="I628" i="3" s="1"/>
  <c r="H629" i="3"/>
  <c r="J629" i="3"/>
  <c r="I629" i="3" s="1"/>
  <c r="M629" i="3" s="1"/>
  <c r="H630" i="3"/>
  <c r="J630" i="3" s="1"/>
  <c r="I630" i="3" s="1"/>
  <c r="M630" i="3" s="1"/>
  <c r="H631" i="3"/>
  <c r="J631" i="3"/>
  <c r="I631" i="3" s="1"/>
  <c r="H632" i="3"/>
  <c r="J632" i="3"/>
  <c r="I632" i="3" s="1"/>
  <c r="H633" i="3"/>
  <c r="J633" i="3" s="1"/>
  <c r="I633" i="3" s="1"/>
  <c r="M633" i="3" s="1"/>
  <c r="H634" i="3"/>
  <c r="J634" i="3"/>
  <c r="I634" i="3" s="1"/>
  <c r="H635" i="3"/>
  <c r="J635" i="3"/>
  <c r="I635" i="3" s="1"/>
  <c r="H636" i="3"/>
  <c r="J636" i="3" s="1"/>
  <c r="I636" i="3" s="1"/>
  <c r="H637" i="3"/>
  <c r="J637" i="3" s="1"/>
  <c r="I637" i="3" s="1"/>
  <c r="M637" i="3" s="1"/>
  <c r="H638" i="3"/>
  <c r="J638" i="3" s="1"/>
  <c r="I638" i="3" s="1"/>
  <c r="L638" i="3" s="1"/>
  <c r="H639" i="3"/>
  <c r="J639" i="3" s="1"/>
  <c r="I639" i="3"/>
  <c r="M639" i="3" s="1"/>
  <c r="H640" i="3"/>
  <c r="J640" i="3" s="1"/>
  <c r="I640" i="3" s="1"/>
  <c r="L640" i="3" s="1"/>
  <c r="H641" i="3"/>
  <c r="J641" i="3" s="1"/>
  <c r="I641" i="3" s="1"/>
  <c r="M641" i="3" s="1"/>
  <c r="H642" i="3"/>
  <c r="J642" i="3" s="1"/>
  <c r="I642" i="3" s="1"/>
  <c r="H643" i="3"/>
  <c r="J643" i="3" s="1"/>
  <c r="I643" i="3" s="1"/>
  <c r="M643" i="3" s="1"/>
  <c r="H644" i="3"/>
  <c r="J644" i="3" s="1"/>
  <c r="I644" i="3" s="1"/>
  <c r="H645" i="3"/>
  <c r="J645" i="3" s="1"/>
  <c r="I645" i="3" s="1"/>
  <c r="H646" i="3"/>
  <c r="J646" i="3" s="1"/>
  <c r="I646" i="3" s="1"/>
  <c r="H647" i="3"/>
  <c r="J647" i="3" s="1"/>
  <c r="I647" i="3" s="1"/>
  <c r="L647" i="3" s="1"/>
  <c r="H648" i="3"/>
  <c r="J648" i="3" s="1"/>
  <c r="I648" i="3" s="1"/>
  <c r="L648" i="3" s="1"/>
  <c r="H649" i="3"/>
  <c r="J649" i="3" s="1"/>
  <c r="I649" i="3" s="1"/>
  <c r="M649" i="3" s="1"/>
  <c r="H650" i="3"/>
  <c r="J650" i="3"/>
  <c r="I650" i="3" s="1"/>
  <c r="L650" i="3" s="1"/>
  <c r="H651" i="3"/>
  <c r="J651" i="3" s="1"/>
  <c r="I651" i="3" s="1"/>
  <c r="H652" i="3"/>
  <c r="J652" i="3" s="1"/>
  <c r="I652" i="3" s="1"/>
  <c r="H653" i="3"/>
  <c r="J653" i="3" s="1"/>
  <c r="I653" i="3" s="1"/>
  <c r="M653" i="3" s="1"/>
  <c r="H654" i="3"/>
  <c r="J654" i="3" s="1"/>
  <c r="I654" i="3" s="1"/>
  <c r="L654" i="3" s="1"/>
  <c r="H655" i="3"/>
  <c r="J655" i="3" s="1"/>
  <c r="I655" i="3" s="1"/>
  <c r="H656" i="3"/>
  <c r="J656" i="3" s="1"/>
  <c r="I656" i="3" s="1"/>
  <c r="L656" i="3" s="1"/>
  <c r="H657" i="3"/>
  <c r="J657" i="3" s="1"/>
  <c r="I657" i="3" s="1"/>
  <c r="M657" i="3" s="1"/>
  <c r="H658" i="3"/>
  <c r="J658" i="3"/>
  <c r="I658" i="3" s="1"/>
  <c r="H659" i="3"/>
  <c r="J659" i="3" s="1"/>
  <c r="I659" i="3" s="1"/>
  <c r="L659" i="3" s="1"/>
  <c r="H660" i="3"/>
  <c r="J660" i="3" s="1"/>
  <c r="I660" i="3" s="1"/>
  <c r="H661" i="3"/>
  <c r="J661" i="3"/>
  <c r="I661" i="3" s="1"/>
  <c r="H662" i="3"/>
  <c r="J662" i="3" s="1"/>
  <c r="I662" i="3" s="1"/>
  <c r="H663" i="3"/>
  <c r="J663" i="3" s="1"/>
  <c r="I663" i="3" s="1"/>
  <c r="M663" i="3" s="1"/>
  <c r="H664" i="3"/>
  <c r="J664" i="3"/>
  <c r="I664" i="3" s="1"/>
  <c r="H665" i="3"/>
  <c r="J665" i="3"/>
  <c r="I665" i="3" s="1"/>
  <c r="H666" i="3"/>
  <c r="J666" i="3" s="1"/>
  <c r="I666" i="3" s="1"/>
  <c r="M666" i="3" s="1"/>
  <c r="H667" i="3"/>
  <c r="J667" i="3" s="1"/>
  <c r="I667" i="3" s="1"/>
  <c r="H668" i="3"/>
  <c r="J668" i="3" s="1"/>
  <c r="I668" i="3" s="1"/>
  <c r="L668" i="3" s="1"/>
  <c r="H669" i="3"/>
  <c r="J669" i="3" s="1"/>
  <c r="I669" i="3" s="1"/>
  <c r="H670" i="3"/>
  <c r="J670" i="3" s="1"/>
  <c r="I670" i="3" s="1"/>
  <c r="H671" i="3"/>
  <c r="J671" i="3" s="1"/>
  <c r="I671" i="3" s="1"/>
  <c r="L671" i="3" s="1"/>
  <c r="H672" i="3"/>
  <c r="J672" i="3"/>
  <c r="I672" i="3" s="1"/>
  <c r="M672" i="3" s="1"/>
  <c r="H673" i="3"/>
  <c r="J673" i="3"/>
  <c r="I673" i="3" s="1"/>
  <c r="L673" i="3" s="1"/>
  <c r="H674" i="3"/>
  <c r="J674" i="3" s="1"/>
  <c r="I674" i="3" s="1"/>
  <c r="L674" i="3" s="1"/>
  <c r="H675" i="3"/>
  <c r="J675" i="3" s="1"/>
  <c r="I675" i="3" s="1"/>
  <c r="H676" i="3"/>
  <c r="J676" i="3" s="1"/>
  <c r="I676" i="3" s="1"/>
  <c r="H677" i="3"/>
  <c r="J677" i="3" s="1"/>
  <c r="I677" i="3" s="1"/>
  <c r="M677" i="3" s="1"/>
  <c r="H678" i="3"/>
  <c r="J678" i="3" s="1"/>
  <c r="I678" i="3" s="1"/>
  <c r="L678" i="3" s="1"/>
  <c r="H679" i="3"/>
  <c r="J679" i="3" s="1"/>
  <c r="I679" i="3" s="1"/>
  <c r="H680" i="3"/>
  <c r="J680" i="3"/>
  <c r="I680" i="3" s="1"/>
  <c r="L680" i="3" s="1"/>
  <c r="H681" i="3"/>
  <c r="J681" i="3"/>
  <c r="I681" i="3" s="1"/>
  <c r="L681" i="3" s="1"/>
  <c r="H682" i="3"/>
  <c r="J682" i="3" s="1"/>
  <c r="I682" i="3" s="1"/>
  <c r="M682" i="3" s="1"/>
  <c r="H683" i="3"/>
  <c r="J683" i="3" s="1"/>
  <c r="I683" i="3" s="1"/>
  <c r="H684" i="3"/>
  <c r="J684" i="3" s="1"/>
  <c r="I684" i="3" s="1"/>
  <c r="L684" i="3" s="1"/>
  <c r="H685" i="3"/>
  <c r="J685" i="3" s="1"/>
  <c r="I685" i="3" s="1"/>
  <c r="H686" i="3"/>
  <c r="J686" i="3" s="1"/>
  <c r="I686" i="3" s="1"/>
  <c r="L686" i="3" s="1"/>
  <c r="H687" i="3"/>
  <c r="J687" i="3" s="1"/>
  <c r="I687" i="3" s="1"/>
  <c r="H688" i="3"/>
  <c r="J688" i="3" s="1"/>
  <c r="I688" i="3" s="1"/>
  <c r="H689" i="3"/>
  <c r="J689" i="3" s="1"/>
  <c r="I689" i="3" s="1"/>
  <c r="L689" i="3" s="1"/>
  <c r="H690" i="3"/>
  <c r="J690" i="3" s="1"/>
  <c r="I690" i="3" s="1"/>
  <c r="M690" i="3" s="1"/>
  <c r="H691" i="3"/>
  <c r="J691" i="3"/>
  <c r="I691" i="3" s="1"/>
  <c r="M691" i="3" s="1"/>
  <c r="H692" i="3"/>
  <c r="J692" i="3" s="1"/>
  <c r="I692" i="3" s="1"/>
  <c r="M692" i="3" s="1"/>
  <c r="H693" i="3"/>
  <c r="J693" i="3" s="1"/>
  <c r="I693" i="3" s="1"/>
  <c r="H694" i="3"/>
  <c r="J694" i="3" s="1"/>
  <c r="I694" i="3" s="1"/>
  <c r="H695" i="3"/>
  <c r="J695" i="3" s="1"/>
  <c r="I695" i="3" s="1"/>
  <c r="M695" i="3" s="1"/>
  <c r="H696" i="3"/>
  <c r="J696" i="3" s="1"/>
  <c r="I696" i="3" s="1"/>
  <c r="L696" i="3" s="1"/>
  <c r="H697" i="3"/>
  <c r="J697" i="3" s="1"/>
  <c r="I697" i="3" s="1"/>
  <c r="H698" i="3"/>
  <c r="J698" i="3" s="1"/>
  <c r="I698" i="3" s="1"/>
  <c r="L698" i="3" s="1"/>
  <c r="H699" i="3"/>
  <c r="J699" i="3" s="1"/>
  <c r="I699" i="3" s="1"/>
  <c r="L699" i="3" s="1"/>
  <c r="H700" i="3"/>
  <c r="J700" i="3" s="1"/>
  <c r="I700" i="3" s="1"/>
  <c r="H701" i="3"/>
  <c r="J701" i="3"/>
  <c r="I701" i="3" s="1"/>
  <c r="L701" i="3" s="1"/>
  <c r="H702" i="3"/>
  <c r="J702" i="3" s="1"/>
  <c r="I702" i="3" s="1"/>
  <c r="L702" i="3" s="1"/>
  <c r="H703" i="3"/>
  <c r="J703" i="3" s="1"/>
  <c r="I703" i="3" s="1"/>
  <c r="H704" i="3"/>
  <c r="J704" i="3"/>
  <c r="I704" i="3" s="1"/>
  <c r="H705" i="3"/>
  <c r="J705" i="3" s="1"/>
  <c r="I705" i="3" s="1"/>
  <c r="H706" i="3"/>
  <c r="J706" i="3"/>
  <c r="I706" i="3" s="1"/>
  <c r="H707" i="3"/>
  <c r="J707" i="3" s="1"/>
  <c r="I707" i="3" s="1"/>
  <c r="H708" i="3"/>
  <c r="J708" i="3" s="1"/>
  <c r="I708" i="3" s="1"/>
  <c r="L708" i="3" s="1"/>
  <c r="H709" i="3"/>
  <c r="J709" i="3" s="1"/>
  <c r="I709" i="3" s="1"/>
  <c r="H710" i="3"/>
  <c r="J710" i="3" s="1"/>
  <c r="I710" i="3" s="1"/>
  <c r="L710" i="3" s="1"/>
  <c r="H711" i="3"/>
  <c r="J711" i="3" s="1"/>
  <c r="I711" i="3" s="1"/>
  <c r="H712" i="3"/>
  <c r="J712" i="3" s="1"/>
  <c r="I712" i="3"/>
  <c r="H713" i="3"/>
  <c r="J713" i="3"/>
  <c r="I713" i="3" s="1"/>
  <c r="H714" i="3"/>
  <c r="J714" i="3" s="1"/>
  <c r="I714" i="3" s="1"/>
  <c r="L714" i="3" s="1"/>
  <c r="H715" i="3"/>
  <c r="J715" i="3"/>
  <c r="I715" i="3" s="1"/>
  <c r="L715" i="3" s="1"/>
  <c r="H716" i="3"/>
  <c r="J716" i="3" s="1"/>
  <c r="I716" i="3" s="1"/>
  <c r="H717" i="3"/>
  <c r="J717" i="3" s="1"/>
  <c r="I717" i="3" s="1"/>
  <c r="H718" i="3"/>
  <c r="J718" i="3" s="1"/>
  <c r="I718" i="3" s="1"/>
  <c r="H719" i="3"/>
  <c r="J719" i="3" s="1"/>
  <c r="I719" i="3" s="1"/>
  <c r="M719" i="3" s="1"/>
  <c r="H720" i="3"/>
  <c r="J720" i="3" s="1"/>
  <c r="I720" i="3" s="1"/>
  <c r="M720" i="3" s="1"/>
  <c r="H721" i="3"/>
  <c r="J721" i="3" s="1"/>
  <c r="I721" i="3" s="1"/>
  <c r="L721" i="3" s="1"/>
  <c r="H722" i="3"/>
  <c r="J722" i="3" s="1"/>
  <c r="I722" i="3" s="1"/>
  <c r="H723" i="3"/>
  <c r="J723" i="3" s="1"/>
  <c r="I723" i="3" s="1"/>
  <c r="H724" i="3"/>
  <c r="J724" i="3" s="1"/>
  <c r="I724" i="3" s="1"/>
  <c r="H725" i="3"/>
  <c r="J725" i="3"/>
  <c r="I725" i="3" s="1"/>
  <c r="H726" i="3"/>
  <c r="J726" i="3" s="1"/>
  <c r="I726" i="3" s="1"/>
  <c r="M726" i="3" s="1"/>
  <c r="H727" i="3"/>
  <c r="J727" i="3" s="1"/>
  <c r="I727" i="3" s="1"/>
  <c r="L727" i="3" s="1"/>
  <c r="H728" i="3"/>
  <c r="J728" i="3" s="1"/>
  <c r="I728" i="3" s="1"/>
  <c r="H729" i="3"/>
  <c r="J729" i="3" s="1"/>
  <c r="I729" i="3" s="1"/>
  <c r="H730" i="3"/>
  <c r="J730" i="3" s="1"/>
  <c r="I730" i="3" s="1"/>
  <c r="L730" i="3" s="1"/>
  <c r="H731" i="3"/>
  <c r="J731" i="3" s="1"/>
  <c r="I731" i="3" s="1"/>
  <c r="M731" i="3" s="1"/>
  <c r="H732" i="3"/>
  <c r="J732" i="3" s="1"/>
  <c r="I732" i="3" s="1"/>
  <c r="H733" i="3"/>
  <c r="J733" i="3" s="1"/>
  <c r="I733" i="3" s="1"/>
  <c r="L733" i="3" s="1"/>
  <c r="H734" i="3"/>
  <c r="J734" i="3" s="1"/>
  <c r="I734" i="3" s="1"/>
  <c r="L734" i="3" s="1"/>
  <c r="H735" i="3"/>
  <c r="J735" i="3" s="1"/>
  <c r="I735" i="3" s="1"/>
  <c r="H736" i="3"/>
  <c r="J736" i="3"/>
  <c r="I736" i="3" s="1"/>
  <c r="H737" i="3"/>
  <c r="J737" i="3" s="1"/>
  <c r="I737" i="3" s="1"/>
  <c r="L737" i="3" s="1"/>
  <c r="H738" i="3"/>
  <c r="J738" i="3" s="1"/>
  <c r="I738" i="3" s="1"/>
  <c r="H739" i="3"/>
  <c r="J739" i="3" s="1"/>
  <c r="I739" i="3" s="1"/>
  <c r="L739" i="3" s="1"/>
  <c r="H740" i="3"/>
  <c r="J740" i="3" s="1"/>
  <c r="I740" i="3" s="1"/>
  <c r="H741" i="3"/>
  <c r="J741" i="3" s="1"/>
  <c r="I741" i="3" s="1"/>
  <c r="H742" i="3"/>
  <c r="J742" i="3" s="1"/>
  <c r="I742" i="3" s="1"/>
  <c r="L742" i="3" s="1"/>
  <c r="H743" i="3"/>
  <c r="J743" i="3" s="1"/>
  <c r="I743" i="3" s="1"/>
  <c r="H744" i="3"/>
  <c r="J744" i="3" s="1"/>
  <c r="I744" i="3" s="1"/>
  <c r="M744" i="3" s="1"/>
  <c r="H745" i="3"/>
  <c r="J745" i="3" s="1"/>
  <c r="I745" i="3" s="1"/>
  <c r="H746" i="3"/>
  <c r="J746" i="3" s="1"/>
  <c r="I746" i="3" s="1"/>
  <c r="L746" i="3" s="1"/>
  <c r="H747" i="3"/>
  <c r="J747" i="3" s="1"/>
  <c r="I747" i="3" s="1"/>
  <c r="H748" i="3"/>
  <c r="J748" i="3" s="1"/>
  <c r="I748" i="3" s="1"/>
  <c r="H749" i="3"/>
  <c r="J749" i="3" s="1"/>
  <c r="I749" i="3" s="1"/>
  <c r="M749" i="3" s="1"/>
  <c r="H750" i="3"/>
  <c r="J750" i="3" s="1"/>
  <c r="I750" i="3" s="1"/>
  <c r="H751" i="3"/>
  <c r="J751" i="3"/>
  <c r="I751" i="3" s="1"/>
  <c r="M751" i="3" s="1"/>
  <c r="H752" i="3"/>
  <c r="J752" i="3" s="1"/>
  <c r="I752" i="3" s="1"/>
  <c r="H753" i="3"/>
  <c r="J753" i="3" s="1"/>
  <c r="I753" i="3" s="1"/>
  <c r="H754" i="3"/>
  <c r="J754" i="3" s="1"/>
  <c r="I754" i="3" s="1"/>
  <c r="M754" i="3" s="1"/>
  <c r="H755" i="3"/>
  <c r="J755" i="3"/>
  <c r="I755" i="3" s="1"/>
  <c r="H756" i="3"/>
  <c r="J756" i="3" s="1"/>
  <c r="I756" i="3" s="1"/>
  <c r="H757" i="3"/>
  <c r="J757" i="3" s="1"/>
  <c r="I757" i="3" s="1"/>
  <c r="H758" i="3"/>
  <c r="J758" i="3" s="1"/>
  <c r="I758" i="3" s="1"/>
  <c r="L758" i="3" s="1"/>
  <c r="H759" i="3"/>
  <c r="J759" i="3" s="1"/>
  <c r="I759" i="3" s="1"/>
  <c r="H760" i="3"/>
  <c r="J760" i="3" s="1"/>
  <c r="I760" i="3" s="1"/>
  <c r="H761" i="3"/>
  <c r="J761" i="3"/>
  <c r="I761" i="3" s="1"/>
  <c r="H762" i="3"/>
  <c r="J762" i="3" s="1"/>
  <c r="I762" i="3" s="1"/>
  <c r="H763" i="3"/>
  <c r="J763" i="3" s="1"/>
  <c r="I763" i="3" s="1"/>
  <c r="L763" i="3" s="1"/>
  <c r="H764" i="3"/>
  <c r="J764" i="3" s="1"/>
  <c r="I764" i="3" s="1"/>
  <c r="H765" i="3"/>
  <c r="J765" i="3" s="1"/>
  <c r="I765" i="3" s="1"/>
  <c r="H766" i="3"/>
  <c r="J766" i="3" s="1"/>
  <c r="I766" i="3" s="1"/>
  <c r="H767" i="3"/>
  <c r="J767" i="3" s="1"/>
  <c r="I767" i="3" s="1"/>
  <c r="H768" i="3"/>
  <c r="J768" i="3" s="1"/>
  <c r="I768" i="3" s="1"/>
  <c r="M768" i="3" s="1"/>
  <c r="H769" i="3"/>
  <c r="J769" i="3" s="1"/>
  <c r="I769" i="3"/>
  <c r="L769" i="3" s="1"/>
  <c r="H770" i="3"/>
  <c r="J770" i="3" s="1"/>
  <c r="I770" i="3" s="1"/>
  <c r="L770" i="3" s="1"/>
  <c r="H771" i="3"/>
  <c r="J771" i="3" s="1"/>
  <c r="I771" i="3"/>
  <c r="H772" i="3"/>
  <c r="J772" i="3" s="1"/>
  <c r="I772" i="3" s="1"/>
  <c r="H773" i="3"/>
  <c r="J773" i="3" s="1"/>
  <c r="I773" i="3" s="1"/>
  <c r="L773" i="3" s="1"/>
  <c r="H774" i="3"/>
  <c r="J774" i="3" s="1"/>
  <c r="I774" i="3" s="1"/>
  <c r="L774" i="3" s="1"/>
  <c r="H775" i="3"/>
  <c r="J775" i="3" s="1"/>
  <c r="I775" i="3" s="1"/>
  <c r="L775" i="3" s="1"/>
  <c r="H776" i="3"/>
  <c r="J776" i="3" s="1"/>
  <c r="I776" i="3" s="1"/>
  <c r="H777" i="3"/>
  <c r="J777" i="3" s="1"/>
  <c r="I777" i="3" s="1"/>
  <c r="H778" i="3"/>
  <c r="J778" i="3" s="1"/>
  <c r="I778" i="3" s="1"/>
  <c r="H779" i="3"/>
  <c r="J779" i="3" s="1"/>
  <c r="I779" i="3" s="1"/>
  <c r="H780" i="3"/>
  <c r="J780" i="3" s="1"/>
  <c r="I780" i="3" s="1"/>
  <c r="L780" i="3" s="1"/>
  <c r="H781" i="3"/>
  <c r="J781" i="3"/>
  <c r="I781" i="3" s="1"/>
  <c r="M781" i="3" s="1"/>
  <c r="H782" i="3"/>
  <c r="J782" i="3" s="1"/>
  <c r="I782" i="3" s="1"/>
  <c r="L782" i="3" s="1"/>
  <c r="H783" i="3"/>
  <c r="J783" i="3" s="1"/>
  <c r="I783" i="3" s="1"/>
  <c r="L783" i="3" s="1"/>
  <c r="H784" i="3"/>
  <c r="J784" i="3" s="1"/>
  <c r="I784" i="3" s="1"/>
  <c r="H785" i="3"/>
  <c r="J785" i="3"/>
  <c r="I785" i="3" s="1"/>
  <c r="H786" i="3"/>
  <c r="J786" i="3" s="1"/>
  <c r="I786" i="3" s="1"/>
  <c r="M786" i="3" s="1"/>
  <c r="H787" i="3"/>
  <c r="J787" i="3" s="1"/>
  <c r="I787" i="3" s="1"/>
  <c r="L787" i="3" s="1"/>
  <c r="H788" i="3"/>
  <c r="J788" i="3" s="1"/>
  <c r="I788" i="3" s="1"/>
  <c r="H789" i="3"/>
  <c r="J789" i="3" s="1"/>
  <c r="I789" i="3" s="1"/>
  <c r="H790" i="3"/>
  <c r="J790" i="3" s="1"/>
  <c r="I790" i="3" s="1"/>
  <c r="H791" i="3"/>
  <c r="J791" i="3" s="1"/>
  <c r="I791" i="3" s="1"/>
  <c r="H792" i="3"/>
  <c r="J792" i="3" s="1"/>
  <c r="I792" i="3" s="1"/>
  <c r="L792" i="3" s="1"/>
  <c r="H793" i="3"/>
  <c r="J793" i="3" s="1"/>
  <c r="I793" i="3" s="1"/>
  <c r="H794" i="3"/>
  <c r="J794" i="3" s="1"/>
  <c r="I794" i="3" s="1"/>
  <c r="L794" i="3" s="1"/>
  <c r="H795" i="3"/>
  <c r="J795" i="3" s="1"/>
  <c r="I795" i="3" s="1"/>
  <c r="M795" i="3" s="1"/>
  <c r="H796" i="3"/>
  <c r="J796" i="3" s="1"/>
  <c r="I796" i="3" s="1"/>
  <c r="H797" i="3"/>
  <c r="J797" i="3"/>
  <c r="I797" i="3" s="1"/>
  <c r="M797" i="3" s="1"/>
  <c r="H798" i="3"/>
  <c r="J798" i="3" s="1"/>
  <c r="I798" i="3" s="1"/>
  <c r="M798" i="3" s="1"/>
  <c r="H799" i="3"/>
  <c r="J799" i="3" s="1"/>
  <c r="I799" i="3" s="1"/>
  <c r="L799" i="3" s="1"/>
  <c r="H800" i="3"/>
  <c r="J800" i="3" s="1"/>
  <c r="I800" i="3" s="1"/>
  <c r="H801" i="3"/>
  <c r="J801" i="3" s="1"/>
  <c r="I801" i="3" s="1"/>
  <c r="H802" i="3"/>
  <c r="J802" i="3"/>
  <c r="I802" i="3" s="1"/>
  <c r="M802" i="3" s="1"/>
  <c r="H803" i="3"/>
  <c r="J803" i="3" s="1"/>
  <c r="I803" i="3"/>
  <c r="H804" i="3"/>
  <c r="J804" i="3" s="1"/>
  <c r="I804" i="3" s="1"/>
  <c r="M804" i="3" s="1"/>
  <c r="H805" i="3"/>
  <c r="J805" i="3" s="1"/>
  <c r="I805" i="3" s="1"/>
  <c r="L805" i="3" s="1"/>
  <c r="H806" i="3"/>
  <c r="J806" i="3" s="1"/>
  <c r="I806" i="3" s="1"/>
  <c r="H807" i="3"/>
  <c r="J807" i="3"/>
  <c r="I807" i="3" s="1"/>
  <c r="M807" i="3" s="1"/>
  <c r="H808" i="3"/>
  <c r="J808" i="3" s="1"/>
  <c r="I808" i="3" s="1"/>
  <c r="H809" i="3"/>
  <c r="J809" i="3" s="1"/>
  <c r="I809" i="3" s="1"/>
  <c r="H810" i="3"/>
  <c r="J810" i="3" s="1"/>
  <c r="I810" i="3" s="1"/>
  <c r="H811" i="3"/>
  <c r="J811" i="3"/>
  <c r="I811" i="3" s="1"/>
  <c r="M811" i="3" s="1"/>
  <c r="H812" i="3"/>
  <c r="J812" i="3" s="1"/>
  <c r="I812" i="3" s="1"/>
  <c r="H813" i="3"/>
  <c r="J813" i="3" s="1"/>
  <c r="I813" i="3" s="1"/>
  <c r="H814" i="3"/>
  <c r="J814" i="3"/>
  <c r="I814" i="3" s="1"/>
  <c r="L814" i="3" s="1"/>
  <c r="H815" i="3"/>
  <c r="J815" i="3" s="1"/>
  <c r="I815" i="3" s="1"/>
  <c r="H816" i="3"/>
  <c r="J816" i="3"/>
  <c r="I816" i="3" s="1"/>
  <c r="L816" i="3" s="1"/>
  <c r="H817" i="3"/>
  <c r="J817" i="3" s="1"/>
  <c r="I817" i="3" s="1"/>
  <c r="L817" i="3" s="1"/>
  <c r="H818" i="3"/>
  <c r="J818" i="3" s="1"/>
  <c r="I818" i="3" s="1"/>
  <c r="L818" i="3" s="1"/>
  <c r="H819" i="3"/>
  <c r="J819" i="3" s="1"/>
  <c r="I819" i="3" s="1"/>
  <c r="H820" i="3"/>
  <c r="J820" i="3" s="1"/>
  <c r="I820" i="3" s="1"/>
  <c r="H821" i="3"/>
  <c r="J821" i="3" s="1"/>
  <c r="I821" i="3" s="1"/>
  <c r="H822" i="3"/>
  <c r="J822" i="3" s="1"/>
  <c r="I822" i="3" s="1"/>
  <c r="H823" i="3"/>
  <c r="J823" i="3" s="1"/>
  <c r="I823" i="3" s="1"/>
  <c r="L823" i="3" s="1"/>
  <c r="H824" i="3"/>
  <c r="J824" i="3" s="1"/>
  <c r="I824" i="3" s="1"/>
  <c r="M824" i="3" s="1"/>
  <c r="H825" i="3"/>
  <c r="J825" i="3" s="1"/>
  <c r="I825" i="3"/>
  <c r="H826" i="3"/>
  <c r="J826" i="3"/>
  <c r="I826" i="3" s="1"/>
  <c r="H827" i="3"/>
  <c r="J827" i="3" s="1"/>
  <c r="I827" i="3" s="1"/>
  <c r="M827" i="3" s="1"/>
  <c r="H828" i="3"/>
  <c r="J828" i="3" s="1"/>
  <c r="I828" i="3" s="1"/>
  <c r="L828" i="3" s="1"/>
  <c r="H829" i="3"/>
  <c r="J829" i="3" s="1"/>
  <c r="I829" i="3" s="1"/>
  <c r="H830" i="3"/>
  <c r="J830" i="3" s="1"/>
  <c r="I830" i="3" s="1"/>
  <c r="L830" i="3" s="1"/>
  <c r="H831" i="3"/>
  <c r="J831" i="3" s="1"/>
  <c r="I831" i="3" s="1"/>
  <c r="H832" i="3"/>
  <c r="J832" i="3" s="1"/>
  <c r="I832" i="3" s="1"/>
  <c r="H833" i="3"/>
  <c r="J833" i="3" s="1"/>
  <c r="I833" i="3" s="1"/>
  <c r="L833" i="3" s="1"/>
  <c r="H834" i="3"/>
  <c r="J834" i="3"/>
  <c r="I834" i="3" s="1"/>
  <c r="L834" i="3" s="1"/>
  <c r="H835" i="3"/>
  <c r="J835" i="3" s="1"/>
  <c r="I835" i="3" s="1"/>
  <c r="L835" i="3" s="1"/>
  <c r="H836" i="3"/>
  <c r="J836" i="3"/>
  <c r="I836" i="3" s="1"/>
  <c r="L836" i="3" s="1"/>
  <c r="H837" i="3"/>
  <c r="J837" i="3" s="1"/>
  <c r="I837" i="3" s="1"/>
  <c r="H838" i="3"/>
  <c r="J838" i="3" s="1"/>
  <c r="I838" i="3" s="1"/>
  <c r="L838" i="3" s="1"/>
  <c r="H839" i="3"/>
  <c r="J839" i="3" s="1"/>
  <c r="I839" i="3" s="1"/>
  <c r="H840" i="3"/>
  <c r="J840" i="3"/>
  <c r="I840" i="3" s="1"/>
  <c r="M840" i="3" s="1"/>
  <c r="H841" i="3"/>
  <c r="J841" i="3" s="1"/>
  <c r="I841" i="3" s="1"/>
  <c r="H842" i="3"/>
  <c r="J842" i="3" s="1"/>
  <c r="I842" i="3" s="1"/>
  <c r="L842" i="3" s="1"/>
  <c r="H843" i="3"/>
  <c r="J843" i="3" s="1"/>
  <c r="I843" i="3" s="1"/>
  <c r="H844" i="3"/>
  <c r="J844" i="3"/>
  <c r="I844" i="3" s="1"/>
  <c r="H845" i="3"/>
  <c r="J845" i="3" s="1"/>
  <c r="I845" i="3" s="1"/>
  <c r="L845" i="3" s="1"/>
  <c r="H846" i="3"/>
  <c r="J846" i="3" s="1"/>
  <c r="I846" i="3" s="1"/>
  <c r="H847" i="3"/>
  <c r="J847" i="3"/>
  <c r="I847" i="3" s="1"/>
  <c r="M847" i="3" s="1"/>
  <c r="H848" i="3"/>
  <c r="J848" i="3" s="1"/>
  <c r="I848" i="3" s="1"/>
  <c r="H849" i="3"/>
  <c r="J849" i="3" s="1"/>
  <c r="I849" i="3" s="1"/>
  <c r="H850" i="3"/>
  <c r="J850" i="3" s="1"/>
  <c r="I850" i="3" s="1"/>
  <c r="M850" i="3" s="1"/>
  <c r="H851" i="3"/>
  <c r="J851" i="3" s="1"/>
  <c r="I851" i="3" s="1"/>
  <c r="H852" i="3"/>
  <c r="J852" i="3" s="1"/>
  <c r="I852" i="3" s="1"/>
  <c r="H853" i="3"/>
  <c r="J853" i="3" s="1"/>
  <c r="I853" i="3" s="1"/>
  <c r="H854" i="3"/>
  <c r="J854" i="3" s="1"/>
  <c r="I854" i="3" s="1"/>
  <c r="L854" i="3" s="1"/>
  <c r="H855" i="3"/>
  <c r="J855" i="3" s="1"/>
  <c r="I855" i="3" s="1"/>
  <c r="L855" i="3" s="1"/>
  <c r="H856" i="3"/>
  <c r="J856" i="3" s="1"/>
  <c r="I856" i="3" s="1"/>
  <c r="H857" i="3"/>
  <c r="J857" i="3" s="1"/>
  <c r="I857" i="3" s="1"/>
  <c r="M857" i="3" s="1"/>
  <c r="H858" i="3"/>
  <c r="J858" i="3" s="1"/>
  <c r="I858" i="3" s="1"/>
  <c r="H859" i="3"/>
  <c r="J859" i="3" s="1"/>
  <c r="I859" i="3" s="1"/>
  <c r="M859" i="3" s="1"/>
  <c r="H860" i="3"/>
  <c r="J860" i="3" s="1"/>
  <c r="I860" i="3" s="1"/>
  <c r="L860" i="3" s="1"/>
  <c r="H861" i="3"/>
  <c r="J861" i="3" s="1"/>
  <c r="I861" i="3" s="1"/>
  <c r="H862" i="3"/>
  <c r="J862" i="3" s="1"/>
  <c r="I862" i="3" s="1"/>
  <c r="H863" i="3"/>
  <c r="J863" i="3" s="1"/>
  <c r="I863" i="3" s="1"/>
  <c r="M863" i="3" s="1"/>
  <c r="H864" i="3"/>
  <c r="J864" i="3" s="1"/>
  <c r="I864" i="3" s="1"/>
  <c r="M864" i="3" s="1"/>
  <c r="H865" i="3"/>
  <c r="J865" i="3" s="1"/>
  <c r="I865" i="3" s="1"/>
  <c r="H866" i="3"/>
  <c r="J866" i="3" s="1"/>
  <c r="I866" i="3" s="1"/>
  <c r="L866" i="3" s="1"/>
  <c r="H867" i="3"/>
  <c r="J867" i="3"/>
  <c r="I867" i="3" s="1"/>
  <c r="L867" i="3" s="1"/>
  <c r="H868" i="3"/>
  <c r="J868" i="3"/>
  <c r="I868" i="3" s="1"/>
  <c r="H869" i="3"/>
  <c r="J869" i="3" s="1"/>
  <c r="I869" i="3" s="1"/>
  <c r="H870" i="3"/>
  <c r="J870" i="3"/>
  <c r="I870" i="3" s="1"/>
  <c r="L870" i="3" s="1"/>
  <c r="H871" i="3"/>
  <c r="J871" i="3" s="1"/>
  <c r="I871" i="3" s="1"/>
  <c r="M871" i="3" s="1"/>
  <c r="H872" i="3"/>
  <c r="J872" i="3"/>
  <c r="I872" i="3" s="1"/>
  <c r="H873" i="3"/>
  <c r="J873" i="3" s="1"/>
  <c r="I873" i="3" s="1"/>
  <c r="H874" i="3"/>
  <c r="J874" i="3" s="1"/>
  <c r="I874" i="3" s="1"/>
  <c r="H875" i="3"/>
  <c r="J875" i="3" s="1"/>
  <c r="I875" i="3" s="1"/>
  <c r="M875" i="3" s="1"/>
  <c r="H876" i="3"/>
  <c r="J876" i="3" s="1"/>
  <c r="I876" i="3" s="1"/>
  <c r="L876" i="3" s="1"/>
  <c r="H877" i="3"/>
  <c r="J877" i="3" s="1"/>
  <c r="I877" i="3" s="1"/>
  <c r="H878" i="3"/>
  <c r="J878" i="3" s="1"/>
  <c r="I878" i="3" s="1"/>
  <c r="L878" i="3" s="1"/>
  <c r="H879" i="3"/>
  <c r="J879" i="3" s="1"/>
  <c r="I879" i="3" s="1"/>
  <c r="H880" i="3"/>
  <c r="J880" i="3" s="1"/>
  <c r="I880" i="3" s="1"/>
  <c r="H881" i="3"/>
  <c r="J881" i="3" s="1"/>
  <c r="I881" i="3" s="1"/>
  <c r="M881" i="3" s="1"/>
  <c r="H882" i="3"/>
  <c r="J882" i="3" s="1"/>
  <c r="I882" i="3" s="1"/>
  <c r="H883" i="3"/>
  <c r="J883" i="3" s="1"/>
  <c r="I883" i="3" s="1"/>
  <c r="M883" i="3" s="1"/>
  <c r="H884" i="3"/>
  <c r="J884" i="3" s="1"/>
  <c r="I884" i="3" s="1"/>
  <c r="H885" i="3"/>
  <c r="J885" i="3" s="1"/>
  <c r="I885" i="3" s="1"/>
  <c r="H886" i="3"/>
  <c r="J886" i="3" s="1"/>
  <c r="I886" i="3" s="1"/>
  <c r="H887" i="3"/>
  <c r="J887" i="3" s="1"/>
  <c r="I887" i="3" s="1"/>
  <c r="H888" i="3"/>
  <c r="J888" i="3" s="1"/>
  <c r="I888" i="3" s="1"/>
  <c r="L888" i="3" s="1"/>
  <c r="H889" i="3"/>
  <c r="J889" i="3" s="1"/>
  <c r="I889" i="3" s="1"/>
  <c r="H890" i="3"/>
  <c r="J890" i="3" s="1"/>
  <c r="I890" i="3" s="1"/>
  <c r="L890" i="3" s="1"/>
  <c r="H891" i="3"/>
  <c r="J891" i="3" s="1"/>
  <c r="I891" i="3" s="1"/>
  <c r="H892" i="3"/>
  <c r="J892" i="3" s="1"/>
  <c r="I892" i="3" s="1"/>
  <c r="H893" i="3"/>
  <c r="J893" i="3" s="1"/>
  <c r="I893" i="3" s="1"/>
  <c r="L893" i="3" s="1"/>
  <c r="H894" i="3"/>
  <c r="J894" i="3" s="1"/>
  <c r="I894" i="3" s="1"/>
  <c r="H895" i="3"/>
  <c r="J895" i="3" s="1"/>
  <c r="I895" i="3" s="1"/>
  <c r="M895" i="3" s="1"/>
  <c r="H896" i="3"/>
  <c r="J896" i="3"/>
  <c r="I896" i="3" s="1"/>
  <c r="L896" i="3" s="1"/>
  <c r="H897" i="3"/>
  <c r="J897" i="3" s="1"/>
  <c r="I897" i="3" s="1"/>
  <c r="H898" i="3"/>
  <c r="J898" i="3" s="1"/>
  <c r="I898" i="3" s="1"/>
  <c r="H899" i="3"/>
  <c r="J899" i="3" s="1"/>
  <c r="I899" i="3" s="1"/>
  <c r="H900" i="3"/>
  <c r="J900" i="3" s="1"/>
  <c r="I900" i="3" s="1"/>
  <c r="L900" i="3" s="1"/>
  <c r="H901" i="3"/>
  <c r="J901" i="3" s="1"/>
  <c r="I901" i="3" s="1"/>
  <c r="H902" i="3"/>
  <c r="J902" i="3" s="1"/>
  <c r="I902" i="3" s="1"/>
  <c r="L902" i="3" s="1"/>
  <c r="H903" i="3"/>
  <c r="J903" i="3" s="1"/>
  <c r="I903" i="3" s="1"/>
  <c r="H904" i="3"/>
  <c r="J904" i="3" s="1"/>
  <c r="I904" i="3" s="1"/>
  <c r="H905" i="3"/>
  <c r="J905" i="3"/>
  <c r="I905" i="3" s="1"/>
  <c r="L905" i="3" s="1"/>
  <c r="H906" i="3"/>
  <c r="J906" i="3" s="1"/>
  <c r="I906" i="3" s="1"/>
  <c r="H907" i="3"/>
  <c r="J907" i="3" s="1"/>
  <c r="I907" i="3" s="1"/>
  <c r="M907" i="3" s="1"/>
  <c r="H908" i="3"/>
  <c r="J908" i="3" s="1"/>
  <c r="I908" i="3" s="1"/>
  <c r="H909" i="3"/>
  <c r="J909" i="3" s="1"/>
  <c r="I909" i="3" s="1"/>
  <c r="H910" i="3"/>
  <c r="J910" i="3" s="1"/>
  <c r="I910" i="3" s="1"/>
  <c r="M910" i="3" s="1"/>
  <c r="H911" i="3"/>
  <c r="J911" i="3"/>
  <c r="I911" i="3" s="1"/>
  <c r="H912" i="3"/>
  <c r="J912" i="3" s="1"/>
  <c r="I912" i="3" s="1"/>
  <c r="H913" i="3"/>
  <c r="J913" i="3" s="1"/>
  <c r="I913" i="3" s="1"/>
  <c r="L913" i="3" s="1"/>
  <c r="H914" i="3"/>
  <c r="J914" i="3" s="1"/>
  <c r="I914" i="3" s="1"/>
  <c r="L914" i="3" s="1"/>
  <c r="H915" i="3"/>
  <c r="J915" i="3" s="1"/>
  <c r="I915" i="3" s="1"/>
  <c r="M915" i="3" s="1"/>
  <c r="H916" i="3"/>
  <c r="J916" i="3" s="1"/>
  <c r="I916" i="3" s="1"/>
  <c r="M916" i="3" s="1"/>
  <c r="H917" i="3"/>
  <c r="J917" i="3" s="1"/>
  <c r="I917" i="3" s="1"/>
  <c r="H918" i="3"/>
  <c r="J918" i="3" s="1"/>
  <c r="I918" i="3" s="1"/>
  <c r="H919" i="3"/>
  <c r="J919" i="3" s="1"/>
  <c r="I919" i="3" s="1"/>
  <c r="L919" i="3" s="1"/>
  <c r="H920" i="3"/>
  <c r="J920" i="3" s="1"/>
  <c r="I920" i="3" s="1"/>
  <c r="H921" i="3"/>
  <c r="J921" i="3" s="1"/>
  <c r="I921" i="3" s="1"/>
  <c r="H922" i="3"/>
  <c r="J922" i="3" s="1"/>
  <c r="I922" i="3" s="1"/>
  <c r="L922" i="3" s="1"/>
  <c r="H923" i="3"/>
  <c r="J923" i="3" s="1"/>
  <c r="I923" i="3" s="1"/>
  <c r="H924" i="3"/>
  <c r="J924" i="3" s="1"/>
  <c r="I924" i="3" s="1"/>
  <c r="H925" i="3"/>
  <c r="J925" i="3" s="1"/>
  <c r="I925" i="3" s="1"/>
  <c r="H926" i="3"/>
  <c r="J926" i="3" s="1"/>
  <c r="I926" i="3" s="1"/>
  <c r="L926" i="3" s="1"/>
  <c r="H927" i="3"/>
  <c r="J927" i="3" s="1"/>
  <c r="I927" i="3" s="1"/>
  <c r="L927" i="3" s="1"/>
  <c r="H928" i="3"/>
  <c r="J928" i="3" s="1"/>
  <c r="I928" i="3" s="1"/>
  <c r="H929" i="3"/>
  <c r="J929" i="3" s="1"/>
  <c r="I929" i="3" s="1"/>
  <c r="M929" i="3" s="1"/>
  <c r="H930" i="3"/>
  <c r="J930" i="3" s="1"/>
  <c r="I930" i="3" s="1"/>
  <c r="L930" i="3" s="1"/>
  <c r="H931" i="3"/>
  <c r="J931" i="3" s="1"/>
  <c r="I931" i="3" s="1"/>
  <c r="M931" i="3" s="1"/>
  <c r="H932" i="3"/>
  <c r="J932" i="3" s="1"/>
  <c r="I932" i="3" s="1"/>
  <c r="M932" i="3" s="1"/>
  <c r="H933" i="3"/>
  <c r="J933" i="3" s="1"/>
  <c r="I933" i="3" s="1"/>
  <c r="H934" i="3"/>
  <c r="J934" i="3" s="1"/>
  <c r="I934" i="3" s="1"/>
  <c r="H935" i="3"/>
  <c r="J935" i="3" s="1"/>
  <c r="I935" i="3" s="1"/>
  <c r="H936" i="3"/>
  <c r="J936" i="3"/>
  <c r="I936" i="3" s="1"/>
  <c r="M936" i="3" s="1"/>
  <c r="H937" i="3"/>
  <c r="J937" i="3" s="1"/>
  <c r="I937" i="3" s="1"/>
  <c r="M937" i="3" s="1"/>
  <c r="H938" i="3"/>
  <c r="J938" i="3" s="1"/>
  <c r="I938" i="3" s="1"/>
  <c r="H939" i="3"/>
  <c r="J939" i="3" s="1"/>
  <c r="I939" i="3" s="1"/>
  <c r="L939" i="3" s="1"/>
  <c r="H940" i="3"/>
  <c r="J940" i="3" s="1"/>
  <c r="I940" i="3" s="1"/>
  <c r="H941" i="3"/>
  <c r="J941" i="3" s="1"/>
  <c r="I941" i="3" s="1"/>
  <c r="L941" i="3" s="1"/>
  <c r="H942" i="3"/>
  <c r="J942" i="3"/>
  <c r="I942" i="3" s="1"/>
  <c r="H943" i="3"/>
  <c r="J943" i="3" s="1"/>
  <c r="I943" i="3" s="1"/>
  <c r="L943" i="3" s="1"/>
  <c r="H944" i="3"/>
  <c r="J944" i="3" s="1"/>
  <c r="I944" i="3" s="1"/>
  <c r="L944" i="3" s="1"/>
  <c r="H945" i="3"/>
  <c r="J945" i="3" s="1"/>
  <c r="I945" i="3" s="1"/>
  <c r="H946" i="3"/>
  <c r="J946" i="3" s="1"/>
  <c r="I946" i="3" s="1"/>
  <c r="H947" i="3"/>
  <c r="J947" i="3" s="1"/>
  <c r="I947" i="3" s="1"/>
  <c r="H948" i="3"/>
  <c r="J948" i="3" s="1"/>
  <c r="I948" i="3" s="1"/>
  <c r="L948" i="3" s="1"/>
  <c r="H949" i="3"/>
  <c r="J949" i="3" s="1"/>
  <c r="I949" i="3" s="1"/>
  <c r="L949" i="3" s="1"/>
  <c r="H950" i="3"/>
  <c r="J950" i="3" s="1"/>
  <c r="I950" i="3" s="1"/>
  <c r="H951" i="3"/>
  <c r="J951" i="3"/>
  <c r="I951" i="3" s="1"/>
  <c r="L951" i="3" s="1"/>
  <c r="H952" i="3"/>
  <c r="J952" i="3" s="1"/>
  <c r="I952" i="3" s="1"/>
  <c r="M952" i="3" s="1"/>
  <c r="H953" i="3"/>
  <c r="J953" i="3" s="1"/>
  <c r="I953" i="3" s="1"/>
  <c r="H954" i="3"/>
  <c r="J954" i="3" s="1"/>
  <c r="I954" i="3" s="1"/>
  <c r="M954" i="3" s="1"/>
  <c r="H955" i="3"/>
  <c r="J955" i="3" s="1"/>
  <c r="I955" i="3" s="1"/>
  <c r="M955" i="3" s="1"/>
  <c r="H956" i="3"/>
  <c r="J956" i="3" s="1"/>
  <c r="I956" i="3" s="1"/>
  <c r="H957" i="3"/>
  <c r="J957" i="3" s="1"/>
  <c r="I957" i="3" s="1"/>
  <c r="H958" i="3"/>
  <c r="J958" i="3" s="1"/>
  <c r="I958" i="3" s="1"/>
  <c r="M958" i="3" s="1"/>
  <c r="H959" i="3"/>
  <c r="J959" i="3" s="1"/>
  <c r="I959" i="3" s="1"/>
  <c r="H960" i="3"/>
  <c r="J960" i="3" s="1"/>
  <c r="I960" i="3" s="1"/>
  <c r="H961" i="3"/>
  <c r="J961" i="3" s="1"/>
  <c r="I961" i="3" s="1"/>
  <c r="H962" i="3"/>
  <c r="J962" i="3" s="1"/>
  <c r="I962" i="3"/>
  <c r="L962" i="3" s="1"/>
  <c r="H963" i="3"/>
  <c r="J963" i="3" s="1"/>
  <c r="I963" i="3" s="1"/>
  <c r="H964" i="3"/>
  <c r="J964" i="3" s="1"/>
  <c r="I964" i="3" s="1"/>
  <c r="M964" i="3" s="1"/>
  <c r="H965" i="3"/>
  <c r="J965" i="3" s="1"/>
  <c r="I965" i="3" s="1"/>
  <c r="H966" i="3"/>
  <c r="J966" i="3"/>
  <c r="I966" i="3" s="1"/>
  <c r="L966" i="3" s="1"/>
  <c r="H967" i="3"/>
  <c r="J967" i="3" s="1"/>
  <c r="I967" i="3" s="1"/>
  <c r="M967" i="3" s="1"/>
  <c r="H968" i="3"/>
  <c r="J968" i="3" s="1"/>
  <c r="I968" i="3" s="1"/>
  <c r="H969" i="3"/>
  <c r="J969" i="3" s="1"/>
  <c r="I969" i="3" s="1"/>
  <c r="H970" i="3"/>
  <c r="J970" i="3" s="1"/>
  <c r="I970" i="3" s="1"/>
  <c r="M970" i="3" s="1"/>
  <c r="H971" i="3"/>
  <c r="J971" i="3" s="1"/>
  <c r="I971" i="3" s="1"/>
  <c r="H972" i="3"/>
  <c r="J972" i="3" s="1"/>
  <c r="I972" i="3" s="1"/>
  <c r="M972" i="3" s="1"/>
  <c r="H973" i="3"/>
  <c r="J973" i="3" s="1"/>
  <c r="I973" i="3" s="1"/>
  <c r="L973" i="3" s="1"/>
  <c r="H974" i="3"/>
  <c r="J974" i="3" s="1"/>
  <c r="I974" i="3" s="1"/>
  <c r="H975" i="3"/>
  <c r="J975" i="3" s="1"/>
  <c r="I975" i="3" s="1"/>
  <c r="H976" i="3"/>
  <c r="J976" i="3" s="1"/>
  <c r="I976" i="3" s="1"/>
  <c r="H977" i="3"/>
  <c r="J977" i="3" s="1"/>
  <c r="I977" i="3" s="1"/>
  <c r="M977" i="3" s="1"/>
  <c r="H978" i="3"/>
  <c r="J978" i="3" s="1"/>
  <c r="I978" i="3" s="1"/>
  <c r="H979" i="3"/>
  <c r="J979" i="3" s="1"/>
  <c r="I979" i="3" s="1"/>
  <c r="M979" i="3" s="1"/>
  <c r="H980" i="3"/>
  <c r="J980" i="3" s="1"/>
  <c r="I980" i="3" s="1"/>
  <c r="M980" i="3" s="1"/>
  <c r="H981" i="3"/>
  <c r="J981" i="3" s="1"/>
  <c r="I981" i="3" s="1"/>
  <c r="H982" i="3"/>
  <c r="J982" i="3" s="1"/>
  <c r="I982" i="3" s="1"/>
  <c r="H983" i="3"/>
  <c r="J983" i="3" s="1"/>
  <c r="I983" i="3" s="1"/>
  <c r="H984" i="3"/>
  <c r="J984" i="3" s="1"/>
  <c r="I984" i="3" s="1"/>
  <c r="M984" i="3" s="1"/>
  <c r="H985" i="3"/>
  <c r="J985" i="3" s="1"/>
  <c r="I985" i="3" s="1"/>
  <c r="H986" i="3"/>
  <c r="J986" i="3" s="1"/>
  <c r="I986" i="3" s="1"/>
  <c r="L986" i="3" s="1"/>
  <c r="H987" i="3"/>
  <c r="J987" i="3" s="1"/>
  <c r="I987" i="3" s="1"/>
  <c r="H988" i="3"/>
  <c r="J988" i="3" s="1"/>
  <c r="I988" i="3" s="1"/>
  <c r="H989" i="3"/>
  <c r="J989" i="3"/>
  <c r="I989" i="3" s="1"/>
  <c r="L989" i="3" s="1"/>
  <c r="H990" i="3"/>
  <c r="J990" i="3" s="1"/>
  <c r="I990" i="3" s="1"/>
  <c r="H991" i="3"/>
  <c r="J991" i="3" s="1"/>
  <c r="I991" i="3" s="1"/>
  <c r="M991" i="3" s="1"/>
  <c r="H992" i="3"/>
  <c r="J992" i="3" s="1"/>
  <c r="I992" i="3" s="1"/>
  <c r="L992" i="3" s="1"/>
  <c r="H993" i="3"/>
  <c r="J993" i="3" s="1"/>
  <c r="I993" i="3" s="1"/>
  <c r="H994" i="3"/>
  <c r="J994" i="3" s="1"/>
  <c r="I994" i="3" s="1"/>
  <c r="M994" i="3" s="1"/>
  <c r="H995" i="3"/>
  <c r="J995" i="3"/>
  <c r="I995" i="3" s="1"/>
  <c r="L995" i="3" s="1"/>
  <c r="H996" i="3"/>
  <c r="J996" i="3" s="1"/>
  <c r="I996" i="3" s="1"/>
  <c r="H997" i="3"/>
  <c r="J997" i="3" s="1"/>
  <c r="I997" i="3" s="1"/>
  <c r="H998" i="3"/>
  <c r="J998" i="3" s="1"/>
  <c r="I998" i="3" s="1"/>
  <c r="L998" i="3" s="1"/>
  <c r="H999" i="3"/>
  <c r="J999" i="3" s="1"/>
  <c r="I999" i="3" s="1"/>
  <c r="L999" i="3" s="1"/>
  <c r="H1000" i="3"/>
  <c r="J1000" i="3" s="1"/>
  <c r="I1000" i="3" s="1"/>
  <c r="H1001" i="3"/>
  <c r="J1001" i="3" s="1"/>
  <c r="I1001" i="3" s="1"/>
  <c r="L1001" i="3" s="1"/>
  <c r="H1002" i="3"/>
  <c r="J1002" i="3" s="1"/>
  <c r="I1002" i="3" s="1"/>
  <c r="L1002" i="3" s="1"/>
  <c r="H1003" i="3"/>
  <c r="J1003" i="3" s="1"/>
  <c r="I1003" i="3" s="1"/>
  <c r="L1003" i="3" s="1"/>
  <c r="H1004" i="3"/>
  <c r="J1004" i="3" s="1"/>
  <c r="I1004" i="3" s="1"/>
  <c r="H1005" i="3"/>
  <c r="J1005" i="3" s="1"/>
  <c r="I1005" i="3" s="1"/>
  <c r="H1006" i="3"/>
  <c r="J1006" i="3" s="1"/>
  <c r="I1006" i="3" s="1"/>
  <c r="H1007" i="3"/>
  <c r="J1007" i="3" s="1"/>
  <c r="I1007" i="3" s="1"/>
  <c r="H1008" i="3"/>
  <c r="J1008" i="3" s="1"/>
  <c r="I1008" i="3" s="1"/>
  <c r="L1008" i="3" s="1"/>
  <c r="H1009" i="3"/>
  <c r="J1009" i="3" s="1"/>
  <c r="I1009" i="3" s="1"/>
  <c r="H1010" i="3"/>
  <c r="J1010" i="3" s="1"/>
  <c r="I1010" i="3" s="1"/>
  <c r="H1011" i="3"/>
  <c r="J1011" i="3" s="1"/>
  <c r="I1011" i="3" s="1"/>
  <c r="L1011" i="3" s="1"/>
  <c r="H1012" i="3"/>
  <c r="J1012" i="3" s="1"/>
  <c r="I1012" i="3" s="1"/>
  <c r="H1013" i="3"/>
  <c r="J1013" i="3" s="1"/>
  <c r="I1013" i="3" s="1"/>
  <c r="H1014" i="3"/>
  <c r="J1014" i="3"/>
  <c r="I1014" i="3" s="1"/>
  <c r="H1015" i="3"/>
  <c r="J1015" i="3" s="1"/>
  <c r="I1015" i="3" s="1"/>
  <c r="M1015" i="3" s="1"/>
  <c r="H1016" i="3"/>
  <c r="J1016" i="3" s="1"/>
  <c r="I1016" i="3" s="1"/>
  <c r="L1016" i="3" s="1"/>
  <c r="H1017" i="3"/>
  <c r="J1017" i="3" s="1"/>
  <c r="I1017" i="3" s="1"/>
  <c r="L1017" i="3" s="1"/>
  <c r="H1018" i="3"/>
  <c r="J1018" i="3" s="1"/>
  <c r="I1018" i="3" s="1"/>
  <c r="H1019" i="3"/>
  <c r="J1019" i="3" s="1"/>
  <c r="I1019" i="3" s="1"/>
  <c r="M1019" i="3" s="1"/>
  <c r="H1020" i="3"/>
  <c r="J1020" i="3" s="1"/>
  <c r="I1020" i="3" s="1"/>
  <c r="H1021" i="3"/>
  <c r="J1021" i="3" s="1"/>
  <c r="I1021" i="3" s="1"/>
  <c r="H1022" i="3"/>
  <c r="J1022" i="3" s="1"/>
  <c r="I1022" i="3" s="1"/>
  <c r="L1022" i="3" s="1"/>
  <c r="H1023" i="3"/>
  <c r="J1023" i="3" s="1"/>
  <c r="I1023" i="3" s="1"/>
  <c r="H1024" i="3"/>
  <c r="J1024" i="3" s="1"/>
  <c r="I1024" i="3" s="1"/>
  <c r="H1025" i="3"/>
  <c r="J1025" i="3" s="1"/>
  <c r="I1025" i="3" s="1"/>
  <c r="M1025" i="3" s="1"/>
  <c r="H1026" i="3"/>
  <c r="J1026" i="3"/>
  <c r="I1026" i="3" s="1"/>
  <c r="H1027" i="3"/>
  <c r="J1027" i="3"/>
  <c r="I1027" i="3" s="1"/>
  <c r="L1027" i="3" s="1"/>
  <c r="H1028" i="3"/>
  <c r="J1028" i="3" s="1"/>
  <c r="I1028" i="3" s="1"/>
  <c r="H1029" i="3"/>
  <c r="J1029" i="3" s="1"/>
  <c r="I1029" i="3" s="1"/>
  <c r="L1029" i="3" s="1"/>
  <c r="H1030" i="3"/>
  <c r="J1030" i="3" s="1"/>
  <c r="I1030" i="3" s="1"/>
  <c r="L1030" i="3" s="1"/>
  <c r="H1031" i="3"/>
  <c r="J1031" i="3" s="1"/>
  <c r="I1031" i="3" s="1"/>
  <c r="H1032" i="3"/>
  <c r="J1032" i="3" s="1"/>
  <c r="I1032" i="3" s="1"/>
  <c r="H1033" i="3"/>
  <c r="J1033" i="3" s="1"/>
  <c r="I1033" i="3" s="1"/>
  <c r="M1033" i="3" s="1"/>
  <c r="H1034" i="3"/>
  <c r="J1034" i="3" s="1"/>
  <c r="I1034" i="3" s="1"/>
  <c r="L1034" i="3" s="1"/>
  <c r="H1035" i="3"/>
  <c r="J1035" i="3" s="1"/>
  <c r="I1035" i="3"/>
  <c r="H1036" i="3"/>
  <c r="J1036" i="3"/>
  <c r="I1036" i="3" s="1"/>
  <c r="H1037" i="3"/>
  <c r="J1037" i="3" s="1"/>
  <c r="I1037" i="3" s="1"/>
  <c r="H1038" i="3"/>
  <c r="J1038" i="3" s="1"/>
  <c r="I1038" i="3" s="1"/>
  <c r="H1039" i="3"/>
  <c r="J1039" i="3" s="1"/>
  <c r="I1039" i="3" s="1"/>
  <c r="M1039" i="3" s="1"/>
  <c r="H1040" i="3"/>
  <c r="J1040" i="3" s="1"/>
  <c r="I1040" i="3" s="1"/>
  <c r="H1041" i="3"/>
  <c r="J1041" i="3" s="1"/>
  <c r="I1041" i="3" s="1"/>
  <c r="L1041" i="3" s="1"/>
  <c r="H1042" i="3"/>
  <c r="J1042" i="3"/>
  <c r="I1042" i="3" s="1"/>
  <c r="H1043" i="3"/>
  <c r="J1043" i="3" s="1"/>
  <c r="I1043" i="3" s="1"/>
  <c r="H1044" i="3"/>
  <c r="J1044" i="3" s="1"/>
  <c r="I1044" i="3" s="1"/>
  <c r="L1044" i="3" s="1"/>
  <c r="H1045" i="3"/>
  <c r="J1045" i="3" s="1"/>
  <c r="I1045" i="3" s="1"/>
  <c r="H1046" i="3"/>
  <c r="J1046" i="3" s="1"/>
  <c r="I1046" i="3" s="1"/>
  <c r="H1047" i="3"/>
  <c r="J1047" i="3" s="1"/>
  <c r="I1047" i="3" s="1"/>
  <c r="M1047" i="3" s="1"/>
  <c r="H1048" i="3"/>
  <c r="J1048" i="3" s="1"/>
  <c r="I1048" i="3" s="1"/>
  <c r="H1049" i="3"/>
  <c r="J1049" i="3" s="1"/>
  <c r="I1049" i="3" s="1"/>
  <c r="H1050" i="3"/>
  <c r="J1050" i="3" s="1"/>
  <c r="I1050" i="3" s="1"/>
  <c r="H1051" i="3"/>
  <c r="J1051" i="3" s="1"/>
  <c r="I1051" i="3" s="1"/>
  <c r="L1051" i="3" s="1"/>
  <c r="H1052" i="3"/>
  <c r="J1052" i="3" s="1"/>
  <c r="I1052" i="3" s="1"/>
  <c r="L1052" i="3" s="1"/>
  <c r="H1053" i="3"/>
  <c r="J1053" i="3" s="1"/>
  <c r="I1053" i="3" s="1"/>
  <c r="L1053" i="3" s="1"/>
  <c r="H1054" i="3"/>
  <c r="J1054" i="3" s="1"/>
  <c r="I1054" i="3" s="1"/>
  <c r="H1055" i="3"/>
  <c r="J1055" i="3" s="1"/>
  <c r="I1055" i="3" s="1"/>
  <c r="M1055" i="3" s="1"/>
  <c r="H1056" i="3"/>
  <c r="J1056" i="3"/>
  <c r="I1056" i="3" s="1"/>
  <c r="H1057" i="3"/>
  <c r="J1057" i="3" s="1"/>
  <c r="I1057" i="3" s="1"/>
  <c r="H1058" i="3"/>
  <c r="J1058" i="3" s="1"/>
  <c r="I1058" i="3" s="1"/>
  <c r="L1058" i="3" s="1"/>
  <c r="H1059" i="3"/>
  <c r="J1059" i="3" s="1"/>
  <c r="I1059" i="3" s="1"/>
  <c r="H1060" i="3"/>
  <c r="J1060" i="3" s="1"/>
  <c r="I1060" i="3" s="1"/>
  <c r="H1061" i="3"/>
  <c r="J1061" i="3"/>
  <c r="I1061" i="3" s="1"/>
  <c r="M1061" i="3" s="1"/>
  <c r="H1062" i="3"/>
  <c r="J1062" i="3" s="1"/>
  <c r="I1062" i="3" s="1"/>
  <c r="H1063" i="3"/>
  <c r="J1063" i="3" s="1"/>
  <c r="I1063" i="3" s="1"/>
  <c r="L1063" i="3" s="1"/>
  <c r="H1064" i="3"/>
  <c r="J1064" i="3" s="1"/>
  <c r="I1064" i="3" s="1"/>
  <c r="H1065" i="3"/>
  <c r="J1065" i="3" s="1"/>
  <c r="I1065" i="3" s="1"/>
  <c r="L1065" i="3" s="1"/>
  <c r="H1066" i="3"/>
  <c r="J1066" i="3" s="1"/>
  <c r="I1066" i="3" s="1"/>
  <c r="L1066" i="3" s="1"/>
  <c r="H1067" i="3"/>
  <c r="J1067" i="3" s="1"/>
  <c r="I1067" i="3" s="1"/>
  <c r="H1068" i="3"/>
  <c r="J1068" i="3" s="1"/>
  <c r="I1068" i="3" s="1"/>
  <c r="H1069" i="3"/>
  <c r="J1069" i="3" s="1"/>
  <c r="I1069" i="3" s="1"/>
  <c r="L1069" i="3" s="1"/>
  <c r="H1070" i="3"/>
  <c r="J1070" i="3" s="1"/>
  <c r="I1070" i="3" s="1"/>
  <c r="M1070" i="3" s="1"/>
  <c r="H1071" i="3"/>
  <c r="J1071" i="3" s="1"/>
  <c r="I1071" i="3" s="1"/>
  <c r="H1072" i="3"/>
  <c r="J1072" i="3" s="1"/>
  <c r="I1072" i="3" s="1"/>
  <c r="H1073" i="3"/>
  <c r="J1073" i="3" s="1"/>
  <c r="I1073" i="3" s="1"/>
  <c r="H1074" i="3"/>
  <c r="J1074" i="3" s="1"/>
  <c r="I1074" i="3" s="1"/>
  <c r="H1075" i="3"/>
  <c r="J1075" i="3" s="1"/>
  <c r="I1075" i="3" s="1"/>
  <c r="L1075" i="3" s="1"/>
  <c r="H1076" i="3"/>
  <c r="J1076" i="3" s="1"/>
  <c r="I1076" i="3" s="1"/>
  <c r="H1077" i="3"/>
  <c r="J1077" i="3" s="1"/>
  <c r="I1077" i="3" s="1"/>
  <c r="L1077" i="3" s="1"/>
  <c r="H1078" i="3"/>
  <c r="J1078" i="3" s="1"/>
  <c r="I1078" i="3" s="1"/>
  <c r="H1079" i="3"/>
  <c r="J1079" i="3" s="1"/>
  <c r="I1079" i="3" s="1"/>
  <c r="H1080" i="3"/>
  <c r="J1080" i="3" s="1"/>
  <c r="I1080" i="3" s="1"/>
  <c r="L1080" i="3" s="1"/>
  <c r="H1081" i="3"/>
  <c r="J1081" i="3" s="1"/>
  <c r="I1081" i="3" s="1"/>
  <c r="H1082" i="3"/>
  <c r="J1082" i="3" s="1"/>
  <c r="I1082" i="3" s="1"/>
  <c r="H1083" i="3"/>
  <c r="J1083" i="3" s="1"/>
  <c r="I1083" i="3" s="1"/>
  <c r="M1083" i="3" s="1"/>
  <c r="H1084" i="3"/>
  <c r="J1084" i="3" s="1"/>
  <c r="I1084" i="3" s="1"/>
  <c r="H1085" i="3"/>
  <c r="J1085" i="3" s="1"/>
  <c r="I1085" i="3" s="1"/>
  <c r="H1086" i="3"/>
  <c r="J1086" i="3" s="1"/>
  <c r="I1086" i="3" s="1"/>
  <c r="H1087" i="3"/>
  <c r="J1087" i="3" s="1"/>
  <c r="I1087" i="3" s="1"/>
  <c r="L1087" i="3" s="1"/>
  <c r="H1088" i="3"/>
  <c r="J1088" i="3" s="1"/>
  <c r="I1088" i="3" s="1"/>
  <c r="L1088" i="3" s="1"/>
  <c r="H1089" i="3"/>
  <c r="J1089" i="3" s="1"/>
  <c r="I1089" i="3" s="1"/>
  <c r="L1089" i="3" s="1"/>
  <c r="H1090" i="3"/>
  <c r="J1090" i="3" s="1"/>
  <c r="I1090" i="3" s="1"/>
  <c r="H1091" i="3"/>
  <c r="J1091" i="3" s="1"/>
  <c r="I1091" i="3" s="1"/>
  <c r="M1091" i="3" s="1"/>
  <c r="H1092" i="3"/>
  <c r="J1092" i="3" s="1"/>
  <c r="I1092" i="3" s="1"/>
  <c r="H1093" i="3"/>
  <c r="J1093" i="3" s="1"/>
  <c r="I1093" i="3" s="1"/>
  <c r="H1094" i="3"/>
  <c r="J1094" i="3" s="1"/>
  <c r="I1094" i="3" s="1"/>
  <c r="M1094" i="3" s="1"/>
  <c r="H1095" i="3"/>
  <c r="J1095" i="3" s="1"/>
  <c r="I1095" i="3" s="1"/>
  <c r="H1096" i="3"/>
  <c r="J1096" i="3" s="1"/>
  <c r="I1096" i="3" s="1"/>
  <c r="H1097" i="3"/>
  <c r="J1097" i="3" s="1"/>
  <c r="I1097" i="3" s="1"/>
  <c r="L1097" i="3" s="1"/>
  <c r="H1098" i="3"/>
  <c r="J1098" i="3" s="1"/>
  <c r="I1098" i="3" s="1"/>
  <c r="H1099" i="3"/>
  <c r="J1099" i="3" s="1"/>
  <c r="I1099" i="3" s="1"/>
  <c r="L1099" i="3" s="1"/>
  <c r="H1100" i="3"/>
  <c r="J1100" i="3" s="1"/>
  <c r="I1100" i="3" s="1"/>
  <c r="H1101" i="3"/>
  <c r="J1101" i="3" s="1"/>
  <c r="I1101" i="3" s="1"/>
  <c r="L1101" i="3" s="1"/>
  <c r="H1102" i="3"/>
  <c r="J1102" i="3" s="1"/>
  <c r="I1102" i="3" s="1"/>
  <c r="L1102" i="3" s="1"/>
  <c r="H1103" i="3"/>
  <c r="J1103" i="3" s="1"/>
  <c r="I1103" i="3" s="1"/>
  <c r="H1104" i="3"/>
  <c r="J1104" i="3" s="1"/>
  <c r="I1104" i="3" s="1"/>
  <c r="H1105" i="3"/>
  <c r="J1105" i="3" s="1"/>
  <c r="I1105" i="3" s="1"/>
  <c r="L1105" i="3" s="1"/>
  <c r="H1106" i="3"/>
  <c r="J1106" i="3" s="1"/>
  <c r="I1106" i="3" s="1"/>
  <c r="L1106" i="3" s="1"/>
  <c r="H1107" i="3"/>
  <c r="J1107" i="3" s="1"/>
  <c r="I1107" i="3" s="1"/>
  <c r="H1108" i="3"/>
  <c r="J1108" i="3" s="1"/>
  <c r="I1108" i="3" s="1"/>
  <c r="H1109" i="3"/>
  <c r="J1109" i="3" s="1"/>
  <c r="I1109" i="3" s="1"/>
  <c r="H1110" i="3"/>
  <c r="J1110" i="3" s="1"/>
  <c r="I1110" i="3" s="1"/>
  <c r="H1111" i="3"/>
  <c r="J1111" i="3" s="1"/>
  <c r="I1111" i="3" s="1"/>
  <c r="M1111" i="3" s="1"/>
  <c r="H1112" i="3"/>
  <c r="J1112" i="3" s="1"/>
  <c r="I1112" i="3" s="1"/>
  <c r="H1113" i="3"/>
  <c r="J1113" i="3" s="1"/>
  <c r="I1113" i="3"/>
  <c r="L1113" i="3" s="1"/>
  <c r="H1114" i="3"/>
  <c r="J1114" i="3" s="1"/>
  <c r="I1114" i="3" s="1"/>
  <c r="H1115" i="3"/>
  <c r="J1115" i="3" s="1"/>
  <c r="I1115" i="3" s="1"/>
  <c r="H1116" i="3"/>
  <c r="J1116" i="3"/>
  <c r="I1116" i="3" s="1"/>
  <c r="M1116" i="3" s="1"/>
  <c r="H1117" i="3"/>
  <c r="J1117" i="3" s="1"/>
  <c r="I1117" i="3" s="1"/>
  <c r="H1118" i="3"/>
  <c r="J1118" i="3" s="1"/>
  <c r="I1118" i="3" s="1"/>
  <c r="H1119" i="3"/>
  <c r="J1119" i="3" s="1"/>
  <c r="I1119" i="3" s="1"/>
  <c r="L1119" i="3" s="1"/>
  <c r="H1120" i="3"/>
  <c r="J1120" i="3" s="1"/>
  <c r="I1120" i="3" s="1"/>
  <c r="H1121" i="3"/>
  <c r="J1121" i="3" s="1"/>
  <c r="I1121" i="3" s="1"/>
  <c r="H1122" i="3"/>
  <c r="J1122" i="3"/>
  <c r="I1122" i="3" s="1"/>
  <c r="H1123" i="3"/>
  <c r="J1123" i="3" s="1"/>
  <c r="I1123" i="3" s="1"/>
  <c r="M1123" i="3" s="1"/>
  <c r="H1124" i="3"/>
  <c r="J1124" i="3"/>
  <c r="I1124" i="3" s="1"/>
  <c r="L1124" i="3" s="1"/>
  <c r="H1125" i="3"/>
  <c r="J1125" i="3" s="1"/>
  <c r="I1125" i="3"/>
  <c r="L1125" i="3" s="1"/>
  <c r="H1126" i="3"/>
  <c r="J1126" i="3" s="1"/>
  <c r="I1126" i="3" s="1"/>
  <c r="H1127" i="3"/>
  <c r="J1127" i="3" s="1"/>
  <c r="I1127" i="3" s="1"/>
  <c r="M1127" i="3" s="1"/>
  <c r="H1128" i="3"/>
  <c r="J1128" i="3" s="1"/>
  <c r="I1128" i="3" s="1"/>
  <c r="H1129" i="3"/>
  <c r="J1129" i="3" s="1"/>
  <c r="I1129" i="3" s="1"/>
  <c r="H1130" i="3"/>
  <c r="J1130" i="3" s="1"/>
  <c r="I1130" i="3" s="1"/>
  <c r="M1130" i="3" s="1"/>
  <c r="H1131" i="3"/>
  <c r="J1131" i="3" s="1"/>
  <c r="I1131" i="3" s="1"/>
  <c r="H1132" i="3"/>
  <c r="J1132" i="3" s="1"/>
  <c r="I1132" i="3" s="1"/>
  <c r="H1133" i="3"/>
  <c r="J1133" i="3" s="1"/>
  <c r="I1133" i="3" s="1"/>
  <c r="M1133" i="3" s="1"/>
  <c r="H1134" i="3"/>
  <c r="J1134" i="3" s="1"/>
  <c r="I1134" i="3" s="1"/>
  <c r="H1135" i="3"/>
  <c r="J1135" i="3" s="1"/>
  <c r="I1135" i="3" s="1"/>
  <c r="L1135" i="3" s="1"/>
  <c r="H1136" i="3"/>
  <c r="J1136" i="3" s="1"/>
  <c r="I1136" i="3" s="1"/>
  <c r="H1137" i="3"/>
  <c r="J1137" i="3" s="1"/>
  <c r="I1137" i="3" s="1"/>
  <c r="L1137" i="3" s="1"/>
  <c r="H1138" i="3"/>
  <c r="J1138" i="3" s="1"/>
  <c r="I1138" i="3" s="1"/>
  <c r="L1138" i="3" s="1"/>
  <c r="H1139" i="3"/>
  <c r="J1139" i="3" s="1"/>
  <c r="I1139" i="3" s="1"/>
  <c r="H1140" i="3"/>
  <c r="J1140" i="3" s="1"/>
  <c r="I1140" i="3" s="1"/>
  <c r="H1141" i="3"/>
  <c r="J1141" i="3"/>
  <c r="I1141" i="3" s="1"/>
  <c r="M1141" i="3" s="1"/>
  <c r="H1142" i="3"/>
  <c r="J1142" i="3" s="1"/>
  <c r="I1142" i="3" s="1"/>
  <c r="L1142" i="3" s="1"/>
  <c r="H1143" i="3"/>
  <c r="J1143" i="3" s="1"/>
  <c r="I1143" i="3" s="1"/>
  <c r="H1144" i="3"/>
  <c r="J1144" i="3" s="1"/>
  <c r="I1144" i="3" s="1"/>
  <c r="H1145" i="3"/>
  <c r="J1145" i="3"/>
  <c r="I1145" i="3" s="1"/>
  <c r="H1146" i="3"/>
  <c r="J1146" i="3" s="1"/>
  <c r="I1146" i="3" s="1"/>
  <c r="H1147" i="3"/>
  <c r="J1147" i="3" s="1"/>
  <c r="I1147" i="3" s="1"/>
  <c r="L1147" i="3" s="1"/>
  <c r="H1148" i="3"/>
  <c r="J1148" i="3" s="1"/>
  <c r="I1148" i="3" s="1"/>
  <c r="H1149" i="3"/>
  <c r="J1149" i="3" s="1"/>
  <c r="I1149" i="3" s="1"/>
  <c r="L1149" i="3" s="1"/>
  <c r="H1150" i="3"/>
  <c r="J1150" i="3"/>
  <c r="I1150" i="3" s="1"/>
  <c r="H1151" i="3"/>
  <c r="J1151" i="3" s="1"/>
  <c r="I1151" i="3" s="1"/>
  <c r="H1152" i="3"/>
  <c r="J1152" i="3" s="1"/>
  <c r="I1152" i="3" s="1"/>
  <c r="L1152" i="3" s="1"/>
  <c r="H1153" i="3"/>
  <c r="J1153" i="3" s="1"/>
  <c r="I1153" i="3" s="1"/>
  <c r="H1154" i="3"/>
  <c r="J1154" i="3" s="1"/>
  <c r="I1154" i="3" s="1"/>
  <c r="H1155" i="3"/>
  <c r="J1155" i="3"/>
  <c r="I1155" i="3" s="1"/>
  <c r="M1155" i="3" s="1"/>
  <c r="H1156" i="3"/>
  <c r="J1156" i="3" s="1"/>
  <c r="I1156" i="3" s="1"/>
  <c r="H1157" i="3"/>
  <c r="J1157" i="3"/>
  <c r="I1157" i="3" s="1"/>
  <c r="L1157" i="3" s="1"/>
  <c r="H1158" i="3"/>
  <c r="J1158" i="3" s="1"/>
  <c r="I1158" i="3" s="1"/>
  <c r="H1159" i="3"/>
  <c r="J1159" i="3" s="1"/>
  <c r="I1159" i="3" s="1"/>
  <c r="H1160" i="3"/>
  <c r="J1160" i="3" s="1"/>
  <c r="I1160" i="3" s="1"/>
  <c r="L1160" i="3" s="1"/>
  <c r="H1161" i="3"/>
  <c r="J1161" i="3" s="1"/>
  <c r="I1161" i="3" s="1"/>
  <c r="H1162" i="3"/>
  <c r="J1162" i="3" s="1"/>
  <c r="I1162" i="3" s="1"/>
  <c r="M1162" i="3" s="1"/>
  <c r="H1163" i="3"/>
  <c r="J1163" i="3" s="1"/>
  <c r="I1163" i="3" s="1"/>
  <c r="H1164" i="3"/>
  <c r="J1164" i="3" s="1"/>
  <c r="I1164" i="3" s="1"/>
  <c r="H1165" i="3"/>
  <c r="J1165" i="3" s="1"/>
  <c r="I1165" i="3" s="1"/>
  <c r="H1166" i="3"/>
  <c r="J1166" i="3" s="1"/>
  <c r="I1166" i="3" s="1"/>
  <c r="H1167" i="3"/>
  <c r="J1167" i="3" s="1"/>
  <c r="I1167" i="3" s="1"/>
  <c r="L1167" i="3" s="1"/>
  <c r="H1168" i="3"/>
  <c r="J1168" i="3" s="1"/>
  <c r="I1168" i="3" s="1"/>
  <c r="H1169" i="3"/>
  <c r="J1169" i="3" s="1"/>
  <c r="I1169" i="3" s="1"/>
  <c r="L1169" i="3" s="1"/>
  <c r="H1170" i="3"/>
  <c r="J1170" i="3" s="1"/>
  <c r="I1170" i="3" s="1"/>
  <c r="H1171" i="3"/>
  <c r="J1171" i="3" s="1"/>
  <c r="I1171" i="3" s="1"/>
  <c r="H1172" i="3"/>
  <c r="J1172" i="3" s="1"/>
  <c r="I1172" i="3" s="1"/>
  <c r="H1173" i="3"/>
  <c r="J1173" i="3" s="1"/>
  <c r="I1173" i="3" s="1"/>
  <c r="H1174" i="3"/>
  <c r="J1174" i="3" s="1"/>
  <c r="I1174" i="3" s="1"/>
  <c r="L1174" i="3" s="1"/>
  <c r="H1175" i="3"/>
  <c r="J1175" i="3"/>
  <c r="I1175" i="3" s="1"/>
  <c r="H1176" i="3"/>
  <c r="J1176" i="3" s="1"/>
  <c r="I1176" i="3" s="1"/>
  <c r="H1177" i="3"/>
  <c r="J1177" i="3" s="1"/>
  <c r="I1177" i="3" s="1"/>
  <c r="H1178" i="3"/>
  <c r="J1178" i="3" s="1"/>
  <c r="I1178" i="3" s="1"/>
  <c r="H1179" i="3"/>
  <c r="J1179" i="3"/>
  <c r="I1179" i="3" s="1"/>
  <c r="M1179" i="3" s="1"/>
  <c r="H1180" i="3"/>
  <c r="J1180" i="3" s="1"/>
  <c r="I1180" i="3" s="1"/>
  <c r="H1181" i="3"/>
  <c r="J1181" i="3" s="1"/>
  <c r="I1181" i="3" s="1"/>
  <c r="L1181" i="3" s="1"/>
  <c r="H1182" i="3"/>
  <c r="J1182" i="3" s="1"/>
  <c r="I1182" i="3" s="1"/>
  <c r="H1183" i="3"/>
  <c r="J1183" i="3" s="1"/>
  <c r="I1183" i="3" s="1"/>
  <c r="H1184" i="3"/>
  <c r="J1184" i="3"/>
  <c r="I1184" i="3" s="1"/>
  <c r="H1185" i="3"/>
  <c r="J1185" i="3" s="1"/>
  <c r="I1185" i="3" s="1"/>
  <c r="H1186" i="3"/>
  <c r="J1186" i="3" s="1"/>
  <c r="I1186" i="3" s="1"/>
  <c r="M1186" i="3" s="1"/>
  <c r="H1187" i="3"/>
  <c r="J1187" i="3" s="1"/>
  <c r="I1187" i="3" s="1"/>
  <c r="H1188" i="3"/>
  <c r="J1188" i="3" s="1"/>
  <c r="I1188" i="3" s="1"/>
  <c r="H1189" i="3"/>
  <c r="J1189" i="3" s="1"/>
  <c r="I1189" i="3" s="1"/>
  <c r="H1190" i="3"/>
  <c r="J1190" i="3" s="1"/>
  <c r="I1190" i="3" s="1"/>
  <c r="H1191" i="3"/>
  <c r="J1191" i="3" s="1"/>
  <c r="I1191" i="3" s="1"/>
  <c r="M1191" i="3" s="1"/>
  <c r="H1192" i="3"/>
  <c r="J1192" i="3" s="1"/>
  <c r="I1192" i="3" s="1"/>
  <c r="H1193" i="3"/>
  <c r="J1193" i="3" s="1"/>
  <c r="I1193" i="3" s="1"/>
  <c r="L1193" i="3" s="1"/>
  <c r="H1194" i="3"/>
  <c r="J1194" i="3" s="1"/>
  <c r="I1194" i="3" s="1"/>
  <c r="H1195" i="3"/>
  <c r="J1195" i="3" s="1"/>
  <c r="I1195" i="3"/>
  <c r="H1196" i="3"/>
  <c r="J1196" i="3" s="1"/>
  <c r="I1196" i="3" s="1"/>
  <c r="H1197" i="3"/>
  <c r="J1197" i="3" s="1"/>
  <c r="I1197" i="3" s="1"/>
  <c r="H1198" i="3"/>
  <c r="J1198" i="3"/>
  <c r="I1198" i="3" s="1"/>
  <c r="L1198" i="3" s="1"/>
  <c r="H1199" i="3"/>
  <c r="J1199" i="3" s="1"/>
  <c r="I1199" i="3" s="1"/>
  <c r="H1200" i="3"/>
  <c r="J1200" i="3" s="1"/>
  <c r="I1200" i="3" s="1"/>
  <c r="H1201" i="3"/>
  <c r="J1201" i="3" s="1"/>
  <c r="I1201" i="3" s="1"/>
  <c r="H1202" i="3"/>
  <c r="J1202" i="3" s="1"/>
  <c r="I1202" i="3" s="1"/>
  <c r="H1203" i="3"/>
  <c r="J1203" i="3" s="1"/>
  <c r="I1203" i="3" s="1"/>
  <c r="H1204" i="3"/>
  <c r="J1204" i="3" s="1"/>
  <c r="I1204" i="3" s="1"/>
  <c r="H1205" i="3"/>
  <c r="J1205" i="3" s="1"/>
  <c r="I1205" i="3" s="1"/>
  <c r="L1205" i="3" s="1"/>
  <c r="H1206" i="3"/>
  <c r="J1206" i="3" s="1"/>
  <c r="I1206" i="3" s="1"/>
  <c r="H1207" i="3"/>
  <c r="J1207" i="3" s="1"/>
  <c r="I1207" i="3" s="1"/>
  <c r="H1208" i="3"/>
  <c r="J1208" i="3"/>
  <c r="I1208" i="3" s="1"/>
  <c r="H1209" i="3"/>
  <c r="J1209" i="3" s="1"/>
  <c r="I1209" i="3" s="1"/>
  <c r="H1210" i="3"/>
  <c r="J1210" i="3" s="1"/>
  <c r="I1210" i="3" s="1"/>
  <c r="L1210" i="3" s="1"/>
  <c r="H1211" i="3"/>
  <c r="J1211" i="3"/>
  <c r="I1211" i="3" s="1"/>
  <c r="H1212" i="3"/>
  <c r="J1212" i="3" s="1"/>
  <c r="I1212" i="3" s="1"/>
  <c r="L1212" i="3" s="1"/>
  <c r="H1213" i="3"/>
  <c r="J1213" i="3" s="1"/>
  <c r="I1213" i="3" s="1"/>
  <c r="H1214" i="3"/>
  <c r="J1214" i="3" s="1"/>
  <c r="I1214" i="3" s="1"/>
  <c r="H1215" i="3"/>
  <c r="J1215" i="3" s="1"/>
  <c r="I1215" i="3" s="1"/>
  <c r="H1216" i="3"/>
  <c r="J1216" i="3" s="1"/>
  <c r="I1216" i="3" s="1"/>
  <c r="H1217" i="3"/>
  <c r="J1217" i="3" s="1"/>
  <c r="I1217" i="3" s="1"/>
  <c r="L1217" i="3" s="1"/>
  <c r="H1218" i="3"/>
  <c r="J1218" i="3" s="1"/>
  <c r="I1218" i="3" s="1"/>
  <c r="H1219" i="3"/>
  <c r="J1219" i="3" s="1"/>
  <c r="I1219" i="3" s="1"/>
  <c r="H1220" i="3"/>
  <c r="J1220" i="3" s="1"/>
  <c r="I1220" i="3" s="1"/>
  <c r="H1221" i="3"/>
  <c r="J1221" i="3"/>
  <c r="I1221" i="3" s="1"/>
  <c r="H1222" i="3"/>
  <c r="J1222" i="3" s="1"/>
  <c r="I1222" i="3" s="1"/>
  <c r="L1222" i="3" s="1"/>
  <c r="H1223" i="3"/>
  <c r="J1223" i="3" s="1"/>
  <c r="I1223" i="3" s="1"/>
  <c r="H1224" i="3"/>
  <c r="J1224" i="3" s="1"/>
  <c r="I1224" i="3" s="1"/>
  <c r="L1224" i="3" s="1"/>
  <c r="H1225" i="3"/>
  <c r="J1225" i="3" s="1"/>
  <c r="I1225" i="3" s="1"/>
  <c r="H1226" i="3"/>
  <c r="J1226" i="3" s="1"/>
  <c r="I1226" i="3" s="1"/>
  <c r="H1227" i="3"/>
  <c r="J1227" i="3" s="1"/>
  <c r="I1227" i="3" s="1"/>
  <c r="H1228" i="3"/>
  <c r="J1228" i="3" s="1"/>
  <c r="I1228" i="3" s="1"/>
  <c r="H1229" i="3"/>
  <c r="J1229" i="3" s="1"/>
  <c r="I1229" i="3" s="1"/>
  <c r="L1229" i="3" s="1"/>
  <c r="H1230" i="3"/>
  <c r="J1230" i="3"/>
  <c r="I1230" i="3" s="1"/>
  <c r="H1231" i="3"/>
  <c r="J1231" i="3" s="1"/>
  <c r="I1231" i="3" s="1"/>
  <c r="H1232" i="3"/>
  <c r="J1232" i="3" s="1"/>
  <c r="I1232" i="3" s="1"/>
  <c r="H1233" i="3"/>
  <c r="J1233" i="3"/>
  <c r="I1233" i="3" s="1"/>
  <c r="H1234" i="3"/>
  <c r="J1234" i="3"/>
  <c r="I1234" i="3" s="1"/>
  <c r="L1234" i="3" s="1"/>
  <c r="H1235" i="3"/>
  <c r="J1235" i="3"/>
  <c r="I1235" i="3" s="1"/>
  <c r="H1236" i="3"/>
  <c r="J1236" i="3" s="1"/>
  <c r="I1236" i="3" s="1"/>
  <c r="L1236" i="3" s="1"/>
  <c r="H1237" i="3"/>
  <c r="J1237" i="3" s="1"/>
  <c r="I1237" i="3" s="1"/>
  <c r="H1238" i="3"/>
  <c r="J1238" i="3" s="1"/>
  <c r="I1238" i="3" s="1"/>
  <c r="H1239" i="3"/>
  <c r="J1239" i="3" s="1"/>
  <c r="I1239" i="3" s="1"/>
  <c r="H1240" i="3"/>
  <c r="J1240" i="3" s="1"/>
  <c r="I1240" i="3" s="1"/>
  <c r="H1241" i="3"/>
  <c r="J1241" i="3" s="1"/>
  <c r="I1241" i="3" s="1"/>
  <c r="M1241" i="3" s="1"/>
  <c r="H1242" i="3"/>
  <c r="J1242" i="3" s="1"/>
  <c r="I1242" i="3" s="1"/>
  <c r="H310" i="3"/>
  <c r="J310" i="3" s="1"/>
  <c r="I427" i="3" l="1"/>
  <c r="M427" i="3" s="1"/>
  <c r="I319" i="3"/>
  <c r="L319" i="3" s="1"/>
  <c r="P394" i="3"/>
  <c r="P358" i="3"/>
  <c r="P346" i="3"/>
  <c r="I386" i="3"/>
  <c r="L386" i="3" s="1"/>
  <c r="I367" i="3"/>
  <c r="M367" i="3" s="1"/>
  <c r="I493" i="3"/>
  <c r="M493" i="3" s="1"/>
  <c r="J341" i="3"/>
  <c r="I341" i="3" s="1"/>
  <c r="P314" i="3"/>
  <c r="I411" i="3"/>
  <c r="M411" i="3" s="1"/>
  <c r="P411" i="3"/>
  <c r="I383" i="3"/>
  <c r="L383" i="3" s="1"/>
  <c r="P383" i="3"/>
  <c r="I372" i="3"/>
  <c r="M372" i="3" s="1"/>
  <c r="P372" i="3"/>
  <c r="I331" i="3"/>
  <c r="L331" i="3" s="1"/>
  <c r="P331" i="3"/>
  <c r="I428" i="3"/>
  <c r="L428" i="3" s="1"/>
  <c r="P428" i="3"/>
  <c r="I419" i="3"/>
  <c r="L419" i="3" s="1"/>
  <c r="P419" i="3"/>
  <c r="I418" i="3"/>
  <c r="L418" i="3" s="1"/>
  <c r="P418" i="3"/>
  <c r="I381" i="3"/>
  <c r="L381" i="3" s="1"/>
  <c r="P381" i="3"/>
  <c r="I353" i="3"/>
  <c r="M353" i="3" s="1"/>
  <c r="P353" i="3"/>
  <c r="I436" i="3"/>
  <c r="L436" i="3" s="1"/>
  <c r="P436" i="3"/>
  <c r="I407" i="3"/>
  <c r="M407" i="3" s="1"/>
  <c r="P407" i="3"/>
  <c r="I398" i="3"/>
  <c r="M398" i="3" s="1"/>
  <c r="P398" i="3"/>
  <c r="I388" i="3"/>
  <c r="L388" i="3" s="1"/>
  <c r="P388" i="3"/>
  <c r="P352" i="3"/>
  <c r="I352" i="3"/>
  <c r="L352" i="3" s="1"/>
  <c r="P412" i="3"/>
  <c r="I412" i="3"/>
  <c r="L412" i="3" s="1"/>
  <c r="I425" i="3"/>
  <c r="M425" i="3" s="1"/>
  <c r="P425" i="3"/>
  <c r="I326" i="3"/>
  <c r="L326" i="3" s="1"/>
  <c r="P326" i="3"/>
  <c r="I430" i="3"/>
  <c r="L430" i="3" s="1"/>
  <c r="P430" i="3"/>
  <c r="I396" i="3"/>
  <c r="M396" i="3" s="1"/>
  <c r="P396" i="3"/>
  <c r="I360" i="3"/>
  <c r="L360" i="3" s="1"/>
  <c r="P360" i="3"/>
  <c r="I376" i="3"/>
  <c r="L376" i="3" s="1"/>
  <c r="P376" i="3"/>
  <c r="I324" i="3"/>
  <c r="L324" i="3" s="1"/>
  <c r="P324" i="3"/>
  <c r="I442" i="3"/>
  <c r="M442" i="3" s="1"/>
  <c r="P442" i="3"/>
  <c r="I432" i="3"/>
  <c r="L432" i="3" s="1"/>
  <c r="P432" i="3"/>
  <c r="I375" i="3"/>
  <c r="M375" i="3" s="1"/>
  <c r="P375" i="3"/>
  <c r="I332" i="3"/>
  <c r="L332" i="3" s="1"/>
  <c r="P332" i="3"/>
  <c r="I343" i="3"/>
  <c r="L343" i="3" s="1"/>
  <c r="P343" i="3"/>
  <c r="I335" i="3"/>
  <c r="M335" i="3" s="1"/>
  <c r="P335" i="3"/>
  <c r="I311" i="3"/>
  <c r="L311" i="3" s="1"/>
  <c r="I310" i="3"/>
  <c r="L310" i="3" s="1"/>
  <c r="P310" i="3"/>
  <c r="I395" i="3"/>
  <c r="M395" i="3" s="1"/>
  <c r="P395" i="3"/>
  <c r="I371" i="3"/>
  <c r="L371" i="3" s="1"/>
  <c r="P371" i="3"/>
  <c r="I364" i="3"/>
  <c r="L364" i="3" s="1"/>
  <c r="P364" i="3"/>
  <c r="I356" i="3"/>
  <c r="M356" i="3" s="1"/>
  <c r="P356" i="3"/>
  <c r="I350" i="3"/>
  <c r="L350" i="3" s="1"/>
  <c r="I327" i="3"/>
  <c r="L327" i="3" s="1"/>
  <c r="P327" i="3"/>
  <c r="P439" i="3"/>
  <c r="P390" i="3"/>
  <c r="P341" i="3"/>
  <c r="I379" i="3"/>
  <c r="M379" i="3" s="1"/>
  <c r="P379" i="3"/>
  <c r="I334" i="3"/>
  <c r="M334" i="3" s="1"/>
  <c r="P334" i="3"/>
  <c r="P434" i="3"/>
  <c r="P385" i="3"/>
  <c r="I441" i="3"/>
  <c r="M441" i="3" s="1"/>
  <c r="P441" i="3"/>
  <c r="I431" i="3"/>
  <c r="M431" i="3" s="1"/>
  <c r="P431" i="3"/>
  <c r="I424" i="3"/>
  <c r="L424" i="3" s="1"/>
  <c r="P424" i="3"/>
  <c r="I417" i="3"/>
  <c r="M417" i="3" s="1"/>
  <c r="P417" i="3"/>
  <c r="I410" i="3"/>
  <c r="L410" i="3" s="1"/>
  <c r="P410" i="3"/>
  <c r="I401" i="3"/>
  <c r="M401" i="3" s="1"/>
  <c r="P401" i="3"/>
  <c r="I363" i="3"/>
  <c r="M363" i="3" s="1"/>
  <c r="P363" i="3"/>
  <c r="I355" i="3"/>
  <c r="L355" i="3" s="1"/>
  <c r="P355" i="3"/>
  <c r="I317" i="3"/>
  <c r="L317" i="3" s="1"/>
  <c r="P382" i="3"/>
  <c r="P330" i="3"/>
  <c r="I440" i="3"/>
  <c r="M440" i="3" s="1"/>
  <c r="P440" i="3"/>
  <c r="I400" i="3"/>
  <c r="M400" i="3" s="1"/>
  <c r="P400" i="3"/>
  <c r="I393" i="3"/>
  <c r="L393" i="3" s="1"/>
  <c r="P393" i="3"/>
  <c r="I362" i="3"/>
  <c r="L362" i="3" s="1"/>
  <c r="P362" i="3"/>
  <c r="I348" i="3"/>
  <c r="L348" i="3" s="1"/>
  <c r="I340" i="3"/>
  <c r="L340" i="3" s="1"/>
  <c r="P340" i="3"/>
  <c r="I325" i="3"/>
  <c r="L325" i="3" s="1"/>
  <c r="P325" i="3"/>
  <c r="P426" i="3"/>
  <c r="P378" i="3"/>
  <c r="I365" i="3"/>
  <c r="M365" i="3" s="1"/>
  <c r="P365" i="3"/>
  <c r="I423" i="3"/>
  <c r="M423" i="3" s="1"/>
  <c r="P423" i="3"/>
  <c r="I416" i="3"/>
  <c r="L416" i="3" s="1"/>
  <c r="P416" i="3"/>
  <c r="I408" i="3"/>
  <c r="L408" i="3" s="1"/>
  <c r="P408" i="3"/>
  <c r="I392" i="3"/>
  <c r="M392" i="3" s="1"/>
  <c r="I316" i="3"/>
  <c r="L316" i="3" s="1"/>
  <c r="P316" i="3"/>
  <c r="P421" i="3"/>
  <c r="P373" i="3"/>
  <c r="I438" i="3"/>
  <c r="L438" i="3" s="1"/>
  <c r="P438" i="3"/>
  <c r="I422" i="3"/>
  <c r="L422" i="3" s="1"/>
  <c r="P422" i="3"/>
  <c r="I415" i="3"/>
  <c r="M415" i="3" s="1"/>
  <c r="P415" i="3"/>
  <c r="I399" i="3"/>
  <c r="M399" i="3" s="1"/>
  <c r="P399" i="3"/>
  <c r="I384" i="3"/>
  <c r="L384" i="3" s="1"/>
  <c r="P384" i="3"/>
  <c r="I368" i="3"/>
  <c r="L368" i="3" s="1"/>
  <c r="P368" i="3"/>
  <c r="I347" i="3"/>
  <c r="P347" i="3"/>
  <c r="I339" i="3"/>
  <c r="M339" i="3" s="1"/>
  <c r="P339" i="3"/>
  <c r="I315" i="3"/>
  <c r="M315" i="3" s="1"/>
  <c r="P315" i="3"/>
  <c r="P370" i="3"/>
  <c r="P318" i="3"/>
  <c r="I391" i="3"/>
  <c r="L391" i="3" s="1"/>
  <c r="P391" i="3"/>
  <c r="I323" i="3"/>
  <c r="L323" i="3" s="1"/>
  <c r="P323" i="3"/>
  <c r="P414" i="3"/>
  <c r="P366" i="3"/>
  <c r="I403" i="3"/>
  <c r="M403" i="3" s="1"/>
  <c r="P403" i="3"/>
  <c r="I322" i="3"/>
  <c r="L322" i="3" s="1"/>
  <c r="P322" i="3"/>
  <c r="P409" i="3"/>
  <c r="P361" i="3"/>
  <c r="I413" i="3"/>
  <c r="L413" i="3" s="1"/>
  <c r="P413" i="3"/>
  <c r="I389" i="3"/>
  <c r="L389" i="3" s="1"/>
  <c r="P389" i="3"/>
  <c r="I374" i="3"/>
  <c r="L374" i="3" s="1"/>
  <c r="P374" i="3"/>
  <c r="I359" i="3"/>
  <c r="L359" i="3" s="1"/>
  <c r="P359" i="3"/>
  <c r="I345" i="3"/>
  <c r="L345" i="3" s="1"/>
  <c r="P345" i="3"/>
  <c r="I313" i="3"/>
  <c r="L313" i="3" s="1"/>
  <c r="P313" i="3"/>
  <c r="P406" i="3"/>
  <c r="I357" i="3"/>
  <c r="M357" i="3" s="1"/>
  <c r="P357" i="3"/>
  <c r="I435" i="3"/>
  <c r="M435" i="3" s="1"/>
  <c r="P435" i="3"/>
  <c r="I420" i="3"/>
  <c r="L420" i="3" s="1"/>
  <c r="P420" i="3"/>
  <c r="I405" i="3"/>
  <c r="M405" i="3" s="1"/>
  <c r="P405" i="3"/>
  <c r="I351" i="3"/>
  <c r="M351" i="3" s="1"/>
  <c r="P351" i="3"/>
  <c r="I329" i="3"/>
  <c r="L329" i="3" s="1"/>
  <c r="P329" i="3"/>
  <c r="I312" i="3"/>
  <c r="L312" i="3" s="1"/>
  <c r="P402" i="3"/>
  <c r="P354" i="3"/>
  <c r="I404" i="3"/>
  <c r="L404" i="3" s="1"/>
  <c r="P404" i="3"/>
  <c r="I328" i="3"/>
  <c r="L328" i="3" s="1"/>
  <c r="P328" i="3"/>
  <c r="I320" i="3"/>
  <c r="L320" i="3" s="1"/>
  <c r="P397" i="3"/>
  <c r="P349" i="3"/>
  <c r="P429" i="3"/>
  <c r="P380" i="3"/>
  <c r="P344" i="3"/>
  <c r="P377" i="3"/>
  <c r="P437" i="3"/>
  <c r="P387" i="3"/>
  <c r="P342" i="3"/>
  <c r="P338" i="3"/>
  <c r="P337" i="3"/>
  <c r="I336" i="3"/>
  <c r="L336" i="3" s="1"/>
  <c r="P433" i="3"/>
  <c r="L633" i="3"/>
  <c r="L627" i="3"/>
  <c r="M782" i="3"/>
  <c r="L1241" i="3"/>
  <c r="M648" i="3"/>
  <c r="L931" i="3"/>
  <c r="M668" i="3"/>
  <c r="L621" i="3"/>
  <c r="L449" i="3"/>
  <c r="M775" i="3"/>
  <c r="M986" i="3"/>
  <c r="M998" i="3"/>
  <c r="L952" i="3"/>
  <c r="M584" i="3"/>
  <c r="M1077" i="3"/>
  <c r="L991" i="3"/>
  <c r="L804" i="3"/>
  <c r="L1130" i="3"/>
  <c r="M1063" i="3"/>
  <c r="L1155" i="3"/>
  <c r="M1193" i="3"/>
  <c r="L1141" i="3"/>
  <c r="M1088" i="3"/>
  <c r="L373" i="3"/>
  <c r="M373" i="3"/>
  <c r="L883" i="3"/>
  <c r="M876" i="3"/>
  <c r="M560" i="3"/>
  <c r="M457" i="3"/>
  <c r="L565" i="3"/>
  <c r="L840" i="3"/>
  <c r="M1217" i="3"/>
  <c r="M1198" i="3"/>
  <c r="M1222" i="3"/>
  <c r="M1135" i="3"/>
  <c r="L1015" i="3"/>
  <c r="M538" i="3"/>
  <c r="L378" i="3"/>
  <c r="M1124" i="3"/>
  <c r="L1039" i="3"/>
  <c r="L980" i="3"/>
  <c r="M930" i="3"/>
  <c r="M543" i="3"/>
  <c r="M454" i="3"/>
  <c r="L1083" i="3"/>
  <c r="L370" i="3"/>
  <c r="M358" i="3"/>
  <c r="L786" i="3"/>
  <c r="L637" i="3"/>
  <c r="L795" i="3"/>
  <c r="M559" i="3"/>
  <c r="L528" i="3"/>
  <c r="M463" i="3"/>
  <c r="M545" i="3"/>
  <c r="M533" i="3"/>
  <c r="L1047" i="3"/>
  <c r="L749" i="3"/>
  <c r="M737" i="3"/>
  <c r="M686" i="3"/>
  <c r="L1179" i="3"/>
  <c r="M698" i="3"/>
  <c r="M599" i="3"/>
  <c r="L864" i="3"/>
  <c r="L1033" i="3"/>
  <c r="L929" i="3"/>
  <c r="L691" i="3"/>
  <c r="L508" i="3"/>
  <c r="M1080" i="3"/>
  <c r="M1075" i="3"/>
  <c r="M1069" i="3"/>
  <c r="M1044" i="3"/>
  <c r="L1019" i="3"/>
  <c r="L994" i="3"/>
  <c r="M989" i="3"/>
  <c r="L964" i="3"/>
  <c r="L958" i="3"/>
  <c r="M890" i="3"/>
  <c r="L850" i="3"/>
  <c r="M574" i="3"/>
  <c r="L1094" i="3"/>
  <c r="M535" i="3"/>
  <c r="M1125" i="3"/>
  <c r="M1002" i="3"/>
  <c r="L895" i="3"/>
  <c r="M842" i="3"/>
  <c r="L484" i="3"/>
  <c r="L472" i="3"/>
  <c r="M1113" i="3"/>
  <c r="M1058" i="3"/>
  <c r="M1008" i="3"/>
  <c r="M817" i="3"/>
  <c r="L672" i="3"/>
  <c r="L630" i="3"/>
  <c r="M624" i="3"/>
  <c r="M618" i="3"/>
  <c r="L677" i="3"/>
  <c r="L639" i="3"/>
  <c r="L496" i="3"/>
  <c r="M888" i="3"/>
  <c r="M838" i="3"/>
  <c r="M799" i="3"/>
  <c r="M733" i="3"/>
  <c r="M727" i="3"/>
  <c r="M696" i="3"/>
  <c r="L602" i="3"/>
  <c r="M476" i="3"/>
  <c r="M1102" i="3"/>
  <c r="L1061" i="3"/>
  <c r="L1055" i="3"/>
  <c r="L1025" i="3"/>
  <c r="L936" i="3"/>
  <c r="M913" i="3"/>
  <c r="M855" i="3"/>
  <c r="M608" i="3"/>
  <c r="L544" i="3"/>
  <c r="L471" i="3"/>
  <c r="M547" i="3"/>
  <c r="M443" i="3"/>
  <c r="M342" i="3"/>
  <c r="L1186" i="3"/>
  <c r="L916" i="3"/>
  <c r="M699" i="3"/>
  <c r="L657" i="3"/>
  <c r="M650" i="3"/>
  <c r="M571" i="3"/>
  <c r="L469" i="3"/>
  <c r="L827" i="3"/>
  <c r="L802" i="3"/>
  <c r="L556" i="3"/>
  <c r="L504" i="3"/>
  <c r="M995" i="3"/>
  <c r="M962" i="3"/>
  <c r="M867" i="3"/>
  <c r="L1123" i="3"/>
  <c r="M1099" i="3"/>
  <c r="L915" i="3"/>
  <c r="M860" i="3"/>
  <c r="L1111" i="3"/>
  <c r="L1070" i="3"/>
  <c r="M1016" i="3"/>
  <c r="M999" i="3"/>
  <c r="L979" i="3"/>
  <c r="L972" i="3"/>
  <c r="L967" i="3"/>
  <c r="L932" i="3"/>
  <c r="M878" i="3"/>
  <c r="L811" i="3"/>
  <c r="M805" i="3"/>
  <c r="M769" i="3"/>
  <c r="M656" i="3"/>
  <c r="M638" i="3"/>
  <c r="L594" i="3"/>
  <c r="M588" i="3"/>
  <c r="M1003" i="3"/>
  <c r="M893" i="3"/>
  <c r="M870" i="3"/>
  <c r="M673" i="3"/>
  <c r="L589" i="3"/>
  <c r="M580" i="3"/>
  <c r="M575" i="3"/>
  <c r="M318" i="3"/>
  <c r="L984" i="3"/>
  <c r="L881" i="3"/>
  <c r="M678" i="3"/>
  <c r="L616" i="3"/>
  <c r="L514" i="3"/>
  <c r="M489" i="3"/>
  <c r="M467" i="3"/>
  <c r="M1210" i="3"/>
  <c r="M1205" i="3"/>
  <c r="M1152" i="3"/>
  <c r="M948" i="3"/>
  <c r="M834" i="3"/>
  <c r="M816" i="3"/>
  <c r="M681" i="3"/>
  <c r="M583" i="3"/>
  <c r="M524" i="3"/>
  <c r="M1181" i="3"/>
  <c r="L1162" i="3"/>
  <c r="M1157" i="3"/>
  <c r="M1065" i="3"/>
  <c r="M926" i="3"/>
  <c r="M794" i="3"/>
  <c r="L768" i="3"/>
  <c r="M734" i="3"/>
  <c r="L692" i="3"/>
  <c r="M640" i="3"/>
  <c r="M592" i="3"/>
  <c r="M512" i="3"/>
  <c r="L910" i="3"/>
  <c r="M814" i="3"/>
  <c r="L754" i="3"/>
  <c r="L591" i="3"/>
  <c r="M552" i="3"/>
  <c r="M537" i="3"/>
  <c r="M466" i="3"/>
  <c r="L387" i="3"/>
  <c r="L338" i="3"/>
  <c r="M1167" i="3"/>
  <c r="M1030" i="3"/>
  <c r="L977" i="3"/>
  <c r="L955" i="3"/>
  <c r="M939" i="3"/>
  <c r="M919" i="3"/>
  <c r="M845" i="3"/>
  <c r="M780" i="3"/>
  <c r="M647" i="3"/>
  <c r="L617" i="3"/>
  <c r="L557" i="3"/>
  <c r="L542" i="3"/>
  <c r="M480" i="3"/>
  <c r="M475" i="3"/>
  <c r="L1133" i="3"/>
  <c r="M1105" i="3"/>
  <c r="M1089" i="3"/>
  <c r="M1034" i="3"/>
  <c r="M1017" i="3"/>
  <c r="M949" i="3"/>
  <c r="M914" i="3"/>
  <c r="M835" i="3"/>
  <c r="M830" i="3"/>
  <c r="L807" i="3"/>
  <c r="L726" i="3"/>
  <c r="M680" i="3"/>
  <c r="L641" i="3"/>
  <c r="L561" i="3"/>
  <c r="M1236" i="3"/>
  <c r="L1116" i="3"/>
  <c r="M1029" i="3"/>
  <c r="L970" i="3"/>
  <c r="L954" i="3"/>
  <c r="L824" i="3"/>
  <c r="M774" i="3"/>
  <c r="M763" i="3"/>
  <c r="M758" i="3"/>
  <c r="L731" i="3"/>
  <c r="L695" i="3"/>
  <c r="M684" i="3"/>
  <c r="L605" i="3"/>
  <c r="L576" i="3"/>
  <c r="M572" i="3"/>
  <c r="L541" i="3"/>
  <c r="L510" i="3"/>
  <c r="L460" i="3"/>
  <c r="M1027" i="3"/>
  <c r="M1022" i="3"/>
  <c r="L937" i="3"/>
  <c r="L875" i="3"/>
  <c r="M715" i="3"/>
  <c r="M654" i="3"/>
  <c r="L601" i="3"/>
  <c r="M568" i="3"/>
  <c r="M540" i="3"/>
  <c r="M1224" i="3"/>
  <c r="M1149" i="3"/>
  <c r="M1138" i="3"/>
  <c r="M1052" i="3"/>
  <c r="M896" i="3"/>
  <c r="M854" i="3"/>
  <c r="L751" i="3"/>
  <c r="M689" i="3"/>
  <c r="M659" i="3"/>
  <c r="L649" i="3"/>
  <c r="M626" i="3"/>
  <c r="M577" i="3"/>
  <c r="M511" i="3"/>
  <c r="L478" i="3"/>
  <c r="M456" i="3"/>
  <c r="M1142" i="3"/>
  <c r="M1011" i="3"/>
  <c r="M951" i="3"/>
  <c r="M900" i="3"/>
  <c r="M828" i="3"/>
  <c r="M671" i="3"/>
  <c r="M488" i="3"/>
  <c r="M473" i="3"/>
  <c r="M1234" i="3"/>
  <c r="M1229" i="3"/>
  <c r="M1001" i="3"/>
  <c r="M787" i="3"/>
  <c r="M708" i="3"/>
  <c r="M586" i="3"/>
  <c r="M515" i="3"/>
  <c r="L1191" i="3"/>
  <c r="M1174" i="3"/>
  <c r="L1127" i="3"/>
  <c r="M1106" i="3"/>
  <c r="M1097" i="3"/>
  <c r="M1087" i="3"/>
  <c r="M1066" i="3"/>
  <c r="M1051" i="3"/>
  <c r="L907" i="3"/>
  <c r="L863" i="3"/>
  <c r="L847" i="3"/>
  <c r="M818" i="3"/>
  <c r="M792" i="3"/>
  <c r="M739" i="3"/>
  <c r="L719" i="3"/>
  <c r="M702" i="3"/>
  <c r="M674" i="3"/>
  <c r="M595" i="3"/>
  <c r="L562" i="3"/>
  <c r="L553" i="3"/>
  <c r="M529" i="3"/>
  <c r="L521" i="3"/>
  <c r="L464" i="3"/>
  <c r="L446" i="3"/>
  <c r="M354" i="3"/>
  <c r="M1212" i="3"/>
  <c r="M1137" i="3"/>
  <c r="L1091" i="3"/>
  <c r="M1041" i="3"/>
  <c r="M927" i="3"/>
  <c r="L857" i="3"/>
  <c r="L781" i="3"/>
  <c r="M770" i="3"/>
  <c r="L744" i="3"/>
  <c r="L682" i="3"/>
  <c r="L653" i="3"/>
  <c r="M609" i="3"/>
  <c r="M498" i="3"/>
  <c r="M385" i="3"/>
  <c r="M1211" i="3"/>
  <c r="L1211" i="3"/>
  <c r="L1190" i="3"/>
  <c r="M1190" i="3"/>
  <c r="M1126" i="3"/>
  <c r="L1126" i="3"/>
  <c r="M1045" i="3"/>
  <c r="L1045" i="3"/>
  <c r="L965" i="3"/>
  <c r="M965" i="3"/>
  <c r="L760" i="3"/>
  <c r="M760" i="3"/>
  <c r="M585" i="3"/>
  <c r="L585" i="3"/>
  <c r="M1136" i="3"/>
  <c r="L1136" i="3"/>
  <c r="M1050" i="3"/>
  <c r="L1050" i="3"/>
  <c r="M1040" i="3"/>
  <c r="L1040" i="3"/>
  <c r="M959" i="3"/>
  <c r="L959" i="3"/>
  <c r="M911" i="3"/>
  <c r="L911" i="3"/>
  <c r="L872" i="3"/>
  <c r="M872" i="3"/>
  <c r="L832" i="3"/>
  <c r="M832" i="3"/>
  <c r="L822" i="3"/>
  <c r="M822" i="3"/>
  <c r="M743" i="3"/>
  <c r="L743" i="3"/>
  <c r="L669" i="3"/>
  <c r="M669" i="3"/>
  <c r="L1232" i="3"/>
  <c r="M1232" i="3"/>
  <c r="M1199" i="3"/>
  <c r="L1199" i="3"/>
  <c r="L1095" i="3"/>
  <c r="M1095" i="3"/>
  <c r="M1014" i="3"/>
  <c r="L1014" i="3"/>
  <c r="L945" i="3"/>
  <c r="M945" i="3"/>
  <c r="L920" i="3"/>
  <c r="M920" i="3"/>
  <c r="L861" i="3"/>
  <c r="M861" i="3"/>
  <c r="M764" i="3"/>
  <c r="L764" i="3"/>
  <c r="L1242" i="3"/>
  <c r="M1242" i="3"/>
  <c r="M1151" i="3"/>
  <c r="L1151" i="3"/>
  <c r="L1120" i="3"/>
  <c r="M1120" i="3"/>
  <c r="M1054" i="3"/>
  <c r="L1054" i="3"/>
  <c r="L826" i="3"/>
  <c r="M826" i="3"/>
  <c r="M723" i="3"/>
  <c r="L723" i="3"/>
  <c r="L661" i="3"/>
  <c r="M661" i="3"/>
  <c r="M1215" i="3"/>
  <c r="L1215" i="3"/>
  <c r="M1109" i="3"/>
  <c r="L1109" i="3"/>
  <c r="L1023" i="3"/>
  <c r="M1023" i="3"/>
  <c r="M953" i="3"/>
  <c r="L953" i="3"/>
  <c r="L865" i="3"/>
  <c r="M865" i="3"/>
  <c r="L711" i="3"/>
  <c r="M711" i="3"/>
  <c r="L700" i="3"/>
  <c r="M700" i="3"/>
  <c r="L502" i="3"/>
  <c r="M502" i="3"/>
  <c r="M1225" i="3"/>
  <c r="L1225" i="3"/>
  <c r="L1230" i="3"/>
  <c r="M1230" i="3"/>
  <c r="L1204" i="3"/>
  <c r="M1204" i="3"/>
  <c r="L1073" i="3"/>
  <c r="M1073" i="3"/>
  <c r="M1192" i="3"/>
  <c r="L1192" i="3"/>
  <c r="L1143" i="3"/>
  <c r="M1143" i="3"/>
  <c r="M1078" i="3"/>
  <c r="L1078" i="3"/>
  <c r="L942" i="3"/>
  <c r="M942" i="3"/>
  <c r="L892" i="3"/>
  <c r="M892" i="3"/>
  <c r="M848" i="3"/>
  <c r="L848" i="3"/>
  <c r="L793" i="3"/>
  <c r="M793" i="3"/>
  <c r="L778" i="3"/>
  <c r="M778" i="3"/>
  <c r="M665" i="3"/>
  <c r="L665" i="3"/>
  <c r="L1240" i="3"/>
  <c r="M1240" i="3"/>
  <c r="M1203" i="3"/>
  <c r="L1203" i="3"/>
  <c r="M1180" i="3"/>
  <c r="L1180" i="3"/>
  <c r="L1117" i="3"/>
  <c r="M1117" i="3"/>
  <c r="M1092" i="3"/>
  <c r="L1092" i="3"/>
  <c r="L1072" i="3"/>
  <c r="M1072" i="3"/>
  <c r="M1067" i="3"/>
  <c r="L1067" i="3"/>
  <c r="L1062" i="3"/>
  <c r="M1062" i="3"/>
  <c r="M1042" i="3"/>
  <c r="L1042" i="3"/>
  <c r="L1032" i="3"/>
  <c r="M1032" i="3"/>
  <c r="M1006" i="3"/>
  <c r="L1006" i="3"/>
  <c r="M997" i="3"/>
  <c r="L997" i="3"/>
  <c r="L971" i="3"/>
  <c r="M971" i="3"/>
  <c r="M956" i="3"/>
  <c r="L956" i="3"/>
  <c r="M923" i="3"/>
  <c r="L923" i="3"/>
  <c r="L858" i="3"/>
  <c r="M858" i="3"/>
  <c r="M767" i="3"/>
  <c r="L767" i="3"/>
  <c r="L596" i="3"/>
  <c r="M596" i="3"/>
  <c r="M590" i="3"/>
  <c r="L590" i="3"/>
  <c r="M1185" i="3"/>
  <c r="L1185" i="3"/>
  <c r="L1122" i="3"/>
  <c r="M1122" i="3"/>
  <c r="L1020" i="3"/>
  <c r="M1020" i="3"/>
  <c r="M940" i="3"/>
  <c r="L940" i="3"/>
  <c r="L796" i="3"/>
  <c r="M796" i="3"/>
  <c r="M755" i="3"/>
  <c r="L755" i="3"/>
  <c r="L520" i="3"/>
  <c r="M520" i="3"/>
  <c r="L1238" i="3"/>
  <c r="M1238" i="3"/>
  <c r="L1201" i="3"/>
  <c r="M1201" i="3"/>
  <c r="L1184" i="3"/>
  <c r="M1184" i="3"/>
  <c r="L1131" i="3"/>
  <c r="M1131" i="3"/>
  <c r="M1000" i="3"/>
  <c r="L1000" i="3"/>
  <c r="M946" i="3"/>
  <c r="L946" i="3"/>
  <c r="M862" i="3"/>
  <c r="L862" i="3"/>
  <c r="M707" i="3"/>
  <c r="L707" i="3"/>
  <c r="M1173" i="3"/>
  <c r="L1173" i="3"/>
  <c r="M1090" i="3"/>
  <c r="L1090" i="3"/>
  <c r="M1009" i="3"/>
  <c r="L1009" i="3"/>
  <c r="L877" i="3"/>
  <c r="M877" i="3"/>
  <c r="L349" i="3"/>
  <c r="M349" i="3"/>
  <c r="L1216" i="3"/>
  <c r="M1216" i="3"/>
  <c r="L1189" i="3"/>
  <c r="M1189" i="3"/>
  <c r="L1178" i="3"/>
  <c r="M1178" i="3"/>
  <c r="M1161" i="3"/>
  <c r="L1161" i="3"/>
  <c r="L1064" i="3"/>
  <c r="M1064" i="3"/>
  <c r="M990" i="3"/>
  <c r="L990" i="3"/>
  <c r="L882" i="3"/>
  <c r="M882" i="3"/>
  <c r="L831" i="3"/>
  <c r="M831" i="3"/>
  <c r="L810" i="3"/>
  <c r="M810" i="3"/>
  <c r="L759" i="3"/>
  <c r="M759" i="3"/>
  <c r="M1221" i="3"/>
  <c r="L1221" i="3"/>
  <c r="L1145" i="3"/>
  <c r="M1145" i="3"/>
  <c r="L790" i="3"/>
  <c r="M790" i="3"/>
  <c r="L1182" i="3"/>
  <c r="M1182" i="3"/>
  <c r="L1114" i="3"/>
  <c r="M1114" i="3"/>
  <c r="M1018" i="3"/>
  <c r="L1018" i="3"/>
  <c r="M934" i="3"/>
  <c r="L934" i="3"/>
  <c r="L447" i="3"/>
  <c r="M447" i="3"/>
  <c r="L1187" i="3"/>
  <c r="M1187" i="3"/>
  <c r="L1144" i="3"/>
  <c r="M1144" i="3"/>
  <c r="L1108" i="3"/>
  <c r="M1108" i="3"/>
  <c r="L1084" i="3"/>
  <c r="M1084" i="3"/>
  <c r="L1028" i="3"/>
  <c r="M1028" i="3"/>
  <c r="L844" i="3"/>
  <c r="M844" i="3"/>
  <c r="M747" i="3"/>
  <c r="L747" i="3"/>
  <c r="L1235" i="3"/>
  <c r="M1235" i="3"/>
  <c r="M1209" i="3"/>
  <c r="L1209" i="3"/>
  <c r="L1165" i="3"/>
  <c r="M1165" i="3"/>
  <c r="M1103" i="3"/>
  <c r="L1103" i="3"/>
  <c r="L1068" i="3"/>
  <c r="M1068" i="3"/>
  <c r="L1012" i="3"/>
  <c r="M1012" i="3"/>
  <c r="M978" i="3"/>
  <c r="L978" i="3"/>
  <c r="L933" i="3"/>
  <c r="M933" i="3"/>
  <c r="M887" i="3"/>
  <c r="L887" i="3"/>
  <c r="L788" i="3"/>
  <c r="M788" i="3"/>
  <c r="L622" i="3"/>
  <c r="M622" i="3"/>
  <c r="L1170" i="3"/>
  <c r="M1170" i="3"/>
  <c r="M1098" i="3"/>
  <c r="L1098" i="3"/>
  <c r="M1037" i="3"/>
  <c r="L1037" i="3"/>
  <c r="M908" i="3"/>
  <c r="L908" i="3"/>
  <c r="L808" i="3"/>
  <c r="M808" i="3"/>
  <c r="L740" i="3"/>
  <c r="M740" i="3"/>
  <c r="M694" i="3"/>
  <c r="L694" i="3"/>
  <c r="L645" i="3"/>
  <c r="M645" i="3"/>
  <c r="L1036" i="3"/>
  <c r="M1036" i="3"/>
  <c r="M987" i="3"/>
  <c r="L987" i="3"/>
  <c r="L981" i="3"/>
  <c r="M981" i="3"/>
  <c r="L961" i="3"/>
  <c r="M961" i="3"/>
  <c r="M928" i="3"/>
  <c r="L928" i="3"/>
  <c r="L917" i="3"/>
  <c r="M917" i="3"/>
  <c r="L891" i="3"/>
  <c r="M891" i="3"/>
  <c r="L885" i="3"/>
  <c r="M885" i="3"/>
  <c r="L879" i="3"/>
  <c r="M879" i="3"/>
  <c r="L658" i="3"/>
  <c r="M658" i="3"/>
  <c r="M631" i="3"/>
  <c r="L631" i="3"/>
  <c r="L582" i="3"/>
  <c r="M582" i="3"/>
  <c r="M573" i="3"/>
  <c r="L573" i="3"/>
  <c r="L1228" i="3"/>
  <c r="M1228" i="3"/>
  <c r="L1168" i="3"/>
  <c r="M1168" i="3"/>
  <c r="M1076" i="3"/>
  <c r="L1076" i="3"/>
  <c r="L635" i="3"/>
  <c r="M635" i="3"/>
  <c r="L459" i="3"/>
  <c r="M459" i="3"/>
  <c r="M1233" i="3"/>
  <c r="L1233" i="3"/>
  <c r="L1206" i="3"/>
  <c r="M1206" i="3"/>
  <c r="M1081" i="3"/>
  <c r="L1081" i="3"/>
  <c r="M975" i="3"/>
  <c r="L975" i="3"/>
  <c r="L921" i="3"/>
  <c r="M921" i="3"/>
  <c r="M1227" i="3"/>
  <c r="L1227" i="3"/>
  <c r="M1100" i="3"/>
  <c r="L1100" i="3"/>
  <c r="M1086" i="3"/>
  <c r="L1086" i="3"/>
  <c r="L894" i="3"/>
  <c r="M894" i="3"/>
  <c r="M851" i="3"/>
  <c r="L851" i="3"/>
  <c r="M738" i="3"/>
  <c r="L738" i="3"/>
  <c r="M1237" i="3"/>
  <c r="L1237" i="3"/>
  <c r="L1194" i="3"/>
  <c r="M1194" i="3"/>
  <c r="M1156" i="3"/>
  <c r="L1156" i="3"/>
  <c r="M1115" i="3"/>
  <c r="L1115" i="3"/>
  <c r="L904" i="3"/>
  <c r="M904" i="3"/>
  <c r="L1226" i="3"/>
  <c r="M1226" i="3"/>
  <c r="M1172" i="3"/>
  <c r="L1172" i="3"/>
  <c r="L1140" i="3"/>
  <c r="M1140" i="3"/>
  <c r="L1059" i="3"/>
  <c r="M1059" i="3"/>
  <c r="M898" i="3"/>
  <c r="L898" i="3"/>
  <c r="L785" i="3"/>
  <c r="M785" i="3"/>
  <c r="M685" i="3"/>
  <c r="L685" i="3"/>
  <c r="L551" i="3"/>
  <c r="M551" i="3"/>
  <c r="L1177" i="3"/>
  <c r="M1177" i="3"/>
  <c r="L1104" i="3"/>
  <c r="M1104" i="3"/>
  <c r="L1220" i="3"/>
  <c r="M1220" i="3"/>
  <c r="L1166" i="3"/>
  <c r="M1166" i="3"/>
  <c r="L1150" i="3"/>
  <c r="M1150" i="3"/>
  <c r="M1139" i="3"/>
  <c r="L1139" i="3"/>
  <c r="M1079" i="3"/>
  <c r="L1079" i="3"/>
  <c r="L1048" i="3"/>
  <c r="M1048" i="3"/>
  <c r="M968" i="3"/>
  <c r="L968" i="3"/>
  <c r="L752" i="3"/>
  <c r="M752" i="3"/>
  <c r="L704" i="3"/>
  <c r="M704" i="3"/>
  <c r="L660" i="3"/>
  <c r="M660" i="3"/>
  <c r="L531" i="3"/>
  <c r="M531" i="3"/>
  <c r="L1214" i="3"/>
  <c r="M1214" i="3"/>
  <c r="L1134" i="3"/>
  <c r="M1134" i="3"/>
  <c r="M1043" i="3"/>
  <c r="L1043" i="3"/>
  <c r="M983" i="3"/>
  <c r="L983" i="3"/>
  <c r="L901" i="3"/>
  <c r="M901" i="3"/>
  <c r="M829" i="3"/>
  <c r="L829" i="3"/>
  <c r="L527" i="3"/>
  <c r="M527" i="3"/>
  <c r="L1175" i="3"/>
  <c r="M1175" i="3"/>
  <c r="L1128" i="3"/>
  <c r="M1128" i="3"/>
  <c r="L993" i="3"/>
  <c r="M993" i="3"/>
  <c r="M918" i="3"/>
  <c r="L918" i="3"/>
  <c r="L819" i="3"/>
  <c r="M819" i="3"/>
  <c r="L1213" i="3"/>
  <c r="M1213" i="3"/>
  <c r="M1208" i="3"/>
  <c r="L1208" i="3"/>
  <c r="M1197" i="3"/>
  <c r="L1197" i="3"/>
  <c r="M1223" i="3"/>
  <c r="L1223" i="3"/>
  <c r="L1218" i="3"/>
  <c r="M1218" i="3"/>
  <c r="M1163" i="3"/>
  <c r="L1163" i="3"/>
  <c r="M1158" i="3"/>
  <c r="L1158" i="3"/>
  <c r="L1153" i="3"/>
  <c r="M1153" i="3"/>
  <c r="M1112" i="3"/>
  <c r="L1112" i="3"/>
  <c r="M1239" i="3"/>
  <c r="L1239" i="3"/>
  <c r="L1202" i="3"/>
  <c r="M1202" i="3"/>
  <c r="L1196" i="3"/>
  <c r="M1196" i="3"/>
  <c r="M1148" i="3"/>
  <c r="L1148" i="3"/>
  <c r="M1056" i="3"/>
  <c r="L1056" i="3"/>
  <c r="M1031" i="3"/>
  <c r="L1031" i="3"/>
  <c r="L1026" i="3"/>
  <c r="M1026" i="3"/>
  <c r="L1005" i="3"/>
  <c r="M1005" i="3"/>
  <c r="M884" i="3"/>
  <c r="L884" i="3"/>
  <c r="M874" i="3"/>
  <c r="L874" i="3"/>
  <c r="L868" i="3"/>
  <c r="M868" i="3"/>
  <c r="M841" i="3"/>
  <c r="L841" i="3"/>
  <c r="L766" i="3"/>
  <c r="M766" i="3"/>
  <c r="M735" i="3"/>
  <c r="L735" i="3"/>
  <c r="L697" i="3"/>
  <c r="M697" i="3"/>
  <c r="L688" i="3"/>
  <c r="M688" i="3"/>
  <c r="M600" i="3"/>
  <c r="L600" i="3"/>
  <c r="M581" i="3"/>
  <c r="L581" i="3"/>
  <c r="L539" i="3"/>
  <c r="M539" i="3"/>
  <c r="L1129" i="3"/>
  <c r="M1129" i="3"/>
  <c r="L1035" i="3"/>
  <c r="M1035" i="3"/>
  <c r="L869" i="3"/>
  <c r="M869" i="3"/>
  <c r="L709" i="3"/>
  <c r="M709" i="3"/>
  <c r="L607" i="3"/>
  <c r="M607" i="3"/>
  <c r="L525" i="3"/>
  <c r="M525" i="3"/>
  <c r="M505" i="3"/>
  <c r="L505" i="3"/>
  <c r="L1010" i="3"/>
  <c r="M1010" i="3"/>
  <c r="L789" i="3"/>
  <c r="M789" i="3"/>
  <c r="L732" i="3"/>
  <c r="M732" i="3"/>
  <c r="L366" i="3"/>
  <c r="M366" i="3"/>
  <c r="L1159" i="3"/>
  <c r="M1159" i="3"/>
  <c r="L772" i="3"/>
  <c r="M772" i="3"/>
  <c r="L679" i="3"/>
  <c r="M679" i="3"/>
  <c r="M652" i="3"/>
  <c r="L652" i="3"/>
  <c r="L1132" i="3"/>
  <c r="M1132" i="3"/>
  <c r="L483" i="3"/>
  <c r="M483" i="3"/>
  <c r="M437" i="3"/>
  <c r="L437" i="3"/>
  <c r="M548" i="3"/>
  <c r="L548" i="3"/>
  <c r="L409" i="3"/>
  <c r="M409" i="3"/>
  <c r="M902" i="3"/>
  <c r="L871" i="3"/>
  <c r="L750" i="3"/>
  <c r="M750" i="3"/>
  <c r="M745" i="3"/>
  <c r="L745" i="3"/>
  <c r="M730" i="3"/>
  <c r="L720" i="3"/>
  <c r="L690" i="3"/>
  <c r="L664" i="3"/>
  <c r="M664" i="3"/>
  <c r="M655" i="3"/>
  <c r="L655" i="3"/>
  <c r="L619" i="3"/>
  <c r="M619" i="3"/>
  <c r="L614" i="3"/>
  <c r="M614" i="3"/>
  <c r="L587" i="3"/>
  <c r="L558" i="3"/>
  <c r="M558" i="3"/>
  <c r="L530" i="3"/>
  <c r="L513" i="3"/>
  <c r="M513" i="3"/>
  <c r="M497" i="3"/>
  <c r="L492" i="3"/>
  <c r="M492" i="3"/>
  <c r="L468" i="3"/>
  <c r="L450" i="3"/>
  <c r="L429" i="3"/>
  <c r="M429" i="3"/>
  <c r="M346" i="3"/>
  <c r="L346" i="3"/>
  <c r="M1074" i="3"/>
  <c r="L1074" i="3"/>
  <c r="L718" i="3"/>
  <c r="M718" i="3"/>
  <c r="L950" i="3"/>
  <c r="M950" i="3"/>
  <c r="L606" i="3"/>
  <c r="M606" i="3"/>
  <c r="M564" i="3"/>
  <c r="L564" i="3"/>
  <c r="L1146" i="3"/>
  <c r="M1146" i="3"/>
  <c r="L598" i="3"/>
  <c r="M598" i="3"/>
  <c r="M406" i="3"/>
  <c r="L406" i="3"/>
  <c r="L1038" i="3"/>
  <c r="M1038" i="3"/>
  <c r="M536" i="3"/>
  <c r="L536" i="3"/>
  <c r="L519" i="3"/>
  <c r="M519" i="3"/>
  <c r="L1107" i="3"/>
  <c r="M1107" i="3"/>
  <c r="L1013" i="3"/>
  <c r="M1013" i="3"/>
  <c r="L741" i="3"/>
  <c r="M741" i="3"/>
  <c r="L634" i="3"/>
  <c r="M634" i="3"/>
  <c r="L451" i="3"/>
  <c r="M451" i="3"/>
  <c r="L337" i="3"/>
  <c r="M337" i="3"/>
  <c r="L1164" i="3"/>
  <c r="M1164" i="3"/>
  <c r="L1082" i="3"/>
  <c r="M1082" i="3"/>
  <c r="L646" i="3"/>
  <c r="M646" i="3"/>
  <c r="L455" i="3"/>
  <c r="M455" i="3"/>
  <c r="L321" i="3"/>
  <c r="M321" i="3"/>
  <c r="L925" i="3"/>
  <c r="M925" i="3"/>
  <c r="L762" i="3"/>
  <c r="M762" i="3"/>
  <c r="L729" i="3"/>
  <c r="M729" i="3"/>
  <c r="L706" i="3"/>
  <c r="M706" i="3"/>
  <c r="L534" i="3"/>
  <c r="M534" i="3"/>
  <c r="L516" i="3"/>
  <c r="M516" i="3"/>
  <c r="M1160" i="3"/>
  <c r="L1071" i="3"/>
  <c r="M1071" i="3"/>
  <c r="L1057" i="3"/>
  <c r="M1057" i="3"/>
  <c r="L974" i="3"/>
  <c r="M974" i="3"/>
  <c r="M906" i="3"/>
  <c r="L906" i="3"/>
  <c r="L837" i="3"/>
  <c r="M837" i="3"/>
  <c r="M791" i="3"/>
  <c r="L791" i="3"/>
  <c r="L628" i="3"/>
  <c r="M628" i="3"/>
  <c r="L613" i="3"/>
  <c r="M613" i="3"/>
  <c r="L578" i="3"/>
  <c r="M578" i="3"/>
  <c r="L507" i="3"/>
  <c r="M507" i="3"/>
  <c r="L1060" i="3"/>
  <c r="M1060" i="3"/>
  <c r="L821" i="3"/>
  <c r="M821" i="3"/>
  <c r="M612" i="3"/>
  <c r="L612" i="3"/>
  <c r="M494" i="3"/>
  <c r="L494" i="3"/>
  <c r="L479" i="3"/>
  <c r="M479" i="3"/>
  <c r="M988" i="3"/>
  <c r="L988" i="3"/>
  <c r="L935" i="3"/>
  <c r="M935" i="3"/>
  <c r="L889" i="3"/>
  <c r="M889" i="3"/>
  <c r="L852" i="3"/>
  <c r="M852" i="3"/>
  <c r="M444" i="3"/>
  <c r="L444" i="3"/>
  <c r="M976" i="3"/>
  <c r="L976" i="3"/>
  <c r="L912" i="3"/>
  <c r="M912" i="3"/>
  <c r="L880" i="3"/>
  <c r="M880" i="3"/>
  <c r="M843" i="3"/>
  <c r="L843" i="3"/>
  <c r="M776" i="3"/>
  <c r="L776" i="3"/>
  <c r="L703" i="3"/>
  <c r="M703" i="3"/>
  <c r="M554" i="3"/>
  <c r="L554" i="3"/>
  <c r="L452" i="3"/>
  <c r="M452" i="3"/>
  <c r="M899" i="3"/>
  <c r="L899" i="3"/>
  <c r="M815" i="3"/>
  <c r="L815" i="3"/>
  <c r="L801" i="3"/>
  <c r="M801" i="3"/>
  <c r="L716" i="3"/>
  <c r="M716" i="3"/>
  <c r="M651" i="3"/>
  <c r="L651" i="3"/>
  <c r="L509" i="3"/>
  <c r="M509" i="3"/>
  <c r="L1121" i="3"/>
  <c r="M1121" i="3"/>
  <c r="L1093" i="3"/>
  <c r="M1093" i="3"/>
  <c r="M903" i="3"/>
  <c r="L903" i="3"/>
  <c r="L800" i="3"/>
  <c r="M800" i="3"/>
  <c r="M1110" i="3"/>
  <c r="L1110" i="3"/>
  <c r="M779" i="3"/>
  <c r="L779" i="3"/>
  <c r="M603" i="3"/>
  <c r="L603" i="3"/>
  <c r="L566" i="3"/>
  <c r="M566" i="3"/>
  <c r="L517" i="3"/>
  <c r="M517" i="3"/>
  <c r="L481" i="3"/>
  <c r="M481" i="3"/>
  <c r="L1231" i="3"/>
  <c r="M1231" i="3"/>
  <c r="L1219" i="3"/>
  <c r="M1219" i="3"/>
  <c r="M982" i="3"/>
  <c r="L982" i="3"/>
  <c r="L725" i="3"/>
  <c r="M725" i="3"/>
  <c r="L434" i="3"/>
  <c r="M434" i="3"/>
  <c r="L1176" i="3"/>
  <c r="M1176" i="3"/>
  <c r="M1119" i="3"/>
  <c r="L1046" i="3"/>
  <c r="M1046" i="3"/>
  <c r="L996" i="3"/>
  <c r="M996" i="3"/>
  <c r="M992" i="3"/>
  <c r="L985" i="3"/>
  <c r="M985" i="3"/>
  <c r="M973" i="3"/>
  <c r="M943" i="3"/>
  <c r="L924" i="3"/>
  <c r="M924" i="3"/>
  <c r="M905" i="3"/>
  <c r="L897" i="3"/>
  <c r="M897" i="3"/>
  <c r="M886" i="3"/>
  <c r="L886" i="3"/>
  <c r="L849" i="3"/>
  <c r="M849" i="3"/>
  <c r="L825" i="3"/>
  <c r="M825" i="3"/>
  <c r="L812" i="3"/>
  <c r="M812" i="3"/>
  <c r="M803" i="3"/>
  <c r="L803" i="3"/>
  <c r="M773" i="3"/>
  <c r="L757" i="3"/>
  <c r="M757" i="3"/>
  <c r="L728" i="3"/>
  <c r="M728" i="3"/>
  <c r="L724" i="3"/>
  <c r="M724" i="3"/>
  <c r="M714" i="3"/>
  <c r="L705" i="3"/>
  <c r="M705" i="3"/>
  <c r="M701" i="3"/>
  <c r="L693" i="3"/>
  <c r="M693" i="3"/>
  <c r="L662" i="3"/>
  <c r="M662" i="3"/>
  <c r="L570" i="3"/>
  <c r="M570" i="3"/>
  <c r="L1021" i="3"/>
  <c r="M1021" i="3"/>
  <c r="L756" i="3"/>
  <c r="M756" i="3"/>
  <c r="L439" i="3"/>
  <c r="M439" i="3"/>
  <c r="L421" i="3"/>
  <c r="M421" i="3"/>
  <c r="M1200" i="3"/>
  <c r="L1200" i="3"/>
  <c r="L1049" i="3"/>
  <c r="M1049" i="3"/>
  <c r="L969" i="3"/>
  <c r="M969" i="3"/>
  <c r="L909" i="3"/>
  <c r="M909" i="3"/>
  <c r="L675" i="3"/>
  <c r="M675" i="3"/>
  <c r="L314" i="3"/>
  <c r="M314" i="3"/>
  <c r="L1118" i="3"/>
  <c r="M1118" i="3"/>
  <c r="M839" i="3"/>
  <c r="L839" i="3"/>
  <c r="L820" i="3"/>
  <c r="M820" i="3"/>
  <c r="M713" i="3"/>
  <c r="L713" i="3"/>
  <c r="L499" i="3"/>
  <c r="M499" i="3"/>
  <c r="M474" i="3"/>
  <c r="L474" i="3"/>
  <c r="L1024" i="3"/>
  <c r="M1024" i="3"/>
  <c r="L957" i="3"/>
  <c r="M957" i="3"/>
  <c r="L856" i="3"/>
  <c r="M856" i="3"/>
  <c r="L771" i="3"/>
  <c r="M771" i="3"/>
  <c r="L687" i="3"/>
  <c r="M687" i="3"/>
  <c r="M642" i="3"/>
  <c r="L642" i="3"/>
  <c r="L625" i="3"/>
  <c r="M625" i="3"/>
  <c r="L549" i="3"/>
  <c r="M549" i="3"/>
  <c r="L1171" i="3"/>
  <c r="M1171" i="3"/>
  <c r="L806" i="3"/>
  <c r="M806" i="3"/>
  <c r="L712" i="3"/>
  <c r="M712" i="3"/>
  <c r="L597" i="3"/>
  <c r="M597" i="3"/>
  <c r="M482" i="3"/>
  <c r="L482" i="3"/>
  <c r="L1183" i="3"/>
  <c r="M1183" i="3"/>
  <c r="M846" i="3"/>
  <c r="L846" i="3"/>
  <c r="L487" i="3"/>
  <c r="M487" i="3"/>
  <c r="L1207" i="3"/>
  <c r="M1207" i="3"/>
  <c r="L1195" i="3"/>
  <c r="M1195" i="3"/>
  <c r="L1096" i="3"/>
  <c r="M1096" i="3"/>
  <c r="M1004" i="3"/>
  <c r="L1004" i="3"/>
  <c r="L963" i="3"/>
  <c r="M963" i="3"/>
  <c r="L1154" i="3"/>
  <c r="M1154" i="3"/>
  <c r="M1147" i="3"/>
  <c r="L1085" i="3"/>
  <c r="M1085" i="3"/>
  <c r="L1188" i="3"/>
  <c r="M1188" i="3"/>
  <c r="M1169" i="3"/>
  <c r="M1101" i="3"/>
  <c r="M1053" i="3"/>
  <c r="L1007" i="3"/>
  <c r="M1007" i="3"/>
  <c r="L947" i="3"/>
  <c r="M947" i="3"/>
  <c r="L853" i="3"/>
  <c r="M853" i="3"/>
  <c r="L798" i="3"/>
  <c r="L761" i="3"/>
  <c r="M761" i="3"/>
  <c r="L748" i="3"/>
  <c r="M748" i="3"/>
  <c r="L666" i="3"/>
  <c r="L569" i="3"/>
  <c r="M506" i="3"/>
  <c r="L506" i="3"/>
  <c r="L495" i="3"/>
  <c r="M495" i="3"/>
  <c r="L784" i="3"/>
  <c r="M784" i="3"/>
  <c r="L722" i="3"/>
  <c r="M722" i="3"/>
  <c r="L611" i="3"/>
  <c r="M611" i="3"/>
  <c r="M579" i="3"/>
  <c r="L579" i="3"/>
  <c r="L382" i="3"/>
  <c r="M382" i="3"/>
  <c r="L369" i="3"/>
  <c r="M369" i="3"/>
  <c r="L330" i="3"/>
  <c r="M330" i="3"/>
  <c r="L523" i="3"/>
  <c r="M523" i="3"/>
  <c r="M966" i="3"/>
  <c r="L960" i="3"/>
  <c r="M960" i="3"/>
  <c r="M944" i="3"/>
  <c r="M941" i="3"/>
  <c r="M922" i="3"/>
  <c r="M836" i="3"/>
  <c r="M833" i="3"/>
  <c r="M823" i="3"/>
  <c r="L797" i="3"/>
  <c r="M746" i="3"/>
  <c r="M742" i="3"/>
  <c r="L736" i="3"/>
  <c r="M736" i="3"/>
  <c r="M721" i="3"/>
  <c r="M710" i="3"/>
  <c r="L676" i="3"/>
  <c r="M676" i="3"/>
  <c r="L663" i="3"/>
  <c r="L644" i="3"/>
  <c r="M644" i="3"/>
  <c r="L632" i="3"/>
  <c r="M632" i="3"/>
  <c r="L567" i="3"/>
  <c r="M550" i="3"/>
  <c r="L546" i="3"/>
  <c r="M546" i="3"/>
  <c r="M522" i="3"/>
  <c r="L501" i="3"/>
  <c r="L490" i="3"/>
  <c r="M563" i="3"/>
  <c r="L563" i="3"/>
  <c r="L491" i="3"/>
  <c r="M491" i="3"/>
  <c r="L938" i="3"/>
  <c r="M938" i="3"/>
  <c r="M866" i="3"/>
  <c r="L859" i="3"/>
  <c r="L813" i="3"/>
  <c r="M813" i="3"/>
  <c r="L809" i="3"/>
  <c r="M809" i="3"/>
  <c r="M783" i="3"/>
  <c r="L683" i="3"/>
  <c r="M683" i="3"/>
  <c r="L643" i="3"/>
  <c r="L636" i="3"/>
  <c r="M636" i="3"/>
  <c r="M610" i="3"/>
  <c r="L532" i="3"/>
  <c r="L470" i="3"/>
  <c r="L462" i="3"/>
  <c r="M462" i="3"/>
  <c r="L453" i="3"/>
  <c r="L873" i="3"/>
  <c r="M873" i="3"/>
  <c r="L717" i="3"/>
  <c r="M717" i="3"/>
  <c r="M518" i="3"/>
  <c r="L518" i="3"/>
  <c r="L753" i="3"/>
  <c r="M753" i="3"/>
  <c r="L667" i="3"/>
  <c r="M667" i="3"/>
  <c r="M593" i="3"/>
  <c r="L593" i="3"/>
  <c r="L477" i="3"/>
  <c r="M477" i="3"/>
  <c r="L620" i="3"/>
  <c r="M620" i="3"/>
  <c r="M485" i="3"/>
  <c r="L485" i="3"/>
  <c r="M458" i="3"/>
  <c r="L458" i="3"/>
  <c r="L377" i="3"/>
  <c r="M377" i="3"/>
  <c r="L777" i="3"/>
  <c r="M777" i="3"/>
  <c r="L670" i="3"/>
  <c r="M670" i="3"/>
  <c r="M623" i="3"/>
  <c r="L623" i="3"/>
  <c r="M615" i="3"/>
  <c r="L615" i="3"/>
  <c r="L604" i="3"/>
  <c r="M604" i="3"/>
  <c r="L461" i="3"/>
  <c r="M461" i="3"/>
  <c r="L344" i="3"/>
  <c r="M344" i="3"/>
  <c r="L333" i="3"/>
  <c r="M333" i="3"/>
  <c r="L765" i="3"/>
  <c r="M765" i="3"/>
  <c r="L402" i="3"/>
  <c r="M402" i="3"/>
  <c r="M465" i="3"/>
  <c r="L465" i="3"/>
  <c r="L397" i="3"/>
  <c r="M397" i="3"/>
  <c r="L380" i="3"/>
  <c r="M380" i="3"/>
  <c r="L555" i="3"/>
  <c r="M555" i="3"/>
  <c r="M500" i="3"/>
  <c r="L500" i="3"/>
  <c r="L486" i="3"/>
  <c r="M486" i="3"/>
  <c r="L629" i="3"/>
  <c r="L448" i="3"/>
  <c r="L503" i="3"/>
  <c r="M503" i="3"/>
  <c r="L445" i="3"/>
  <c r="M445" i="3"/>
  <c r="L526" i="3"/>
  <c r="M433" i="3"/>
  <c r="M426" i="3"/>
  <c r="M414" i="3"/>
  <c r="M394" i="3"/>
  <c r="M390" i="3"/>
  <c r="M361" i="3"/>
  <c r="J50" i="3"/>
  <c r="J51" i="3"/>
  <c r="P51" i="3" s="1"/>
  <c r="J111" i="3"/>
  <c r="P111" i="3" s="1"/>
  <c r="H3" i="3"/>
  <c r="J3" i="3" s="1"/>
  <c r="H4" i="3"/>
  <c r="J4" i="3" s="1"/>
  <c r="H5" i="3"/>
  <c r="J5" i="3" s="1"/>
  <c r="H6" i="3"/>
  <c r="J6" i="3" s="1"/>
  <c r="H7" i="3"/>
  <c r="J7" i="3" s="1"/>
  <c r="H8" i="3"/>
  <c r="J8" i="3" s="1"/>
  <c r="I8" i="3" s="1"/>
  <c r="L8" i="3" s="1"/>
  <c r="H9" i="3"/>
  <c r="J9" i="3" s="1"/>
  <c r="H10" i="3"/>
  <c r="J10" i="3" s="1"/>
  <c r="I10" i="3" s="1"/>
  <c r="L10" i="3" s="1"/>
  <c r="H11" i="3"/>
  <c r="J11" i="3" s="1"/>
  <c r="H12" i="3"/>
  <c r="J12" i="3" s="1"/>
  <c r="P12" i="3" s="1"/>
  <c r="H13" i="3"/>
  <c r="J13" i="3" s="1"/>
  <c r="H14" i="3"/>
  <c r="J14" i="3" s="1"/>
  <c r="P14" i="3" s="1"/>
  <c r="H15" i="3"/>
  <c r="J15" i="3" s="1"/>
  <c r="P15" i="3" s="1"/>
  <c r="H16" i="3"/>
  <c r="J16" i="3" s="1"/>
  <c r="P16" i="3" s="1"/>
  <c r="H17" i="3"/>
  <c r="J17" i="3" s="1"/>
  <c r="P17" i="3" s="1"/>
  <c r="H18" i="3"/>
  <c r="J18" i="3" s="1"/>
  <c r="P18" i="3" s="1"/>
  <c r="H19" i="3"/>
  <c r="J19" i="3" s="1"/>
  <c r="P19" i="3" s="1"/>
  <c r="H20" i="3"/>
  <c r="J20" i="3" s="1"/>
  <c r="P20" i="3" s="1"/>
  <c r="H21" i="3"/>
  <c r="J21" i="3" s="1"/>
  <c r="P21" i="3" s="1"/>
  <c r="H22" i="3"/>
  <c r="J22" i="3" s="1"/>
  <c r="P22" i="3" s="1"/>
  <c r="H23" i="3"/>
  <c r="J23" i="3" s="1"/>
  <c r="P23" i="3" s="1"/>
  <c r="H24" i="3"/>
  <c r="J24" i="3" s="1"/>
  <c r="P24" i="3" s="1"/>
  <c r="H25" i="3"/>
  <c r="J25" i="3" s="1"/>
  <c r="P25" i="3" s="1"/>
  <c r="H26" i="3"/>
  <c r="J26" i="3" s="1"/>
  <c r="P26" i="3" s="1"/>
  <c r="H27" i="3"/>
  <c r="J27" i="3" s="1"/>
  <c r="P27" i="3" s="1"/>
  <c r="H28" i="3"/>
  <c r="J28" i="3" s="1"/>
  <c r="P28" i="3" s="1"/>
  <c r="H29" i="3"/>
  <c r="J29" i="3" s="1"/>
  <c r="P29" i="3" s="1"/>
  <c r="H30" i="3"/>
  <c r="J30" i="3" s="1"/>
  <c r="P30" i="3" s="1"/>
  <c r="H31" i="3"/>
  <c r="J31" i="3" s="1"/>
  <c r="P31" i="3" s="1"/>
  <c r="H32" i="3"/>
  <c r="J32" i="3" s="1"/>
  <c r="P32" i="3" s="1"/>
  <c r="H33" i="3"/>
  <c r="J33" i="3" s="1"/>
  <c r="P33" i="3" s="1"/>
  <c r="H34" i="3"/>
  <c r="J34" i="3" s="1"/>
  <c r="P34" i="3" s="1"/>
  <c r="H35" i="3"/>
  <c r="J35" i="3" s="1"/>
  <c r="P35" i="3" s="1"/>
  <c r="H36" i="3"/>
  <c r="J36" i="3" s="1"/>
  <c r="P36" i="3" s="1"/>
  <c r="H37" i="3"/>
  <c r="J37" i="3" s="1"/>
  <c r="P37" i="3" s="1"/>
  <c r="H38" i="3"/>
  <c r="J38" i="3" s="1"/>
  <c r="P38" i="3" s="1"/>
  <c r="H39" i="3"/>
  <c r="J39" i="3" s="1"/>
  <c r="P39" i="3" s="1"/>
  <c r="H40" i="3"/>
  <c r="J40" i="3" s="1"/>
  <c r="H41" i="3"/>
  <c r="J41" i="3" s="1"/>
  <c r="P41" i="3" s="1"/>
  <c r="H42" i="3"/>
  <c r="J42" i="3" s="1"/>
  <c r="P42" i="3" s="1"/>
  <c r="H43" i="3"/>
  <c r="J43" i="3" s="1"/>
  <c r="P43" i="3" s="1"/>
  <c r="H44" i="3"/>
  <c r="J44" i="3" s="1"/>
  <c r="P44" i="3" s="1"/>
  <c r="H45" i="3"/>
  <c r="J45" i="3" s="1"/>
  <c r="P45" i="3" s="1"/>
  <c r="H46" i="3"/>
  <c r="J46" i="3" s="1"/>
  <c r="P46" i="3" s="1"/>
  <c r="H47" i="3"/>
  <c r="J47" i="3" s="1"/>
  <c r="P47" i="3" s="1"/>
  <c r="H48" i="3"/>
  <c r="J48" i="3" s="1"/>
  <c r="H49" i="3"/>
  <c r="J49" i="3" s="1"/>
  <c r="P49" i="3" s="1"/>
  <c r="H50" i="3"/>
  <c r="H51" i="3"/>
  <c r="H52" i="3"/>
  <c r="J52" i="3" s="1"/>
  <c r="H53" i="3"/>
  <c r="J53" i="3" s="1"/>
  <c r="H54" i="3"/>
  <c r="J54" i="3" s="1"/>
  <c r="H55" i="3"/>
  <c r="J55" i="3" s="1"/>
  <c r="H56" i="3"/>
  <c r="J56" i="3" s="1"/>
  <c r="H57" i="3"/>
  <c r="J57" i="3" s="1"/>
  <c r="P57" i="3" s="1"/>
  <c r="H58" i="3"/>
  <c r="J58" i="3" s="1"/>
  <c r="H59" i="3"/>
  <c r="J59" i="3" s="1"/>
  <c r="P59" i="3" s="1"/>
  <c r="H60" i="3"/>
  <c r="J60" i="3" s="1"/>
  <c r="P60" i="3" s="1"/>
  <c r="H61" i="3"/>
  <c r="J61" i="3" s="1"/>
  <c r="P61" i="3" s="1"/>
  <c r="H62" i="3"/>
  <c r="J62" i="3" s="1"/>
  <c r="P62" i="3" s="1"/>
  <c r="H63" i="3"/>
  <c r="J63" i="3" s="1"/>
  <c r="P63" i="3" s="1"/>
  <c r="H64" i="3"/>
  <c r="J64" i="3" s="1"/>
  <c r="P64" i="3" s="1"/>
  <c r="H65" i="3"/>
  <c r="J65" i="3" s="1"/>
  <c r="P65" i="3" s="1"/>
  <c r="H66" i="3"/>
  <c r="J66" i="3" s="1"/>
  <c r="P66" i="3" s="1"/>
  <c r="H67" i="3"/>
  <c r="J67" i="3" s="1"/>
  <c r="P67" i="3" s="1"/>
  <c r="H68" i="3"/>
  <c r="J68" i="3" s="1"/>
  <c r="P68" i="3" s="1"/>
  <c r="H69" i="3"/>
  <c r="J69" i="3" s="1"/>
  <c r="P69" i="3" s="1"/>
  <c r="H70" i="3"/>
  <c r="J70" i="3" s="1"/>
  <c r="H71" i="3"/>
  <c r="J71" i="3" s="1"/>
  <c r="P71" i="3" s="1"/>
  <c r="H72" i="3"/>
  <c r="J72" i="3" s="1"/>
  <c r="P72" i="3" s="1"/>
  <c r="H73" i="3"/>
  <c r="J73" i="3" s="1"/>
  <c r="P73" i="3" s="1"/>
  <c r="H74" i="3"/>
  <c r="J74" i="3" s="1"/>
  <c r="P74" i="3" s="1"/>
  <c r="H75" i="3"/>
  <c r="J75" i="3" s="1"/>
  <c r="H76" i="3"/>
  <c r="J76" i="3" s="1"/>
  <c r="P76" i="3" s="1"/>
  <c r="H77" i="3"/>
  <c r="J77" i="3" s="1"/>
  <c r="P77" i="3" s="1"/>
  <c r="H78" i="3"/>
  <c r="J78" i="3" s="1"/>
  <c r="P78" i="3" s="1"/>
  <c r="H79" i="3"/>
  <c r="J79" i="3" s="1"/>
  <c r="P79" i="3" s="1"/>
  <c r="H80" i="3"/>
  <c r="J80" i="3" s="1"/>
  <c r="H81" i="3"/>
  <c r="J81" i="3" s="1"/>
  <c r="P81" i="3" s="1"/>
  <c r="H82" i="3"/>
  <c r="J82" i="3" s="1"/>
  <c r="P82" i="3" s="1"/>
  <c r="H83" i="3"/>
  <c r="J83" i="3" s="1"/>
  <c r="P83" i="3" s="1"/>
  <c r="H84" i="3"/>
  <c r="J84" i="3" s="1"/>
  <c r="H85" i="3"/>
  <c r="J85" i="3" s="1"/>
  <c r="P85" i="3" s="1"/>
  <c r="H86" i="3"/>
  <c r="J86" i="3" s="1"/>
  <c r="P86" i="3" s="1"/>
  <c r="H87" i="3"/>
  <c r="J87" i="3" s="1"/>
  <c r="P87" i="3" s="1"/>
  <c r="H88" i="3"/>
  <c r="J88" i="3" s="1"/>
  <c r="P88" i="3" s="1"/>
  <c r="H89" i="3"/>
  <c r="J89" i="3" s="1"/>
  <c r="P89" i="3" s="1"/>
  <c r="H90" i="3"/>
  <c r="J90" i="3" s="1"/>
  <c r="H91" i="3"/>
  <c r="J91" i="3" s="1"/>
  <c r="H92" i="3"/>
  <c r="J92" i="3" s="1"/>
  <c r="P92" i="3" s="1"/>
  <c r="H93" i="3"/>
  <c r="J93" i="3" s="1"/>
  <c r="H94" i="3"/>
  <c r="J94" i="3" s="1"/>
  <c r="P94" i="3" s="1"/>
  <c r="H95" i="3"/>
  <c r="J95" i="3" s="1"/>
  <c r="H96" i="3"/>
  <c r="J96" i="3" s="1"/>
  <c r="H97" i="3"/>
  <c r="J97" i="3" s="1"/>
  <c r="P97" i="3" s="1"/>
  <c r="H98" i="3"/>
  <c r="J98" i="3" s="1"/>
  <c r="H99" i="3"/>
  <c r="J99" i="3" s="1"/>
  <c r="P99" i="3" s="1"/>
  <c r="H100" i="3"/>
  <c r="J100" i="3" s="1"/>
  <c r="P100" i="3" s="1"/>
  <c r="H101" i="3"/>
  <c r="J101" i="3" s="1"/>
  <c r="H102" i="3"/>
  <c r="J102" i="3" s="1"/>
  <c r="H103" i="3"/>
  <c r="J103" i="3" s="1"/>
  <c r="H104" i="3"/>
  <c r="J104" i="3" s="1"/>
  <c r="H105" i="3"/>
  <c r="J105" i="3" s="1"/>
  <c r="H106" i="3"/>
  <c r="J106" i="3" s="1"/>
  <c r="H107" i="3"/>
  <c r="J107" i="3" s="1"/>
  <c r="P107" i="3" s="1"/>
  <c r="H108" i="3"/>
  <c r="J108" i="3" s="1"/>
  <c r="P108" i="3" s="1"/>
  <c r="H109" i="3"/>
  <c r="J109" i="3" s="1"/>
  <c r="H110" i="3"/>
  <c r="J110" i="3" s="1"/>
  <c r="P110" i="3" s="1"/>
  <c r="H111" i="3"/>
  <c r="H112" i="3"/>
  <c r="J112" i="3" s="1"/>
  <c r="H113" i="3"/>
  <c r="J113" i="3" s="1"/>
  <c r="P113" i="3" s="1"/>
  <c r="H114" i="3"/>
  <c r="J114" i="3" s="1"/>
  <c r="H115" i="3"/>
  <c r="J115" i="3" s="1"/>
  <c r="P115" i="3" s="1"/>
  <c r="H116" i="3"/>
  <c r="J116" i="3" s="1"/>
  <c r="H117" i="3"/>
  <c r="J117" i="3" s="1"/>
  <c r="P117" i="3" s="1"/>
  <c r="H118" i="3"/>
  <c r="J118" i="3" s="1"/>
  <c r="P118" i="3" s="1"/>
  <c r="H119" i="3"/>
  <c r="J119" i="3" s="1"/>
  <c r="H120" i="3"/>
  <c r="J120" i="3" s="1"/>
  <c r="H121" i="3"/>
  <c r="J121" i="3" s="1"/>
  <c r="H122" i="3"/>
  <c r="J122" i="3" s="1"/>
  <c r="H123" i="3"/>
  <c r="J123" i="3" s="1"/>
  <c r="P123" i="3" s="1"/>
  <c r="H124" i="3"/>
  <c r="J124" i="3" s="1"/>
  <c r="P124" i="3" s="1"/>
  <c r="H125" i="3"/>
  <c r="J125" i="3" s="1"/>
  <c r="P125" i="3" s="1"/>
  <c r="H126" i="3"/>
  <c r="J126" i="3" s="1"/>
  <c r="H127" i="3"/>
  <c r="J127" i="3" s="1"/>
  <c r="H128" i="3"/>
  <c r="J128" i="3" s="1"/>
  <c r="H129" i="3"/>
  <c r="J129" i="3" s="1"/>
  <c r="H130" i="3"/>
  <c r="J130" i="3" s="1"/>
  <c r="H131" i="3"/>
  <c r="J131" i="3" s="1"/>
  <c r="P131" i="3" s="1"/>
  <c r="H132" i="3"/>
  <c r="J132" i="3" s="1"/>
  <c r="P132" i="3" s="1"/>
  <c r="H133" i="3"/>
  <c r="J133" i="3" s="1"/>
  <c r="H134" i="3"/>
  <c r="J134" i="3" s="1"/>
  <c r="P134" i="3" s="1"/>
  <c r="H135" i="3"/>
  <c r="J135" i="3" s="1"/>
  <c r="P135" i="3" s="1"/>
  <c r="H136" i="3"/>
  <c r="J136" i="3" s="1"/>
  <c r="H137" i="3"/>
  <c r="J137" i="3" s="1"/>
  <c r="P137" i="3" s="1"/>
  <c r="H138" i="3"/>
  <c r="J138" i="3" s="1"/>
  <c r="P138" i="3" s="1"/>
  <c r="H139" i="3"/>
  <c r="J139" i="3" s="1"/>
  <c r="P139" i="3" s="1"/>
  <c r="H140" i="3"/>
  <c r="J140" i="3" s="1"/>
  <c r="P140" i="3" s="1"/>
  <c r="H141" i="3"/>
  <c r="J141" i="3" s="1"/>
  <c r="P141" i="3" s="1"/>
  <c r="H142" i="3"/>
  <c r="J142" i="3" s="1"/>
  <c r="H143" i="3"/>
  <c r="J143" i="3" s="1"/>
  <c r="P143" i="3" s="1"/>
  <c r="H144" i="3"/>
  <c r="J144" i="3" s="1"/>
  <c r="H145" i="3"/>
  <c r="J145" i="3" s="1"/>
  <c r="H146" i="3"/>
  <c r="J146" i="3" s="1"/>
  <c r="P146" i="3" s="1"/>
  <c r="H147" i="3"/>
  <c r="J147" i="3" s="1"/>
  <c r="P147" i="3" s="1"/>
  <c r="H148" i="3"/>
  <c r="J148" i="3" s="1"/>
  <c r="P148" i="3" s="1"/>
  <c r="H149" i="3"/>
  <c r="J149" i="3" s="1"/>
  <c r="P149" i="3" s="1"/>
  <c r="H150" i="3"/>
  <c r="J150" i="3" s="1"/>
  <c r="P150" i="3" s="1"/>
  <c r="H151" i="3"/>
  <c r="J151" i="3" s="1"/>
  <c r="P151" i="3" s="1"/>
  <c r="H152" i="3"/>
  <c r="J152" i="3" s="1"/>
  <c r="H153" i="3"/>
  <c r="J153" i="3" s="1"/>
  <c r="P153" i="3" s="1"/>
  <c r="H154" i="3"/>
  <c r="J154" i="3" s="1"/>
  <c r="H155" i="3"/>
  <c r="J155" i="3" s="1"/>
  <c r="P155" i="3" s="1"/>
  <c r="H156" i="3"/>
  <c r="J156" i="3" s="1"/>
  <c r="P156" i="3" s="1"/>
  <c r="H157" i="3"/>
  <c r="J157" i="3" s="1"/>
  <c r="P157" i="3" s="1"/>
  <c r="H158" i="3"/>
  <c r="J158" i="3" s="1"/>
  <c r="P158" i="3" s="1"/>
  <c r="H159" i="3"/>
  <c r="J159" i="3" s="1"/>
  <c r="P159" i="3" s="1"/>
  <c r="H160" i="3"/>
  <c r="J160" i="3" s="1"/>
  <c r="P160" i="3" s="1"/>
  <c r="H161" i="3"/>
  <c r="J161" i="3" s="1"/>
  <c r="P161" i="3" s="1"/>
  <c r="H162" i="3"/>
  <c r="J162" i="3" s="1"/>
  <c r="H163" i="3"/>
  <c r="J163" i="3" s="1"/>
  <c r="P163" i="3" s="1"/>
  <c r="H164" i="3"/>
  <c r="J164" i="3" s="1"/>
  <c r="P164" i="3" s="1"/>
  <c r="H165" i="3"/>
  <c r="J165" i="3" s="1"/>
  <c r="H166" i="3"/>
  <c r="J166" i="3" s="1"/>
  <c r="H167" i="3"/>
  <c r="J167" i="3" s="1"/>
  <c r="P167" i="3" s="1"/>
  <c r="H168" i="3"/>
  <c r="J168" i="3" s="1"/>
  <c r="H169" i="3"/>
  <c r="J169" i="3" s="1"/>
  <c r="H170" i="3"/>
  <c r="J170" i="3" s="1"/>
  <c r="H171" i="3"/>
  <c r="J171" i="3" s="1"/>
  <c r="H172" i="3"/>
  <c r="J172" i="3" s="1"/>
  <c r="H173" i="3"/>
  <c r="J173" i="3" s="1"/>
  <c r="H174" i="3"/>
  <c r="J174" i="3" s="1"/>
  <c r="H175" i="3"/>
  <c r="J175" i="3" s="1"/>
  <c r="H176" i="3"/>
  <c r="J176" i="3" s="1"/>
  <c r="H177" i="3"/>
  <c r="J177" i="3" s="1"/>
  <c r="H178" i="3"/>
  <c r="J178" i="3" s="1"/>
  <c r="H179" i="3"/>
  <c r="J179" i="3" s="1"/>
  <c r="H180" i="3"/>
  <c r="J180" i="3" s="1"/>
  <c r="H181" i="3"/>
  <c r="J181" i="3" s="1"/>
  <c r="H182" i="3"/>
  <c r="J182" i="3" s="1"/>
  <c r="H183" i="3"/>
  <c r="J183" i="3" s="1"/>
  <c r="H184" i="3"/>
  <c r="J184" i="3" s="1"/>
  <c r="H185" i="3"/>
  <c r="J185" i="3" s="1"/>
  <c r="H186" i="3"/>
  <c r="J186" i="3" s="1"/>
  <c r="H187" i="3"/>
  <c r="J187" i="3" s="1"/>
  <c r="H188" i="3"/>
  <c r="J188" i="3" s="1"/>
  <c r="H189" i="3"/>
  <c r="J189" i="3" s="1"/>
  <c r="H190" i="3"/>
  <c r="J190" i="3" s="1"/>
  <c r="H191" i="3"/>
  <c r="J191" i="3" s="1"/>
  <c r="H192" i="3"/>
  <c r="J192" i="3" s="1"/>
  <c r="H193" i="3"/>
  <c r="J193" i="3" s="1"/>
  <c r="H194" i="3"/>
  <c r="J194" i="3" s="1"/>
  <c r="H195" i="3"/>
  <c r="J195" i="3" s="1"/>
  <c r="H196" i="3"/>
  <c r="J196" i="3" s="1"/>
  <c r="H197" i="3"/>
  <c r="J197" i="3" s="1"/>
  <c r="H198" i="3"/>
  <c r="J198" i="3" s="1"/>
  <c r="H199" i="3"/>
  <c r="J199" i="3" s="1"/>
  <c r="H200" i="3"/>
  <c r="J200" i="3" s="1"/>
  <c r="H201" i="3"/>
  <c r="J201" i="3" s="1"/>
  <c r="H202" i="3"/>
  <c r="J202" i="3" s="1"/>
  <c r="H203" i="3"/>
  <c r="J203" i="3" s="1"/>
  <c r="H204" i="3"/>
  <c r="J204" i="3" s="1"/>
  <c r="H205" i="3"/>
  <c r="J205" i="3" s="1"/>
  <c r="H206" i="3"/>
  <c r="J206" i="3" s="1"/>
  <c r="H207" i="3"/>
  <c r="J207" i="3" s="1"/>
  <c r="H208" i="3"/>
  <c r="J208" i="3" s="1"/>
  <c r="H209" i="3"/>
  <c r="J209" i="3" s="1"/>
  <c r="H210" i="3"/>
  <c r="J210" i="3" s="1"/>
  <c r="H211" i="3"/>
  <c r="J211" i="3" s="1"/>
  <c r="H212" i="3"/>
  <c r="J212" i="3" s="1"/>
  <c r="H213" i="3"/>
  <c r="J213" i="3" s="1"/>
  <c r="H214" i="3"/>
  <c r="J214" i="3" s="1"/>
  <c r="H215" i="3"/>
  <c r="J215" i="3" s="1"/>
  <c r="H216" i="3"/>
  <c r="J216" i="3" s="1"/>
  <c r="H217" i="3"/>
  <c r="J217" i="3" s="1"/>
  <c r="H218" i="3"/>
  <c r="J218" i="3" s="1"/>
  <c r="H219" i="3"/>
  <c r="J219" i="3" s="1"/>
  <c r="H220" i="3"/>
  <c r="J220" i="3" s="1"/>
  <c r="H221" i="3"/>
  <c r="J221" i="3" s="1"/>
  <c r="H222" i="3"/>
  <c r="J222" i="3" s="1"/>
  <c r="H223" i="3"/>
  <c r="J223" i="3" s="1"/>
  <c r="H224" i="3"/>
  <c r="J224" i="3" s="1"/>
  <c r="H225" i="3"/>
  <c r="J225" i="3" s="1"/>
  <c r="H226" i="3"/>
  <c r="J226" i="3" s="1"/>
  <c r="H227" i="3"/>
  <c r="J227" i="3" s="1"/>
  <c r="H228" i="3"/>
  <c r="J228" i="3" s="1"/>
  <c r="H229" i="3"/>
  <c r="J229" i="3" s="1"/>
  <c r="H230" i="3"/>
  <c r="J230" i="3" s="1"/>
  <c r="H231" i="3"/>
  <c r="J231" i="3" s="1"/>
  <c r="H232" i="3"/>
  <c r="J232" i="3" s="1"/>
  <c r="H233" i="3"/>
  <c r="J233" i="3" s="1"/>
  <c r="H234" i="3"/>
  <c r="J234" i="3" s="1"/>
  <c r="H235" i="3"/>
  <c r="J235" i="3" s="1"/>
  <c r="H236" i="3"/>
  <c r="J236" i="3" s="1"/>
  <c r="H237" i="3"/>
  <c r="J237" i="3" s="1"/>
  <c r="H238" i="3"/>
  <c r="J238" i="3" s="1"/>
  <c r="P238" i="3" s="1"/>
  <c r="H239" i="3"/>
  <c r="J239" i="3" s="1"/>
  <c r="H240" i="3"/>
  <c r="J240" i="3" s="1"/>
  <c r="H241" i="3"/>
  <c r="J241" i="3" s="1"/>
  <c r="H242" i="3"/>
  <c r="J242" i="3" s="1"/>
  <c r="H243" i="3"/>
  <c r="J243" i="3" s="1"/>
  <c r="H244" i="3"/>
  <c r="J244" i="3" s="1"/>
  <c r="H245" i="3"/>
  <c r="J245" i="3" s="1"/>
  <c r="H246" i="3"/>
  <c r="J246" i="3" s="1"/>
  <c r="H247" i="3"/>
  <c r="J247" i="3" s="1"/>
  <c r="P247" i="3" s="1"/>
  <c r="H248" i="3"/>
  <c r="J248" i="3" s="1"/>
  <c r="H249" i="3"/>
  <c r="J249" i="3" s="1"/>
  <c r="H250" i="3"/>
  <c r="J250" i="3" s="1"/>
  <c r="H251" i="3"/>
  <c r="J251" i="3" s="1"/>
  <c r="H252" i="3"/>
  <c r="J252" i="3" s="1"/>
  <c r="H253" i="3"/>
  <c r="J253" i="3" s="1"/>
  <c r="H254" i="3"/>
  <c r="J254" i="3" s="1"/>
  <c r="H255" i="3"/>
  <c r="J255" i="3" s="1"/>
  <c r="H256" i="3"/>
  <c r="J256" i="3" s="1"/>
  <c r="H257" i="3"/>
  <c r="J257" i="3" s="1"/>
  <c r="H258" i="3"/>
  <c r="J258" i="3" s="1"/>
  <c r="H259" i="3"/>
  <c r="J259" i="3" s="1"/>
  <c r="H260" i="3"/>
  <c r="J260" i="3" s="1"/>
  <c r="H261" i="3"/>
  <c r="J261" i="3" s="1"/>
  <c r="H262" i="3"/>
  <c r="J262" i="3" s="1"/>
  <c r="H263" i="3"/>
  <c r="J263" i="3" s="1"/>
  <c r="H264" i="3"/>
  <c r="J264" i="3" s="1"/>
  <c r="H265" i="3"/>
  <c r="J265" i="3" s="1"/>
  <c r="H266" i="3"/>
  <c r="J266" i="3" s="1"/>
  <c r="H267" i="3"/>
  <c r="J267" i="3" s="1"/>
  <c r="H268" i="3"/>
  <c r="J268" i="3" s="1"/>
  <c r="H269" i="3"/>
  <c r="J269" i="3" s="1"/>
  <c r="H270" i="3"/>
  <c r="J270" i="3" s="1"/>
  <c r="H271" i="3"/>
  <c r="J271" i="3" s="1"/>
  <c r="H272" i="3"/>
  <c r="J272" i="3" s="1"/>
  <c r="H273" i="3"/>
  <c r="J273" i="3" s="1"/>
  <c r="H274" i="3"/>
  <c r="J274" i="3" s="1"/>
  <c r="H275" i="3"/>
  <c r="J275" i="3" s="1"/>
  <c r="H276" i="3"/>
  <c r="J276" i="3" s="1"/>
  <c r="H277" i="3"/>
  <c r="J277" i="3" s="1"/>
  <c r="H278" i="3"/>
  <c r="J278" i="3" s="1"/>
  <c r="H279" i="3"/>
  <c r="J279" i="3" s="1"/>
  <c r="H280" i="3"/>
  <c r="J280" i="3" s="1"/>
  <c r="H281" i="3"/>
  <c r="J281" i="3" s="1"/>
  <c r="H282" i="3"/>
  <c r="J282" i="3" s="1"/>
  <c r="H283" i="3"/>
  <c r="J283" i="3" s="1"/>
  <c r="H284" i="3"/>
  <c r="J284" i="3" s="1"/>
  <c r="H285" i="3"/>
  <c r="J285" i="3" s="1"/>
  <c r="H286" i="3"/>
  <c r="J286" i="3" s="1"/>
  <c r="H287" i="3"/>
  <c r="J287" i="3" s="1"/>
  <c r="H288" i="3"/>
  <c r="J288" i="3" s="1"/>
  <c r="H289" i="3"/>
  <c r="J289" i="3" s="1"/>
  <c r="H290" i="3"/>
  <c r="J290" i="3" s="1"/>
  <c r="H291" i="3"/>
  <c r="J291" i="3" s="1"/>
  <c r="H292" i="3"/>
  <c r="J292" i="3" s="1"/>
  <c r="H293" i="3"/>
  <c r="J293" i="3" s="1"/>
  <c r="H294" i="3"/>
  <c r="J294" i="3" s="1"/>
  <c r="H295" i="3"/>
  <c r="J295" i="3" s="1"/>
  <c r="H296" i="3"/>
  <c r="J296" i="3" s="1"/>
  <c r="H297" i="3"/>
  <c r="J297" i="3" s="1"/>
  <c r="H298" i="3"/>
  <c r="J298" i="3" s="1"/>
  <c r="H299" i="3"/>
  <c r="J299" i="3" s="1"/>
  <c r="L427" i="3" l="1"/>
  <c r="M319" i="3"/>
  <c r="L367" i="3"/>
  <c r="L493" i="3"/>
  <c r="M386" i="3"/>
  <c r="L341" i="3"/>
  <c r="M341" i="3"/>
  <c r="P70" i="3"/>
  <c r="I70" i="3"/>
  <c r="L70" i="3" s="1"/>
  <c r="P7" i="3"/>
  <c r="I7" i="3"/>
  <c r="L7" i="3" s="1"/>
  <c r="L347" i="3"/>
  <c r="M347" i="3"/>
  <c r="L315" i="3"/>
  <c r="M371" i="3"/>
  <c r="M332" i="3"/>
  <c r="M322" i="3"/>
  <c r="M345" i="3"/>
  <c r="M381" i="3"/>
  <c r="M388" i="3"/>
  <c r="M424" i="3"/>
  <c r="L411" i="3"/>
  <c r="L375" i="3"/>
  <c r="M416" i="3"/>
  <c r="M317" i="3"/>
  <c r="M418" i="3"/>
  <c r="L405" i="3"/>
  <c r="L396" i="3"/>
  <c r="L395" i="3"/>
  <c r="L351" i="3"/>
  <c r="M360" i="3"/>
  <c r="M352" i="3"/>
  <c r="L415" i="3"/>
  <c r="M320" i="3"/>
  <c r="M316" i="3"/>
  <c r="M412" i="3"/>
  <c r="L417" i="3"/>
  <c r="L399" i="3"/>
  <c r="M348" i="3"/>
  <c r="M391" i="3"/>
  <c r="M324" i="3"/>
  <c r="L357" i="3"/>
  <c r="M383" i="3"/>
  <c r="M376" i="3"/>
  <c r="L440" i="3"/>
  <c r="L379" i="3"/>
  <c r="M384" i="3"/>
  <c r="M413" i="3"/>
  <c r="M327" i="3"/>
  <c r="M325" i="3"/>
  <c r="M340" i="3"/>
  <c r="L372" i="3"/>
  <c r="M393" i="3"/>
  <c r="M374" i="3"/>
  <c r="M436" i="3"/>
  <c r="M410" i="3"/>
  <c r="L363" i="3"/>
  <c r="L442" i="3"/>
  <c r="L356" i="3"/>
  <c r="M438" i="3"/>
  <c r="M432" i="3"/>
  <c r="M364" i="3"/>
  <c r="L392" i="3"/>
  <c r="L435" i="3"/>
  <c r="M329" i="3"/>
  <c r="L441" i="3"/>
  <c r="L407" i="3"/>
  <c r="M311" i="3"/>
  <c r="L401" i="3"/>
  <c r="M310" i="3"/>
  <c r="M343" i="3"/>
  <c r="M331" i="3"/>
  <c r="M389" i="3"/>
  <c r="M350" i="3"/>
  <c r="M326" i="3"/>
  <c r="M368" i="3"/>
  <c r="M404" i="3"/>
  <c r="M323" i="3"/>
  <c r="M362" i="3"/>
  <c r="L335" i="3"/>
  <c r="M312" i="3"/>
  <c r="M428" i="3"/>
  <c r="L334" i="3"/>
  <c r="L353" i="3"/>
  <c r="M313" i="3"/>
  <c r="L400" i="3"/>
  <c r="L425" i="3"/>
  <c r="I120" i="3"/>
  <c r="L120" i="3" s="1"/>
  <c r="P120" i="3"/>
  <c r="I166" i="3"/>
  <c r="L166" i="3" s="1"/>
  <c r="P166" i="3"/>
  <c r="P142" i="3"/>
  <c r="I142" i="3"/>
  <c r="L142" i="3" s="1"/>
  <c r="I58" i="3"/>
  <c r="L58" i="3" s="1"/>
  <c r="P58" i="3"/>
  <c r="I144" i="3"/>
  <c r="L144" i="3" s="1"/>
  <c r="P144" i="3"/>
  <c r="I154" i="3"/>
  <c r="L154" i="3" s="1"/>
  <c r="P154" i="3"/>
  <c r="I106" i="3"/>
  <c r="L106" i="3" s="1"/>
  <c r="P106" i="3"/>
  <c r="P249" i="3"/>
  <c r="I249" i="3"/>
  <c r="L249" i="3" s="1"/>
  <c r="I165" i="3"/>
  <c r="L165" i="3" s="1"/>
  <c r="P165" i="3"/>
  <c r="P129" i="3"/>
  <c r="I129" i="3"/>
  <c r="L129" i="3" s="1"/>
  <c r="P105" i="3"/>
  <c r="I105" i="3"/>
  <c r="L105" i="3" s="1"/>
  <c r="P11" i="3"/>
  <c r="I11" i="3"/>
  <c r="L11" i="3" s="1"/>
  <c r="I248" i="3"/>
  <c r="L248" i="3" s="1"/>
  <c r="P248" i="3"/>
  <c r="I128" i="3"/>
  <c r="L128" i="3" s="1"/>
  <c r="P128" i="3"/>
  <c r="I80" i="3"/>
  <c r="L80" i="3" s="1"/>
  <c r="P80" i="3"/>
  <c r="I56" i="3"/>
  <c r="L56" i="3" s="1"/>
  <c r="P56" i="3"/>
  <c r="P251" i="3"/>
  <c r="I251" i="3"/>
  <c r="L251" i="3" s="1"/>
  <c r="I127" i="3"/>
  <c r="L127" i="3" s="1"/>
  <c r="P127" i="3"/>
  <c r="I103" i="3"/>
  <c r="L103" i="3" s="1"/>
  <c r="P103" i="3"/>
  <c r="I91" i="3"/>
  <c r="L91" i="3" s="1"/>
  <c r="P91" i="3"/>
  <c r="P55" i="3"/>
  <c r="I55" i="3"/>
  <c r="L55" i="3" s="1"/>
  <c r="I119" i="3"/>
  <c r="L119" i="3" s="1"/>
  <c r="P119" i="3"/>
  <c r="I258" i="3"/>
  <c r="L258" i="3" s="1"/>
  <c r="P258" i="3"/>
  <c r="I162" i="3"/>
  <c r="L162" i="3" s="1"/>
  <c r="P162" i="3"/>
  <c r="I126" i="3"/>
  <c r="L126" i="3" s="1"/>
  <c r="P126" i="3"/>
  <c r="I114" i="3"/>
  <c r="L114" i="3" s="1"/>
  <c r="P114" i="3"/>
  <c r="I102" i="3"/>
  <c r="L102" i="3" s="1"/>
  <c r="P102" i="3"/>
  <c r="I90" i="3"/>
  <c r="L90" i="3" s="1"/>
  <c r="P90" i="3"/>
  <c r="P54" i="3"/>
  <c r="I54" i="3"/>
  <c r="L54" i="3" s="1"/>
  <c r="P6" i="3"/>
  <c r="I6" i="3"/>
  <c r="L6" i="3" s="1"/>
  <c r="I101" i="3"/>
  <c r="L101" i="3" s="1"/>
  <c r="P101" i="3"/>
  <c r="P53" i="3"/>
  <c r="I53" i="3"/>
  <c r="L53" i="3" s="1"/>
  <c r="I172" i="3"/>
  <c r="L172" i="3" s="1"/>
  <c r="P172" i="3"/>
  <c r="P252" i="3"/>
  <c r="I252" i="3"/>
  <c r="L252" i="3" s="1"/>
  <c r="P52" i="3"/>
  <c r="I52" i="3"/>
  <c r="L52" i="3" s="1"/>
  <c r="I171" i="3"/>
  <c r="L171" i="3" s="1"/>
  <c r="P171" i="3"/>
  <c r="I75" i="3"/>
  <c r="L75" i="3" s="1"/>
  <c r="P75" i="3"/>
  <c r="I168" i="3"/>
  <c r="M168" i="3" s="1"/>
  <c r="P168" i="3"/>
  <c r="I259" i="3"/>
  <c r="L259" i="3" s="1"/>
  <c r="P259" i="3"/>
  <c r="I255" i="3"/>
  <c r="L255" i="3" s="1"/>
  <c r="P255" i="3"/>
  <c r="I170" i="3"/>
  <c r="L170" i="3" s="1"/>
  <c r="P170" i="3"/>
  <c r="I122" i="3"/>
  <c r="L122" i="3" s="1"/>
  <c r="P122" i="3"/>
  <c r="I98" i="3"/>
  <c r="L98" i="3" s="1"/>
  <c r="P98" i="3"/>
  <c r="I256" i="3"/>
  <c r="L256" i="3" s="1"/>
  <c r="P256" i="3"/>
  <c r="I112" i="3"/>
  <c r="M112" i="3" s="1"/>
  <c r="P112" i="3"/>
  <c r="I40" i="3"/>
  <c r="M40" i="3" s="1"/>
  <c r="P40" i="3"/>
  <c r="P253" i="3"/>
  <c r="I253" i="3"/>
  <c r="L253" i="3" s="1"/>
  <c r="I169" i="3"/>
  <c r="L169" i="3" s="1"/>
  <c r="P169" i="3"/>
  <c r="P145" i="3"/>
  <c r="I145" i="3"/>
  <c r="L145" i="3" s="1"/>
  <c r="P133" i="3"/>
  <c r="I133" i="3"/>
  <c r="L133" i="3" s="1"/>
  <c r="I121" i="3"/>
  <c r="L121" i="3" s="1"/>
  <c r="P121" i="3"/>
  <c r="I233" i="3"/>
  <c r="L233" i="3" s="1"/>
  <c r="P233" i="3"/>
  <c r="I136" i="3"/>
  <c r="L136" i="3" s="1"/>
  <c r="P136" i="3"/>
  <c r="I232" i="3"/>
  <c r="M232" i="3" s="1"/>
  <c r="P232" i="3"/>
  <c r="I109" i="3"/>
  <c r="L109" i="3" s="1"/>
  <c r="P109" i="3"/>
  <c r="I291" i="3"/>
  <c r="L291" i="3" s="1"/>
  <c r="P291" i="3"/>
  <c r="I279" i="3"/>
  <c r="L279" i="3" s="1"/>
  <c r="I267" i="3"/>
  <c r="L267" i="3" s="1"/>
  <c r="P267" i="3"/>
  <c r="I243" i="3"/>
  <c r="L243" i="3" s="1"/>
  <c r="P243" i="3"/>
  <c r="I231" i="3"/>
  <c r="L231" i="3" s="1"/>
  <c r="P231" i="3"/>
  <c r="I219" i="3"/>
  <c r="L219" i="3" s="1"/>
  <c r="P219" i="3"/>
  <c r="I207" i="3"/>
  <c r="L207" i="3" s="1"/>
  <c r="P207" i="3"/>
  <c r="I195" i="3"/>
  <c r="L195" i="3" s="1"/>
  <c r="P195" i="3"/>
  <c r="I183" i="3"/>
  <c r="L183" i="3" s="1"/>
  <c r="P183" i="3"/>
  <c r="I81" i="3"/>
  <c r="L81" i="3" s="1"/>
  <c r="M359" i="3"/>
  <c r="I260" i="3"/>
  <c r="L260" i="3" s="1"/>
  <c r="P260" i="3"/>
  <c r="I242" i="3"/>
  <c r="L242" i="3" s="1"/>
  <c r="P242" i="3"/>
  <c r="I194" i="3"/>
  <c r="L194" i="3" s="1"/>
  <c r="P194" i="3"/>
  <c r="I48" i="3"/>
  <c r="M48" i="3" s="1"/>
  <c r="P48" i="3"/>
  <c r="I245" i="3"/>
  <c r="L245" i="3" s="1"/>
  <c r="P245" i="3"/>
  <c r="I173" i="3"/>
  <c r="L173" i="3" s="1"/>
  <c r="P173" i="3"/>
  <c r="I268" i="3"/>
  <c r="L268" i="3" s="1"/>
  <c r="P268" i="3"/>
  <c r="I278" i="3"/>
  <c r="L278" i="3" s="1"/>
  <c r="I218" i="3"/>
  <c r="L218" i="3" s="1"/>
  <c r="P218" i="3"/>
  <c r="I182" i="3"/>
  <c r="L182" i="3" s="1"/>
  <c r="P182" i="3"/>
  <c r="I289" i="3"/>
  <c r="L289" i="3" s="1"/>
  <c r="P289" i="3"/>
  <c r="I265" i="3"/>
  <c r="L265" i="3" s="1"/>
  <c r="P265" i="3"/>
  <c r="I241" i="3"/>
  <c r="L241" i="3" s="1"/>
  <c r="P241" i="3"/>
  <c r="I229" i="3"/>
  <c r="L229" i="3" s="1"/>
  <c r="P229" i="3"/>
  <c r="I217" i="3"/>
  <c r="L217" i="3" s="1"/>
  <c r="P217" i="3"/>
  <c r="I205" i="3"/>
  <c r="L205" i="3" s="1"/>
  <c r="P205" i="3"/>
  <c r="I193" i="3"/>
  <c r="L193" i="3" s="1"/>
  <c r="P193" i="3"/>
  <c r="I181" i="3"/>
  <c r="L181" i="3" s="1"/>
  <c r="P181" i="3"/>
  <c r="I57" i="3"/>
  <c r="L57" i="3" s="1"/>
  <c r="M430" i="3"/>
  <c r="M355" i="3"/>
  <c r="I281" i="3"/>
  <c r="L281" i="3" s="1"/>
  <c r="I197" i="3"/>
  <c r="L197" i="3" s="1"/>
  <c r="P197" i="3"/>
  <c r="I244" i="3"/>
  <c r="L244" i="3" s="1"/>
  <c r="P244" i="3"/>
  <c r="I266" i="3"/>
  <c r="L266" i="3" s="1"/>
  <c r="P266" i="3"/>
  <c r="I206" i="3"/>
  <c r="L206" i="3" s="1"/>
  <c r="P206" i="3"/>
  <c r="I277" i="3"/>
  <c r="L277" i="3" s="1"/>
  <c r="I288" i="3"/>
  <c r="P288" i="3"/>
  <c r="I276" i="3"/>
  <c r="L276" i="3" s="1"/>
  <c r="I264" i="3"/>
  <c r="L264" i="3" s="1"/>
  <c r="P264" i="3"/>
  <c r="I240" i="3"/>
  <c r="M240" i="3" s="1"/>
  <c r="P240" i="3"/>
  <c r="I228" i="3"/>
  <c r="L228" i="3" s="1"/>
  <c r="P228" i="3"/>
  <c r="I216" i="3"/>
  <c r="L216" i="3" s="1"/>
  <c r="P216" i="3"/>
  <c r="I204" i="3"/>
  <c r="L204" i="3" s="1"/>
  <c r="P204" i="3"/>
  <c r="I192" i="3"/>
  <c r="L192" i="3" s="1"/>
  <c r="P192" i="3"/>
  <c r="I180" i="3"/>
  <c r="L180" i="3" s="1"/>
  <c r="P180" i="3"/>
  <c r="I96" i="3"/>
  <c r="M96" i="3" s="1"/>
  <c r="P96" i="3"/>
  <c r="I84" i="3"/>
  <c r="L84" i="3" s="1"/>
  <c r="P84" i="3"/>
  <c r="L339" i="3"/>
  <c r="I185" i="3"/>
  <c r="L185" i="3" s="1"/>
  <c r="P185" i="3"/>
  <c r="I208" i="3"/>
  <c r="L208" i="3" s="1"/>
  <c r="P208" i="3"/>
  <c r="I287" i="3"/>
  <c r="L287" i="3" s="1"/>
  <c r="P287" i="3"/>
  <c r="I203" i="3"/>
  <c r="L203" i="3" s="1"/>
  <c r="P203" i="3"/>
  <c r="I152" i="3"/>
  <c r="L152" i="3" s="1"/>
  <c r="P152" i="3"/>
  <c r="I130" i="3"/>
  <c r="L130" i="3" s="1"/>
  <c r="P130" i="3"/>
  <c r="I116" i="3"/>
  <c r="L116" i="3" s="1"/>
  <c r="P116" i="3"/>
  <c r="I104" i="3"/>
  <c r="M104" i="3" s="1"/>
  <c r="P104" i="3"/>
  <c r="M420" i="3"/>
  <c r="L403" i="3"/>
  <c r="M422" i="3"/>
  <c r="I269" i="3"/>
  <c r="L269" i="3" s="1"/>
  <c r="P269" i="3"/>
  <c r="I275" i="3"/>
  <c r="L275" i="3" s="1"/>
  <c r="I215" i="3"/>
  <c r="L215" i="3" s="1"/>
  <c r="P215" i="3"/>
  <c r="I95" i="3"/>
  <c r="L95" i="3" s="1"/>
  <c r="P95" i="3"/>
  <c r="I247" i="3"/>
  <c r="L247" i="3" s="1"/>
  <c r="L423" i="3"/>
  <c r="M328" i="3"/>
  <c r="M419" i="3"/>
  <c r="I221" i="3"/>
  <c r="L221" i="3" s="1"/>
  <c r="P221" i="3"/>
  <c r="I280" i="3"/>
  <c r="L280" i="3" s="1"/>
  <c r="I184" i="3"/>
  <c r="L184" i="3" s="1"/>
  <c r="P184" i="3"/>
  <c r="I50" i="3"/>
  <c r="L50" i="3" s="1"/>
  <c r="P50" i="3"/>
  <c r="I290" i="3"/>
  <c r="L290" i="3" s="1"/>
  <c r="P290" i="3"/>
  <c r="I299" i="3"/>
  <c r="L299" i="3" s="1"/>
  <c r="I227" i="3"/>
  <c r="L227" i="3" s="1"/>
  <c r="P227" i="3"/>
  <c r="I298" i="3"/>
  <c r="L298" i="3" s="1"/>
  <c r="P298" i="3"/>
  <c r="I262" i="3"/>
  <c r="L262" i="3" s="1"/>
  <c r="P262" i="3"/>
  <c r="I214" i="3"/>
  <c r="L214" i="3" s="1"/>
  <c r="P214" i="3"/>
  <c r="I190" i="3"/>
  <c r="L190" i="3" s="1"/>
  <c r="P190" i="3"/>
  <c r="I178" i="3"/>
  <c r="L178" i="3" s="1"/>
  <c r="P178" i="3"/>
  <c r="I297" i="3"/>
  <c r="L297" i="3" s="1"/>
  <c r="P297" i="3"/>
  <c r="I285" i="3"/>
  <c r="L285" i="3" s="1"/>
  <c r="P285" i="3"/>
  <c r="I273" i="3"/>
  <c r="L273" i="3" s="1"/>
  <c r="I261" i="3"/>
  <c r="L261" i="3" s="1"/>
  <c r="P261" i="3"/>
  <c r="I237" i="3"/>
  <c r="L237" i="3" s="1"/>
  <c r="P237" i="3"/>
  <c r="I225" i="3"/>
  <c r="L225" i="3" s="1"/>
  <c r="P225" i="3"/>
  <c r="I213" i="3"/>
  <c r="L213" i="3" s="1"/>
  <c r="P213" i="3"/>
  <c r="I201" i="3"/>
  <c r="L201" i="3" s="1"/>
  <c r="P201" i="3"/>
  <c r="I189" i="3"/>
  <c r="L189" i="3" s="1"/>
  <c r="P189" i="3"/>
  <c r="I177" i="3"/>
  <c r="L177" i="3" s="1"/>
  <c r="P177" i="3"/>
  <c r="I238" i="3"/>
  <c r="L238" i="3" s="1"/>
  <c r="L365" i="3"/>
  <c r="M408" i="3"/>
  <c r="I257" i="3"/>
  <c r="L257" i="3" s="1"/>
  <c r="P257" i="3"/>
  <c r="I220" i="3"/>
  <c r="L220" i="3" s="1"/>
  <c r="P220" i="3"/>
  <c r="I230" i="3"/>
  <c r="L230" i="3" s="1"/>
  <c r="P230" i="3"/>
  <c r="I239" i="3"/>
  <c r="L239" i="3" s="1"/>
  <c r="P239" i="3"/>
  <c r="I179" i="3"/>
  <c r="L179" i="3" s="1"/>
  <c r="P179" i="3"/>
  <c r="I274" i="3"/>
  <c r="L274" i="3" s="1"/>
  <c r="I226" i="3"/>
  <c r="L226" i="3" s="1"/>
  <c r="P226" i="3"/>
  <c r="I296" i="3"/>
  <c r="M296" i="3" s="1"/>
  <c r="P296" i="3"/>
  <c r="I272" i="3"/>
  <c r="L272" i="3" s="1"/>
  <c r="I224" i="3"/>
  <c r="M224" i="3" s="1"/>
  <c r="P224" i="3"/>
  <c r="I212" i="3"/>
  <c r="L212" i="3" s="1"/>
  <c r="P212" i="3"/>
  <c r="I200" i="3"/>
  <c r="L200" i="3" s="1"/>
  <c r="P200" i="3"/>
  <c r="I188" i="3"/>
  <c r="L188" i="3" s="1"/>
  <c r="P188" i="3"/>
  <c r="I176" i="3"/>
  <c r="M176" i="3" s="1"/>
  <c r="P176" i="3"/>
  <c r="I51" i="3"/>
  <c r="L51" i="3" s="1"/>
  <c r="L431" i="3"/>
  <c r="I209" i="3"/>
  <c r="L209" i="3" s="1"/>
  <c r="P209" i="3"/>
  <c r="I292" i="3"/>
  <c r="L292" i="3" s="1"/>
  <c r="P292" i="3"/>
  <c r="I196" i="3"/>
  <c r="L196" i="3" s="1"/>
  <c r="P196" i="3"/>
  <c r="I93" i="3"/>
  <c r="L93" i="3" s="1"/>
  <c r="P93" i="3"/>
  <c r="I254" i="3"/>
  <c r="L254" i="3" s="1"/>
  <c r="P254" i="3"/>
  <c r="I263" i="3"/>
  <c r="L263" i="3" s="1"/>
  <c r="P263" i="3"/>
  <c r="I191" i="3"/>
  <c r="L191" i="3" s="1"/>
  <c r="P191" i="3"/>
  <c r="I286" i="3"/>
  <c r="L286" i="3" s="1"/>
  <c r="P286" i="3"/>
  <c r="I250" i="3"/>
  <c r="L250" i="3" s="1"/>
  <c r="P250" i="3"/>
  <c r="I202" i="3"/>
  <c r="L202" i="3" s="1"/>
  <c r="P202" i="3"/>
  <c r="I284" i="3"/>
  <c r="L284" i="3" s="1"/>
  <c r="P284" i="3"/>
  <c r="I236" i="3"/>
  <c r="L236" i="3" s="1"/>
  <c r="P236" i="3"/>
  <c r="I295" i="3"/>
  <c r="L295" i="3" s="1"/>
  <c r="P295" i="3"/>
  <c r="I283" i="3"/>
  <c r="L283" i="3" s="1"/>
  <c r="I271" i="3"/>
  <c r="L271" i="3" s="1"/>
  <c r="P271" i="3"/>
  <c r="I235" i="3"/>
  <c r="L235" i="3" s="1"/>
  <c r="P235" i="3"/>
  <c r="I223" i="3"/>
  <c r="L223" i="3" s="1"/>
  <c r="P223" i="3"/>
  <c r="I211" i="3"/>
  <c r="L211" i="3" s="1"/>
  <c r="P211" i="3"/>
  <c r="I199" i="3"/>
  <c r="L199" i="3" s="1"/>
  <c r="P199" i="3"/>
  <c r="I187" i="3"/>
  <c r="L187" i="3" s="1"/>
  <c r="P187" i="3"/>
  <c r="I175" i="3"/>
  <c r="L175" i="3" s="1"/>
  <c r="P175" i="3"/>
  <c r="L398" i="3"/>
  <c r="I293" i="3"/>
  <c r="L293" i="3" s="1"/>
  <c r="P293" i="3"/>
  <c r="I294" i="3"/>
  <c r="L294" i="3" s="1"/>
  <c r="P294" i="3"/>
  <c r="I282" i="3"/>
  <c r="L282" i="3" s="1"/>
  <c r="I270" i="3"/>
  <c r="L270" i="3" s="1"/>
  <c r="P270" i="3"/>
  <c r="I246" i="3"/>
  <c r="L246" i="3" s="1"/>
  <c r="P246" i="3"/>
  <c r="I234" i="3"/>
  <c r="L234" i="3" s="1"/>
  <c r="P234" i="3"/>
  <c r="I222" i="3"/>
  <c r="L222" i="3" s="1"/>
  <c r="P222" i="3"/>
  <c r="I210" i="3"/>
  <c r="L210" i="3" s="1"/>
  <c r="P210" i="3"/>
  <c r="I198" i="3"/>
  <c r="L198" i="3" s="1"/>
  <c r="P198" i="3"/>
  <c r="I186" i="3"/>
  <c r="L186" i="3" s="1"/>
  <c r="P186" i="3"/>
  <c r="I174" i="3"/>
  <c r="L174" i="3" s="1"/>
  <c r="P174" i="3"/>
  <c r="M336" i="3"/>
  <c r="I135" i="3"/>
  <c r="L135" i="3" s="1"/>
  <c r="I134" i="3"/>
  <c r="L134" i="3" s="1"/>
  <c r="I132" i="3"/>
  <c r="L132" i="3" s="1"/>
  <c r="I131" i="3"/>
  <c r="L131" i="3" s="1"/>
  <c r="I167" i="3"/>
  <c r="L167" i="3" s="1"/>
  <c r="I164" i="3"/>
  <c r="L164" i="3" s="1"/>
  <c r="I163" i="3"/>
  <c r="L163" i="3" s="1"/>
  <c r="I161" i="3"/>
  <c r="L161" i="3" s="1"/>
  <c r="I160" i="3"/>
  <c r="M160" i="3" s="1"/>
  <c r="I159" i="3"/>
  <c r="L159" i="3" s="1"/>
  <c r="I158" i="3"/>
  <c r="L158" i="3" s="1"/>
  <c r="I157" i="3"/>
  <c r="L157" i="3" s="1"/>
  <c r="I156" i="3"/>
  <c r="L156" i="3" s="1"/>
  <c r="I155" i="3"/>
  <c r="L155" i="3" s="1"/>
  <c r="I153" i="3"/>
  <c r="L153" i="3" s="1"/>
  <c r="I151" i="3"/>
  <c r="L151" i="3" s="1"/>
  <c r="I150" i="3"/>
  <c r="L150" i="3" s="1"/>
  <c r="I149" i="3"/>
  <c r="L149" i="3" s="1"/>
  <c r="I148" i="3"/>
  <c r="L148" i="3" s="1"/>
  <c r="I147" i="3"/>
  <c r="L147" i="3" s="1"/>
  <c r="I146" i="3"/>
  <c r="L146" i="3" s="1"/>
  <c r="I143" i="3"/>
  <c r="L143" i="3" s="1"/>
  <c r="I141" i="3"/>
  <c r="L141" i="3" s="1"/>
  <c r="I140" i="3"/>
  <c r="L140" i="3" s="1"/>
  <c r="I139" i="3"/>
  <c r="L139" i="3" s="1"/>
  <c r="I138" i="3"/>
  <c r="L138" i="3" s="1"/>
  <c r="I137" i="3"/>
  <c r="L137" i="3" s="1"/>
  <c r="I125" i="3"/>
  <c r="L125" i="3" s="1"/>
  <c r="I124" i="3"/>
  <c r="L124" i="3" s="1"/>
  <c r="I123" i="3"/>
  <c r="L123" i="3" s="1"/>
  <c r="I118" i="3"/>
  <c r="L118" i="3" s="1"/>
  <c r="I117" i="3"/>
  <c r="L117" i="3" s="1"/>
  <c r="I115" i="3"/>
  <c r="L115" i="3" s="1"/>
  <c r="I113" i="3"/>
  <c r="L113" i="3" s="1"/>
  <c r="I111" i="3"/>
  <c r="L111" i="3" s="1"/>
  <c r="I110" i="3"/>
  <c r="L110" i="3" s="1"/>
  <c r="I108" i="3"/>
  <c r="L108" i="3" s="1"/>
  <c r="I107" i="3"/>
  <c r="L107" i="3" s="1"/>
  <c r="I100" i="3"/>
  <c r="L100" i="3" s="1"/>
  <c r="I99" i="3"/>
  <c r="L99" i="3" s="1"/>
  <c r="I97" i="3"/>
  <c r="L97" i="3" s="1"/>
  <c r="I92" i="3"/>
  <c r="L92" i="3" s="1"/>
  <c r="I89" i="3"/>
  <c r="L89" i="3" s="1"/>
  <c r="I88" i="3"/>
  <c r="L88" i="3" s="1"/>
  <c r="I87" i="3"/>
  <c r="L87" i="3" s="1"/>
  <c r="I86" i="3"/>
  <c r="L86" i="3" s="1"/>
  <c r="I85" i="3"/>
  <c r="L85" i="3" s="1"/>
  <c r="I83" i="3"/>
  <c r="L83" i="3" s="1"/>
  <c r="I49" i="3"/>
  <c r="L49" i="3" s="1"/>
  <c r="I47" i="3"/>
  <c r="L47" i="3" s="1"/>
  <c r="I94" i="3"/>
  <c r="L94" i="3" s="1"/>
  <c r="I33" i="3"/>
  <c r="L33" i="3" s="1"/>
  <c r="I82" i="3"/>
  <c r="L82" i="3" s="1"/>
  <c r="I79" i="3"/>
  <c r="L79" i="3" s="1"/>
  <c r="I78" i="3"/>
  <c r="L78" i="3" s="1"/>
  <c r="I77" i="3"/>
  <c r="L77" i="3" s="1"/>
  <c r="I76" i="3"/>
  <c r="L76" i="3" s="1"/>
  <c r="I74" i="3"/>
  <c r="L74" i="3" s="1"/>
  <c r="I73" i="3"/>
  <c r="L73" i="3" s="1"/>
  <c r="I72" i="3"/>
  <c r="L72" i="3" s="1"/>
  <c r="I71" i="3"/>
  <c r="L71" i="3" s="1"/>
  <c r="I68" i="3"/>
  <c r="L68" i="3" s="1"/>
  <c r="I69" i="3"/>
  <c r="L69" i="3" s="1"/>
  <c r="I67" i="3"/>
  <c r="L67" i="3" s="1"/>
  <c r="I66" i="3"/>
  <c r="L66" i="3" s="1"/>
  <c r="I65" i="3"/>
  <c r="L65" i="3" s="1"/>
  <c r="I64" i="3"/>
  <c r="L64" i="3" s="1"/>
  <c r="I63" i="3"/>
  <c r="L63" i="3" s="1"/>
  <c r="I62" i="3"/>
  <c r="L62" i="3" s="1"/>
  <c r="I61" i="3"/>
  <c r="L61" i="3" s="1"/>
  <c r="I60" i="3"/>
  <c r="L60" i="3" s="1"/>
  <c r="I59" i="3"/>
  <c r="L59" i="3" s="1"/>
  <c r="I46" i="3"/>
  <c r="L46" i="3" s="1"/>
  <c r="I45" i="3"/>
  <c r="L45" i="3" s="1"/>
  <c r="I44" i="3"/>
  <c r="L44" i="3" s="1"/>
  <c r="I43" i="3"/>
  <c r="L43" i="3" s="1"/>
  <c r="I42" i="3"/>
  <c r="L42" i="3" s="1"/>
  <c r="I41" i="3"/>
  <c r="L41" i="3" s="1"/>
  <c r="I38" i="3"/>
  <c r="L38" i="3" s="1"/>
  <c r="I39" i="3"/>
  <c r="L39" i="3" s="1"/>
  <c r="I37" i="3"/>
  <c r="L37" i="3" s="1"/>
  <c r="I36" i="3"/>
  <c r="L36" i="3" s="1"/>
  <c r="I35" i="3"/>
  <c r="L35" i="3" s="1"/>
  <c r="I34" i="3"/>
  <c r="L34" i="3" s="1"/>
  <c r="I32" i="3"/>
  <c r="M32" i="3" s="1"/>
  <c r="I31" i="3"/>
  <c r="L31" i="3" s="1"/>
  <c r="I30" i="3"/>
  <c r="L30" i="3" s="1"/>
  <c r="I29" i="3"/>
  <c r="L29" i="3" s="1"/>
  <c r="I28" i="3"/>
  <c r="L28" i="3" s="1"/>
  <c r="I27" i="3"/>
  <c r="L27" i="3" s="1"/>
  <c r="I26" i="3"/>
  <c r="L26" i="3" s="1"/>
  <c r="I25" i="3"/>
  <c r="L25" i="3" s="1"/>
  <c r="I22" i="3"/>
  <c r="L22" i="3" s="1"/>
  <c r="I23" i="3"/>
  <c r="L23" i="3" s="1"/>
  <c r="I24" i="3"/>
  <c r="L24" i="3" s="1"/>
  <c r="I21" i="3"/>
  <c r="L21" i="3" s="1"/>
  <c r="I20" i="3"/>
  <c r="L20" i="3" s="1"/>
  <c r="I19" i="3"/>
  <c r="L19" i="3" s="1"/>
  <c r="I16" i="3"/>
  <c r="L16" i="3" s="1"/>
  <c r="I17" i="3"/>
  <c r="L17" i="3" s="1"/>
  <c r="I15" i="3"/>
  <c r="L15" i="3" s="1"/>
  <c r="I14" i="3"/>
  <c r="L14" i="3" s="1"/>
  <c r="P13" i="3"/>
  <c r="I13" i="3"/>
  <c r="L13" i="3" s="1"/>
  <c r="I12" i="3"/>
  <c r="L12" i="3" s="1"/>
  <c r="P10" i="3"/>
  <c r="P9" i="3"/>
  <c r="I9" i="3"/>
  <c r="L9" i="3" s="1"/>
  <c r="P8" i="3"/>
  <c r="P5" i="3"/>
  <c r="I5" i="3"/>
  <c r="L5" i="3" s="1"/>
  <c r="P4" i="3"/>
  <c r="I4" i="3"/>
  <c r="L4" i="3" s="1"/>
  <c r="P3" i="3"/>
  <c r="I3" i="3"/>
  <c r="L3" i="3" s="1"/>
  <c r="I18" i="3"/>
  <c r="L18" i="3" s="1"/>
  <c r="M10" i="3"/>
  <c r="M8" i="3"/>
  <c r="P1121" i="3"/>
  <c r="P1120" i="3"/>
  <c r="P1119" i="3"/>
  <c r="P1118" i="3"/>
  <c r="P1117" i="3"/>
  <c r="P1116" i="3"/>
  <c r="P1115" i="3"/>
  <c r="P1114" i="3"/>
  <c r="P1113" i="3"/>
  <c r="P1112" i="3"/>
  <c r="P1111" i="3"/>
  <c r="P1110" i="3"/>
  <c r="P1109" i="3"/>
  <c r="P1108" i="3"/>
  <c r="P1107" i="3"/>
  <c r="P1106" i="3"/>
  <c r="P1105" i="3"/>
  <c r="P1104" i="3"/>
  <c r="P1103" i="3"/>
  <c r="P1102" i="3"/>
  <c r="P1101" i="3"/>
  <c r="P1100" i="3"/>
  <c r="P1099" i="3"/>
  <c r="P1098" i="3"/>
  <c r="P1097" i="3"/>
  <c r="P1096" i="3"/>
  <c r="P1095" i="3"/>
  <c r="P1094" i="3"/>
  <c r="P1093" i="3"/>
  <c r="P1092" i="3"/>
  <c r="P1091" i="3"/>
  <c r="P1090" i="3"/>
  <c r="P1089" i="3"/>
  <c r="P1088" i="3"/>
  <c r="P1087" i="3"/>
  <c r="P1086" i="3"/>
  <c r="P1085" i="3"/>
  <c r="P1084" i="3"/>
  <c r="P1083" i="3"/>
  <c r="P1082" i="3"/>
  <c r="P1081" i="3"/>
  <c r="P1080" i="3"/>
  <c r="P1079" i="3"/>
  <c r="P1078" i="3"/>
  <c r="P1077" i="3"/>
  <c r="P1076" i="3"/>
  <c r="P1075" i="3"/>
  <c r="P1074" i="3"/>
  <c r="P1073" i="3"/>
  <c r="P1072" i="3"/>
  <c r="P1071" i="3"/>
  <c r="P1070" i="3"/>
  <c r="P1069" i="3"/>
  <c r="P1068" i="3"/>
  <c r="P1067" i="3"/>
  <c r="P1066" i="3"/>
  <c r="P1065" i="3"/>
  <c r="P1064" i="3"/>
  <c r="P1063" i="3"/>
  <c r="P1062" i="3"/>
  <c r="P1061" i="3"/>
  <c r="P1060" i="3"/>
  <c r="P1059" i="3"/>
  <c r="P1058" i="3"/>
  <c r="P1057" i="3"/>
  <c r="P1056" i="3"/>
  <c r="P1055" i="3"/>
  <c r="P1054" i="3"/>
  <c r="P1053" i="3"/>
  <c r="P1052" i="3"/>
  <c r="P1051" i="3"/>
  <c r="P1050" i="3"/>
  <c r="P1049" i="3"/>
  <c r="P1048" i="3"/>
  <c r="P1047" i="3"/>
  <c r="P1046" i="3"/>
  <c r="P1045" i="3"/>
  <c r="P1044" i="3"/>
  <c r="P1043" i="3"/>
  <c r="P1042" i="3"/>
  <c r="P1041" i="3"/>
  <c r="P1040" i="3"/>
  <c r="P1039" i="3"/>
  <c r="P1038" i="3"/>
  <c r="P1037" i="3"/>
  <c r="P1036" i="3"/>
  <c r="P1035" i="3"/>
  <c r="P1034" i="3"/>
  <c r="P1033" i="3"/>
  <c r="P1032" i="3"/>
  <c r="P1031" i="3"/>
  <c r="P1030" i="3"/>
  <c r="P1029" i="3"/>
  <c r="P1028" i="3"/>
  <c r="P1027" i="3"/>
  <c r="P1026" i="3"/>
  <c r="P1025" i="3"/>
  <c r="P1024" i="3"/>
  <c r="P1023" i="3"/>
  <c r="P1022" i="3"/>
  <c r="P1021" i="3"/>
  <c r="P1020" i="3"/>
  <c r="P1019" i="3"/>
  <c r="P1018" i="3"/>
  <c r="P1017" i="3"/>
  <c r="P1016" i="3"/>
  <c r="P1015" i="3"/>
  <c r="P1004" i="3"/>
  <c r="P1001" i="3"/>
  <c r="P999" i="3"/>
  <c r="P998" i="3"/>
  <c r="P990" i="3"/>
  <c r="P988" i="3"/>
  <c r="P985" i="3"/>
  <c r="P983" i="3"/>
  <c r="P982" i="3"/>
  <c r="P974" i="3"/>
  <c r="P972" i="3"/>
  <c r="P969" i="3"/>
  <c r="P967" i="3"/>
  <c r="P966" i="3"/>
  <c r="P964" i="3"/>
  <c r="P961" i="3"/>
  <c r="P959" i="3"/>
  <c r="P958" i="3"/>
  <c r="P956" i="3"/>
  <c r="P952" i="3"/>
  <c r="P951" i="3"/>
  <c r="P950" i="3"/>
  <c r="P948" i="3"/>
  <c r="P945" i="3"/>
  <c r="P944" i="3"/>
  <c r="P943" i="3"/>
  <c r="P942" i="3"/>
  <c r="P936" i="3"/>
  <c r="P935" i="3"/>
  <c r="P932" i="3"/>
  <c r="P915" i="3"/>
  <c r="P910" i="3"/>
  <c r="P863" i="3"/>
  <c r="P847" i="3"/>
  <c r="P841" i="3"/>
  <c r="P837" i="3"/>
  <c r="P833" i="3"/>
  <c r="P829" i="3"/>
  <c r="P828" i="3"/>
  <c r="P825" i="3"/>
  <c r="P824" i="3"/>
  <c r="P817" i="3"/>
  <c r="P813" i="3"/>
  <c r="P812" i="3"/>
  <c r="P809" i="3"/>
  <c r="P808" i="3"/>
  <c r="P805" i="3"/>
  <c r="P801" i="3"/>
  <c r="P800" i="3"/>
  <c r="P797" i="3"/>
  <c r="P796" i="3"/>
  <c r="P793" i="3"/>
  <c r="P789" i="3"/>
  <c r="P785" i="3"/>
  <c r="P781" i="3"/>
  <c r="P777" i="3"/>
  <c r="P773" i="3"/>
  <c r="P772" i="3"/>
  <c r="P769" i="3"/>
  <c r="P765" i="3"/>
  <c r="P764" i="3"/>
  <c r="P706" i="3"/>
  <c r="P702" i="3"/>
  <c r="P698" i="3"/>
  <c r="P697" i="3"/>
  <c r="P694" i="3"/>
  <c r="P690" i="3"/>
  <c r="P689" i="3"/>
  <c r="P686" i="3"/>
  <c r="P682" i="3"/>
  <c r="P594" i="3"/>
  <c r="P590" i="3"/>
  <c r="P582" i="3"/>
  <c r="P578" i="3"/>
  <c r="P558" i="3"/>
  <c r="P538" i="3"/>
  <c r="P526" i="3"/>
  <c r="P506" i="3"/>
  <c r="P480" i="3"/>
  <c r="P476" i="3"/>
  <c r="P472" i="3"/>
  <c r="P468" i="3"/>
  <c r="P464" i="3"/>
  <c r="P456" i="3"/>
  <c r="H309" i="3"/>
  <c r="J309" i="3" s="1"/>
  <c r="H308" i="3"/>
  <c r="J308" i="3" s="1"/>
  <c r="H307" i="3"/>
  <c r="J307" i="3" s="1"/>
  <c r="H305" i="3"/>
  <c r="J305" i="3" s="1"/>
  <c r="H304" i="3"/>
  <c r="J304" i="3" s="1"/>
  <c r="H303" i="3"/>
  <c r="J303" i="3" s="1"/>
  <c r="H302" i="3"/>
  <c r="J302" i="3" s="1"/>
  <c r="H301" i="3"/>
  <c r="J301" i="3" s="1"/>
  <c r="H300" i="3"/>
  <c r="J300" i="3" s="1"/>
  <c r="H2" i="3"/>
  <c r="J2" i="3" s="1"/>
  <c r="M70" i="3" l="1"/>
  <c r="M7" i="3"/>
  <c r="L168" i="3"/>
  <c r="M121" i="3"/>
  <c r="M58" i="3"/>
  <c r="L112" i="3"/>
  <c r="L288" i="3"/>
  <c r="M200" i="3"/>
  <c r="M56" i="3"/>
  <c r="M172" i="3"/>
  <c r="M205" i="3"/>
  <c r="M80" i="3"/>
  <c r="M243" i="3"/>
  <c r="M267" i="3"/>
  <c r="L296" i="3"/>
  <c r="M162" i="3"/>
  <c r="M220" i="3"/>
  <c r="M201" i="3"/>
  <c r="M54" i="3"/>
  <c r="M281" i="3"/>
  <c r="M251" i="3"/>
  <c r="M127" i="3"/>
  <c r="M218" i="3"/>
  <c r="M265" i="3"/>
  <c r="M52" i="3"/>
  <c r="M298" i="3"/>
  <c r="M270" i="3"/>
  <c r="M219" i="3"/>
  <c r="M177" i="3"/>
  <c r="M95" i="3"/>
  <c r="M204" i="3"/>
  <c r="M213" i="3"/>
  <c r="M233" i="3"/>
  <c r="M188" i="3"/>
  <c r="M269" i="3"/>
  <c r="L96" i="3"/>
  <c r="L40" i="3"/>
  <c r="M196" i="3"/>
  <c r="M293" i="3"/>
  <c r="M175" i="3"/>
  <c r="M195" i="3"/>
  <c r="M193" i="3"/>
  <c r="M183" i="3"/>
  <c r="M225" i="3"/>
  <c r="M178" i="3"/>
  <c r="M180" i="3"/>
  <c r="M245" i="3"/>
  <c r="M119" i="3"/>
  <c r="M264" i="3"/>
  <c r="M255" i="3"/>
  <c r="L48" i="3"/>
  <c r="M165" i="3"/>
  <c r="M182" i="3"/>
  <c r="M287" i="3"/>
  <c r="M90" i="3"/>
  <c r="M297" i="3"/>
  <c r="M221" i="3"/>
  <c r="L240" i="3"/>
  <c r="M250" i="3"/>
  <c r="M227" i="3"/>
  <c r="M252" i="3"/>
  <c r="M271" i="3"/>
  <c r="M289" i="3"/>
  <c r="M102" i="3"/>
  <c r="M279" i="3"/>
  <c r="M234" i="3"/>
  <c r="M259" i="3"/>
  <c r="M197" i="3"/>
  <c r="M222" i="3"/>
  <c r="M274" i="3"/>
  <c r="M166" i="3"/>
  <c r="M249" i="3"/>
  <c r="M114" i="3"/>
  <c r="M174" i="3"/>
  <c r="M128" i="3"/>
  <c r="M283" i="3"/>
  <c r="M284" i="3"/>
  <c r="M261" i="3"/>
  <c r="M190" i="3"/>
  <c r="M144" i="3"/>
  <c r="M145" i="3"/>
  <c r="M276" i="3"/>
  <c r="M291" i="3"/>
  <c r="M223" i="3"/>
  <c r="M192" i="3"/>
  <c r="M217" i="3"/>
  <c r="M247" i="3"/>
  <c r="L104" i="3"/>
  <c r="M292" i="3"/>
  <c r="M214" i="3"/>
  <c r="M184" i="3"/>
  <c r="M91" i="3"/>
  <c r="M187" i="3"/>
  <c r="M133" i="3"/>
  <c r="M246" i="3"/>
  <c r="M208" i="3"/>
  <c r="M290" i="3"/>
  <c r="M237" i="3"/>
  <c r="M50" i="3"/>
  <c r="M186" i="3"/>
  <c r="M207" i="3"/>
  <c r="M179" i="3"/>
  <c r="M116" i="3"/>
  <c r="M53" i="3"/>
  <c r="M129" i="3"/>
  <c r="M238" i="3"/>
  <c r="M194" i="3"/>
  <c r="M6" i="3"/>
  <c r="M254" i="3"/>
  <c r="M256" i="3"/>
  <c r="M170" i="3"/>
  <c r="M266" i="3"/>
  <c r="M242" i="3"/>
  <c r="M295" i="3"/>
  <c r="M126" i="3"/>
  <c r="M109" i="3"/>
  <c r="M253" i="3"/>
  <c r="M142" i="3"/>
  <c r="M278" i="3"/>
  <c r="M199" i="3"/>
  <c r="M248" i="3"/>
  <c r="L176" i="3"/>
  <c r="M105" i="3"/>
  <c r="M229" i="3"/>
  <c r="M191" i="3"/>
  <c r="M216" i="3"/>
  <c r="M11" i="3"/>
  <c r="M275" i="3"/>
  <c r="M212" i="3"/>
  <c r="M286" i="3"/>
  <c r="M185" i="3"/>
  <c r="M209" i="3"/>
  <c r="M120" i="3"/>
  <c r="M130" i="3"/>
  <c r="M228" i="3"/>
  <c r="M173" i="3"/>
  <c r="M285" i="3"/>
  <c r="M239" i="3"/>
  <c r="M280" i="3"/>
  <c r="M169" i="3"/>
  <c r="M258" i="3"/>
  <c r="M101" i="3"/>
  <c r="M75" i="3"/>
  <c r="M294" i="3"/>
  <c r="M210" i="3"/>
  <c r="M299" i="3"/>
  <c r="M244" i="3"/>
  <c r="M181" i="3"/>
  <c r="M55" i="3"/>
  <c r="M136" i="3"/>
  <c r="M206" i="3"/>
  <c r="L224" i="3"/>
  <c r="M84" i="3"/>
  <c r="M103" i="3"/>
  <c r="M263" i="3"/>
  <c r="M152" i="3"/>
  <c r="M98" i="3"/>
  <c r="M106" i="3"/>
  <c r="M81" i="3"/>
  <c r="M235" i="3"/>
  <c r="M260" i="3"/>
  <c r="M262" i="3"/>
  <c r="M202" i="3"/>
  <c r="M51" i="3"/>
  <c r="M268" i="3"/>
  <c r="M277" i="3"/>
  <c r="M241" i="3"/>
  <c r="I308" i="3"/>
  <c r="L308" i="3" s="1"/>
  <c r="P308" i="3"/>
  <c r="I300" i="3"/>
  <c r="L300" i="3" s="1"/>
  <c r="P300" i="3"/>
  <c r="M189" i="3"/>
  <c r="M122" i="3"/>
  <c r="M154" i="3"/>
  <c r="M282" i="3"/>
  <c r="I302" i="3"/>
  <c r="L302" i="3" s="1"/>
  <c r="P302" i="3"/>
  <c r="M171" i="3"/>
  <c r="M198" i="3"/>
  <c r="M215" i="3"/>
  <c r="I303" i="3"/>
  <c r="L303" i="3" s="1"/>
  <c r="P303" i="3"/>
  <c r="I309" i="3"/>
  <c r="L309" i="3" s="1"/>
  <c r="P309" i="3"/>
  <c r="M231" i="3"/>
  <c r="M273" i="3"/>
  <c r="I304" i="3"/>
  <c r="M304" i="3" s="1"/>
  <c r="P304" i="3"/>
  <c r="M93" i="3"/>
  <c r="M272" i="3"/>
  <c r="M203" i="3"/>
  <c r="M230" i="3"/>
  <c r="M57" i="3"/>
  <c r="I301" i="3"/>
  <c r="L301" i="3" s="1"/>
  <c r="P301" i="3"/>
  <c r="L232" i="3"/>
  <c r="I305" i="3"/>
  <c r="L305" i="3" s="1"/>
  <c r="P305" i="3"/>
  <c r="I307" i="3"/>
  <c r="L307" i="3" s="1"/>
  <c r="P307" i="3"/>
  <c r="M211" i="3"/>
  <c r="M257" i="3"/>
  <c r="M236" i="3"/>
  <c r="M226" i="3"/>
  <c r="M134" i="3"/>
  <c r="M132" i="3"/>
  <c r="M135" i="3"/>
  <c r="M131" i="3"/>
  <c r="M167" i="3"/>
  <c r="J306" i="3"/>
  <c r="M164" i="3"/>
  <c r="M159" i="3"/>
  <c r="L160" i="3"/>
  <c r="M163" i="3"/>
  <c r="M161" i="3"/>
  <c r="M157" i="3"/>
  <c r="M155" i="3"/>
  <c r="M158" i="3"/>
  <c r="M148" i="3"/>
  <c r="M156" i="3"/>
  <c r="M151" i="3"/>
  <c r="M153" i="3"/>
  <c r="M150" i="3"/>
  <c r="M149" i="3"/>
  <c r="M113" i="3"/>
  <c r="M147" i="3"/>
  <c r="M146" i="3"/>
  <c r="M141" i="3"/>
  <c r="M143" i="3"/>
  <c r="M140" i="3"/>
  <c r="M138" i="3"/>
  <c r="M139" i="3"/>
  <c r="M118" i="3"/>
  <c r="M137" i="3"/>
  <c r="M124" i="3"/>
  <c r="M123" i="3"/>
  <c r="M125" i="3"/>
  <c r="M117" i="3"/>
  <c r="M115" i="3"/>
  <c r="M107" i="3"/>
  <c r="M111" i="3"/>
  <c r="M108" i="3"/>
  <c r="M110" i="3"/>
  <c r="M100" i="3"/>
  <c r="M99" i="3"/>
  <c r="M92" i="3"/>
  <c r="M89" i="3"/>
  <c r="M97" i="3"/>
  <c r="M87" i="3"/>
  <c r="M88" i="3"/>
  <c r="M86" i="3"/>
  <c r="M49" i="3"/>
  <c r="M33" i="3"/>
  <c r="M85" i="3"/>
  <c r="M83" i="3"/>
  <c r="M76" i="3"/>
  <c r="M77" i="3"/>
  <c r="M78" i="3"/>
  <c r="M94" i="3"/>
  <c r="M74" i="3"/>
  <c r="M82" i="3"/>
  <c r="M47" i="3"/>
  <c r="M79" i="3"/>
  <c r="M72" i="3"/>
  <c r="M71" i="3"/>
  <c r="M73" i="3"/>
  <c r="M68" i="3"/>
  <c r="M69" i="3"/>
  <c r="M65" i="3"/>
  <c r="M67" i="3"/>
  <c r="M66" i="3"/>
  <c r="M60" i="3"/>
  <c r="M64" i="3"/>
  <c r="M63" i="3"/>
  <c r="M62" i="3"/>
  <c r="M61" i="3"/>
  <c r="M59" i="3"/>
  <c r="M43" i="3"/>
  <c r="M46" i="3"/>
  <c r="M45" i="3"/>
  <c r="M41" i="3"/>
  <c r="M36" i="3"/>
  <c r="M44" i="3"/>
  <c r="M42" i="3"/>
  <c r="M38" i="3"/>
  <c r="M39" i="3"/>
  <c r="M37" i="3"/>
  <c r="M34" i="3"/>
  <c r="M35" i="3"/>
  <c r="L32" i="3"/>
  <c r="M31" i="3"/>
  <c r="M27" i="3"/>
  <c r="M29" i="3"/>
  <c r="M28" i="3"/>
  <c r="M30" i="3"/>
  <c r="M26" i="3"/>
  <c r="M25" i="3"/>
  <c r="M22" i="3"/>
  <c r="M20" i="3"/>
  <c r="M24" i="3"/>
  <c r="M23" i="3"/>
  <c r="M19" i="3"/>
  <c r="M16" i="3"/>
  <c r="M15" i="3"/>
  <c r="M17" i="3"/>
  <c r="M13" i="3"/>
  <c r="M14" i="3"/>
  <c r="M12" i="3"/>
  <c r="M9" i="3"/>
  <c r="M5" i="3"/>
  <c r="M3" i="3"/>
  <c r="M18" i="3"/>
  <c r="M4" i="3"/>
  <c r="I2" i="3"/>
  <c r="P2" i="3"/>
  <c r="P1006" i="3"/>
  <c r="P960" i="3"/>
  <c r="P834" i="3"/>
  <c r="P562" i="3"/>
  <c r="P580" i="3"/>
  <c r="P780" i="3"/>
  <c r="P788" i="3"/>
  <c r="P816" i="3"/>
  <c r="P700" i="3"/>
  <c r="P947" i="3"/>
  <c r="P1008" i="3"/>
  <c r="P794" i="3"/>
  <c r="P810" i="3"/>
  <c r="P1014" i="3"/>
  <c r="P962" i="3"/>
  <c r="P1002" i="3"/>
  <c r="P955" i="3"/>
  <c r="P584" i="3"/>
  <c r="P466" i="3"/>
  <c r="P654" i="3"/>
  <c r="P820" i="3"/>
  <c r="P674" i="3"/>
  <c r="P693" i="3"/>
  <c r="P933" i="3"/>
  <c r="P650" i="3"/>
  <c r="P921" i="3"/>
  <c r="P598" i="3"/>
  <c r="P606" i="3"/>
  <c r="P638" i="3"/>
  <c r="P774" i="3"/>
  <c r="P546" i="3"/>
  <c r="P570" i="3"/>
  <c r="P626" i="3"/>
  <c r="P670" i="3"/>
  <c r="P928" i="3"/>
  <c r="P550" i="3"/>
  <c r="P630" i="3"/>
  <c r="P681" i="3"/>
  <c r="P784" i="3"/>
  <c r="P536" i="3"/>
  <c r="P618" i="3"/>
  <c r="P658" i="3"/>
  <c r="P634" i="3"/>
  <c r="P678" i="3"/>
  <c r="P685" i="3"/>
  <c r="P818" i="3"/>
  <c r="P838" i="3"/>
  <c r="P917" i="3"/>
  <c r="P924" i="3"/>
  <c r="P574" i="3"/>
  <c r="P610" i="3"/>
  <c r="P642" i="3"/>
  <c r="P530" i="3"/>
  <c r="P662" i="3"/>
  <c r="P842" i="3"/>
  <c r="P504" i="3"/>
  <c r="P614" i="3"/>
  <c r="P646" i="3"/>
  <c r="P929" i="3"/>
  <c r="P602" i="3"/>
  <c r="P622" i="3"/>
  <c r="P666" i="3"/>
  <c r="P705" i="3"/>
  <c r="P804" i="3"/>
  <c r="P911" i="3"/>
  <c r="P778" i="3"/>
  <c r="P807" i="3"/>
  <c r="P826" i="3"/>
  <c r="P830" i="3"/>
  <c r="P939" i="3"/>
  <c r="P984" i="3"/>
  <c r="P995" i="3"/>
  <c r="P696" i="3"/>
  <c r="P791" i="3"/>
  <c r="P799" i="3"/>
  <c r="P815" i="3"/>
  <c r="P835" i="3"/>
  <c r="P934" i="3"/>
  <c r="P968" i="3"/>
  <c r="P979" i="3"/>
  <c r="P1000" i="3"/>
  <c r="P783" i="3"/>
  <c r="P823" i="3"/>
  <c r="P827" i="3"/>
  <c r="P831" i="3"/>
  <c r="P949" i="3"/>
  <c r="P1011" i="3"/>
  <c r="P454" i="3"/>
  <c r="P470" i="3"/>
  <c r="P548" i="3"/>
  <c r="P552" i="3"/>
  <c r="P608" i="3"/>
  <c r="P612" i="3"/>
  <c r="P616" i="3"/>
  <c r="P620" i="3"/>
  <c r="P624" i="3"/>
  <c r="P628" i="3"/>
  <c r="P632" i="3"/>
  <c r="P636" i="3"/>
  <c r="P640" i="3"/>
  <c r="P644" i="3"/>
  <c r="P648" i="3"/>
  <c r="P652" i="3"/>
  <c r="P656" i="3"/>
  <c r="P660" i="3"/>
  <c r="P664" i="3"/>
  <c r="P668" i="3"/>
  <c r="P672" i="3"/>
  <c r="P676" i="3"/>
  <c r="P703" i="3"/>
  <c r="P708" i="3"/>
  <c r="P925" i="3"/>
  <c r="P971" i="3"/>
  <c r="P976" i="3"/>
  <c r="P987" i="3"/>
  <c r="P992" i="3"/>
  <c r="P946" i="3"/>
  <c r="P963" i="3"/>
  <c r="P1003" i="3"/>
  <c r="P452" i="3"/>
  <c r="P839" i="3"/>
  <c r="P451" i="3"/>
  <c r="P462" i="3"/>
  <c r="P730" i="3"/>
  <c r="P448" i="3"/>
  <c r="P474" i="3"/>
  <c r="P762" i="3"/>
  <c r="P492" i="3"/>
  <c r="P509" i="3"/>
  <c r="P515" i="3"/>
  <c r="P540" i="3"/>
  <c r="P554" i="3"/>
  <c r="P587" i="3"/>
  <c r="P501" i="3"/>
  <c r="P460" i="3"/>
  <c r="P528" i="3"/>
  <c r="P542" i="3"/>
  <c r="P455" i="3"/>
  <c r="P469" i="3"/>
  <c r="P498" i="3"/>
  <c r="P549" i="3"/>
  <c r="P611" i="3"/>
  <c r="P443" i="3"/>
  <c r="P484" i="3"/>
  <c r="P494" i="3"/>
  <c r="P510" i="3"/>
  <c r="P516" i="3"/>
  <c r="P532" i="3"/>
  <c r="P653" i="3"/>
  <c r="P657" i="3"/>
  <c r="P485" i="3"/>
  <c r="P496" i="3"/>
  <c r="P505" i="3"/>
  <c r="P511" i="3"/>
  <c r="P522" i="3"/>
  <c r="P537" i="3"/>
  <c r="P463" i="3"/>
  <c r="P481" i="3"/>
  <c r="P497" i="3"/>
  <c r="P523" i="3"/>
  <c r="P566" i="3"/>
  <c r="P575" i="3"/>
  <c r="P449" i="3"/>
  <c r="P513" i="3"/>
  <c r="P524" i="3"/>
  <c r="P446" i="3"/>
  <c r="P459" i="3"/>
  <c r="P477" i="3"/>
  <c r="P488" i="3"/>
  <c r="P493" i="3"/>
  <c r="P502" i="3"/>
  <c r="P529" i="3"/>
  <c r="P533" i="3"/>
  <c r="P541" i="3"/>
  <c r="P586" i="3"/>
  <c r="P607" i="3"/>
  <c r="P701" i="3"/>
  <c r="P453" i="3"/>
  <c r="P467" i="3"/>
  <c r="P499" i="3"/>
  <c r="P503" i="3"/>
  <c r="P512" i="3"/>
  <c r="P520" i="3"/>
  <c r="P525" i="3"/>
  <c r="P534" i="3"/>
  <c r="P543" i="3"/>
  <c r="P555" i="3"/>
  <c r="P639" i="3"/>
  <c r="P457" i="3"/>
  <c r="P471" i="3"/>
  <c r="P486" i="3"/>
  <c r="P495" i="3"/>
  <c r="P507" i="3"/>
  <c r="P517" i="3"/>
  <c r="P592" i="3"/>
  <c r="P604" i="3"/>
  <c r="P643" i="3"/>
  <c r="P444" i="3"/>
  <c r="P461" i="3"/>
  <c r="P475" i="3"/>
  <c r="P490" i="3"/>
  <c r="P500" i="3"/>
  <c r="P531" i="3"/>
  <c r="P535" i="3"/>
  <c r="P560" i="3"/>
  <c r="P572" i="3"/>
  <c r="P601" i="3"/>
  <c r="P671" i="3"/>
  <c r="P447" i="3"/>
  <c r="P450" i="3"/>
  <c r="P465" i="3"/>
  <c r="P479" i="3"/>
  <c r="P483" i="3"/>
  <c r="P491" i="3"/>
  <c r="P508" i="3"/>
  <c r="P514" i="3"/>
  <c r="P518" i="3"/>
  <c r="P527" i="3"/>
  <c r="P539" i="3"/>
  <c r="P569" i="3"/>
  <c r="P581" i="3"/>
  <c r="P621" i="3"/>
  <c r="P625" i="3"/>
  <c r="P675" i="3"/>
  <c r="P561" i="3"/>
  <c r="P567" i="3"/>
  <c r="P593" i="3"/>
  <c r="P599" i="3"/>
  <c r="P615" i="3"/>
  <c r="P629" i="3"/>
  <c r="P647" i="3"/>
  <c r="P661" i="3"/>
  <c r="P679" i="3"/>
  <c r="P547" i="3"/>
  <c r="P573" i="3"/>
  <c r="P579" i="3"/>
  <c r="P605" i="3"/>
  <c r="P619" i="3"/>
  <c r="P633" i="3"/>
  <c r="P651" i="3"/>
  <c r="P665" i="3"/>
  <c r="P683" i="3"/>
  <c r="P719" i="3"/>
  <c r="P751" i="3"/>
  <c r="P553" i="3"/>
  <c r="P559" i="3"/>
  <c r="P564" i="3"/>
  <c r="P585" i="3"/>
  <c r="P591" i="3"/>
  <c r="P596" i="3"/>
  <c r="P623" i="3"/>
  <c r="P637" i="3"/>
  <c r="P655" i="3"/>
  <c r="P669" i="3"/>
  <c r="P680" i="3"/>
  <c r="P684" i="3"/>
  <c r="P544" i="3"/>
  <c r="P565" i="3"/>
  <c r="P571" i="3"/>
  <c r="P576" i="3"/>
  <c r="P597" i="3"/>
  <c r="P603" i="3"/>
  <c r="P609" i="3"/>
  <c r="P627" i="3"/>
  <c r="P641" i="3"/>
  <c r="P659" i="3"/>
  <c r="P673" i="3"/>
  <c r="P704" i="3"/>
  <c r="P714" i="3"/>
  <c r="P746" i="3"/>
  <c r="P771" i="3"/>
  <c r="P545" i="3"/>
  <c r="P551" i="3"/>
  <c r="P556" i="3"/>
  <c r="P577" i="3"/>
  <c r="P583" i="3"/>
  <c r="P588" i="3"/>
  <c r="P613" i="3"/>
  <c r="P631" i="3"/>
  <c r="P645" i="3"/>
  <c r="P663" i="3"/>
  <c r="P677" i="3"/>
  <c r="P688" i="3"/>
  <c r="P691" i="3"/>
  <c r="P695" i="3"/>
  <c r="P487" i="3"/>
  <c r="P489" i="3"/>
  <c r="P519" i="3"/>
  <c r="P521" i="3"/>
  <c r="P557" i="3"/>
  <c r="P563" i="3"/>
  <c r="P568" i="3"/>
  <c r="P589" i="3"/>
  <c r="P595" i="3"/>
  <c r="P600" i="3"/>
  <c r="P617" i="3"/>
  <c r="P635" i="3"/>
  <c r="P649" i="3"/>
  <c r="P667" i="3"/>
  <c r="P709" i="3"/>
  <c r="P735" i="3"/>
  <c r="P767" i="3"/>
  <c r="P687" i="3"/>
  <c r="P692" i="3"/>
  <c r="P713" i="3"/>
  <c r="P724" i="3"/>
  <c r="P729" i="3"/>
  <c r="P740" i="3"/>
  <c r="P745" i="3"/>
  <c r="P756" i="3"/>
  <c r="P761" i="3"/>
  <c r="P766" i="3"/>
  <c r="P792" i="3"/>
  <c r="P806" i="3"/>
  <c r="P710" i="3"/>
  <c r="P720" i="3"/>
  <c r="P725" i="3"/>
  <c r="P736" i="3"/>
  <c r="P741" i="3"/>
  <c r="P752" i="3"/>
  <c r="P757" i="3"/>
  <c r="P865" i="3"/>
  <c r="P872" i="3"/>
  <c r="P904" i="3"/>
  <c r="P715" i="3"/>
  <c r="P726" i="3"/>
  <c r="P731" i="3"/>
  <c r="P742" i="3"/>
  <c r="P747" i="3"/>
  <c r="P758" i="3"/>
  <c r="P763" i="3"/>
  <c r="P768" i="3"/>
  <c r="P776" i="3"/>
  <c r="P790" i="3"/>
  <c r="P811" i="3"/>
  <c r="P860" i="3"/>
  <c r="P699" i="3"/>
  <c r="P707" i="3"/>
  <c r="P716" i="3"/>
  <c r="P721" i="3"/>
  <c r="P732" i="3"/>
  <c r="P737" i="3"/>
  <c r="P748" i="3"/>
  <c r="P753" i="3"/>
  <c r="P821" i="3"/>
  <c r="P832" i="3"/>
  <c r="P856" i="3"/>
  <c r="P711" i="3"/>
  <c r="P722" i="3"/>
  <c r="P727" i="3"/>
  <c r="P738" i="3"/>
  <c r="P743" i="3"/>
  <c r="P754" i="3"/>
  <c r="P759" i="3"/>
  <c r="P851" i="3"/>
  <c r="P712" i="3"/>
  <c r="P717" i="3"/>
  <c r="P728" i="3"/>
  <c r="P733" i="3"/>
  <c r="P744" i="3"/>
  <c r="P749" i="3"/>
  <c r="P760" i="3"/>
  <c r="P718" i="3"/>
  <c r="P723" i="3"/>
  <c r="P734" i="3"/>
  <c r="P739" i="3"/>
  <c r="P750" i="3"/>
  <c r="P755" i="3"/>
  <c r="P770" i="3"/>
  <c r="P787" i="3"/>
  <c r="P803" i="3"/>
  <c r="P855" i="3"/>
  <c r="P864" i="3"/>
  <c r="P871" i="3"/>
  <c r="P884" i="3"/>
  <c r="P836" i="3"/>
  <c r="P866" i="3"/>
  <c r="P892" i="3"/>
  <c r="P840" i="3"/>
  <c r="P843" i="3"/>
  <c r="P857" i="3"/>
  <c r="P861" i="3"/>
  <c r="P867" i="3"/>
  <c r="P880" i="3"/>
  <c r="P914" i="3"/>
  <c r="P775" i="3"/>
  <c r="P779" i="3"/>
  <c r="P795" i="3"/>
  <c r="P848" i="3"/>
  <c r="P868" i="3"/>
  <c r="P900" i="3"/>
  <c r="P920" i="3"/>
  <c r="P1005" i="3"/>
  <c r="P786" i="3"/>
  <c r="P802" i="3"/>
  <c r="P814" i="3"/>
  <c r="P819" i="3"/>
  <c r="P849" i="3"/>
  <c r="P853" i="3"/>
  <c r="P888" i="3"/>
  <c r="P869" i="3"/>
  <c r="P876" i="3"/>
  <c r="P908" i="3"/>
  <c r="P940" i="3"/>
  <c r="P782" i="3"/>
  <c r="P798" i="3"/>
  <c r="P822" i="3"/>
  <c r="P845" i="3"/>
  <c r="P854" i="3"/>
  <c r="P870" i="3"/>
  <c r="P896" i="3"/>
  <c r="P980" i="3"/>
  <c r="P852" i="3"/>
  <c r="P875" i="3"/>
  <c r="P879" i="3"/>
  <c r="P883" i="3"/>
  <c r="P887" i="3"/>
  <c r="P891" i="3"/>
  <c r="P895" i="3"/>
  <c r="P899" i="3"/>
  <c r="P903" i="3"/>
  <c r="P907" i="3"/>
  <c r="P927" i="3"/>
  <c r="P989" i="3"/>
  <c r="P1013" i="3"/>
  <c r="P859" i="3"/>
  <c r="P918" i="3"/>
  <c r="P973" i="3"/>
  <c r="P993" i="3"/>
  <c r="P858" i="3"/>
  <c r="P931" i="3"/>
  <c r="P994" i="3"/>
  <c r="P1009" i="3"/>
  <c r="P873" i="3"/>
  <c r="P877" i="3"/>
  <c r="P881" i="3"/>
  <c r="P885" i="3"/>
  <c r="P889" i="3"/>
  <c r="P893" i="3"/>
  <c r="P897" i="3"/>
  <c r="P901" i="3"/>
  <c r="P905" i="3"/>
  <c r="P909" i="3"/>
  <c r="P912" i="3"/>
  <c r="P919" i="3"/>
  <c r="P937" i="3"/>
  <c r="P953" i="3"/>
  <c r="P977" i="3"/>
  <c r="P1010" i="3"/>
  <c r="P846" i="3"/>
  <c r="P862" i="3"/>
  <c r="P916" i="3"/>
  <c r="P923" i="3"/>
  <c r="P938" i="3"/>
  <c r="P978" i="3"/>
  <c r="P991" i="3"/>
  <c r="P844" i="3"/>
  <c r="P874" i="3"/>
  <c r="P878" i="3"/>
  <c r="P882" i="3"/>
  <c r="P886" i="3"/>
  <c r="P890" i="3"/>
  <c r="P894" i="3"/>
  <c r="P898" i="3"/>
  <c r="P902" i="3"/>
  <c r="P906" i="3"/>
  <c r="P1007" i="3"/>
  <c r="P850" i="3"/>
  <c r="P975" i="3"/>
  <c r="P996" i="3"/>
  <c r="P1012" i="3"/>
  <c r="P941" i="3"/>
  <c r="P954" i="3"/>
  <c r="P981" i="3"/>
  <c r="P997" i="3"/>
  <c r="P913" i="3"/>
  <c r="P957" i="3"/>
  <c r="P970" i="3"/>
  <c r="P986" i="3"/>
  <c r="P922" i="3"/>
  <c r="P926" i="3"/>
  <c r="P930" i="3"/>
  <c r="P965" i="3"/>
  <c r="M305" i="3" l="1"/>
  <c r="M303" i="3"/>
  <c r="M302" i="3"/>
  <c r="L304" i="3"/>
  <c r="M300" i="3"/>
  <c r="M308" i="3"/>
  <c r="I306" i="3"/>
  <c r="L306" i="3" s="1"/>
  <c r="P306" i="3"/>
  <c r="M309" i="3"/>
  <c r="M307" i="3"/>
  <c r="M301" i="3"/>
  <c r="M2" i="3"/>
  <c r="M306" i="3" l="1"/>
</calcChain>
</file>

<file path=xl/sharedStrings.xml><?xml version="1.0" encoding="utf-8"?>
<sst xmlns="http://schemas.openxmlformats.org/spreadsheetml/2006/main" count="4219" uniqueCount="1038">
  <si>
    <t>TIPO DE SOLICITUD</t>
  </si>
  <si>
    <t>RADICADO</t>
  </si>
  <si>
    <t>FECHA DE INGRESO DE LA SOLICITUD</t>
  </si>
  <si>
    <t>AREA RESPONSABLE</t>
  </si>
  <si>
    <t>TERMINO</t>
  </si>
  <si>
    <t>ALERTA</t>
  </si>
  <si>
    <t xml:space="preserve"> QUEN RECIBIO</t>
  </si>
  <si>
    <t>POSIBLES DIAS RESTANTES</t>
  </si>
  <si>
    <t>FECHA DE VENCIMIENTO</t>
  </si>
  <si>
    <t>ALERTA 2</t>
  </si>
  <si>
    <t>CONSECUTIVO</t>
  </si>
  <si>
    <t>DIAS QUE LE SOBRARON</t>
  </si>
  <si>
    <t>FECHA DE SALIDA</t>
  </si>
  <si>
    <t xml:space="preserve">NOMBRE </t>
  </si>
  <si>
    <t>ASUNTO</t>
  </si>
  <si>
    <t>ENTIDAD</t>
  </si>
  <si>
    <t>si salen en engativo sobraron</t>
  </si>
  <si>
    <t>si salen positivos nos pasamos</t>
  </si>
  <si>
    <t>OTRO</t>
  </si>
  <si>
    <t>INFORMACIÓN O DOCUMENTOS</t>
  </si>
  <si>
    <t xml:space="preserve">DESAFILIACIONES </t>
  </si>
  <si>
    <t xml:space="preserve">COTIZACIÓN </t>
  </si>
  <si>
    <t>TRASLADO POR COMPETENCIA -MARIA MARGARITALOPEZ GOMEZ</t>
  </si>
  <si>
    <t xml:space="preserve">ACTA DEL COMITÉ DE CONOCIMIENTO DE RIESGO </t>
  </si>
  <si>
    <t xml:space="preserve">DERECHO DE PETICIÓN </t>
  </si>
  <si>
    <t xml:space="preserve">REMISIÓN MESA DE TRABAJO </t>
  </si>
  <si>
    <t xml:space="preserve">RESPUESTA DE VINCULACIÓN </t>
  </si>
  <si>
    <t xml:space="preserve">ACTUALIZACIÓN DE INFORMACIÓN </t>
  </si>
  <si>
    <t xml:space="preserve">INMUEBLE DESOCUPADO </t>
  </si>
  <si>
    <t>Respuesta al radicado de entrada SSPD No. 20255294845332 de fecha 20 de
noviembre de 2025 - Respuesta a solicitud con radicado interno 2529 del 4 de noviembre de 2025.
“Radicado CE-GT-2420 (Respuesta a Radicado No. 2437 del 20 de octubre de
2025.Requerimiento Ordinario No. 49 - 3458)”</t>
  </si>
  <si>
    <t xml:space="preserve">SOLICITUD DE CERTIFICADO </t>
  </si>
  <si>
    <t xml:space="preserve">CARACTERIZACIÓN </t>
  </si>
  <si>
    <t xml:space="preserve">PROPUESTA </t>
  </si>
  <si>
    <t>Respuesta a oficio CE-GC-0002 del 05-01-2026 con Rad interno No 2026-1-1-75 del 06-01-2026</t>
  </si>
  <si>
    <t>Respuesta a oficio CE-GC-0001 del 05-1-2026 con Rad interno No 2026-1-1-74 del 06-01-2026</t>
  </si>
  <si>
    <t xml:space="preserve">SOLICITD DE ESCOMBROS </t>
  </si>
  <si>
    <t xml:space="preserve">SOLICITD DE DESCUENTO EN LA DEUDA DE ASEO </t>
  </si>
  <si>
    <t xml:space="preserve">REFERENCIAS PERSONALES </t>
  </si>
  <si>
    <t xml:space="preserve">AGRADECIMIENTO </t>
  </si>
  <si>
    <t xml:space="preserve">NOTIFICACIÓN PERSONAL </t>
  </si>
  <si>
    <t xml:space="preserve">TRASLADO POR COMPETENCIA </t>
  </si>
  <si>
    <t xml:space="preserve">SOLICITUD DE INFORMACIÓN PARA LIQUIDAR EL CONCURSO ECONOMICO </t>
  </si>
  <si>
    <t xml:space="preserve">Derecho de Petición fechado el día 23/12/2025   </t>
  </si>
  <si>
    <t xml:space="preserve">SOLICITUD DE 1 LETRERO </t>
  </si>
  <si>
    <t xml:space="preserve">VINCULACIÓN DIRECTA </t>
  </si>
  <si>
    <t xml:space="preserve">DESAFILIACIÓN </t>
  </si>
  <si>
    <t> Conversaciones clave para la agenda empresarial de 2026</t>
  </si>
  <si>
    <t>SOLICITUD DE LIMPIEZA</t>
  </si>
  <si>
    <t xml:space="preserve">CANCELACIÓN DE GASTOS PROVACDOS POR EL VEHICULO </t>
  </si>
  <si>
    <t>Solicitud de recolección para destrucción de materiales</t>
  </si>
  <si>
    <t xml:space="preserve">SOLICITUD DE 300 LADRILLOS </t>
  </si>
  <si>
    <t xml:space="preserve">SOLICITUD DE PAZ Y SALVO </t>
  </si>
  <si>
    <t>SOLICITUD DE CERTIFICADO</t>
  </si>
  <si>
    <t>Lic. Ricardo Sarmiento.</t>
  </si>
  <si>
    <t>Obligación RIVADENEIRA SANJUAN EXMITH - Tramite de oficio judicial</t>
  </si>
  <si>
    <t>SE NOTIFICA AUTO ADMITE TUTELA RAD 2026-00032</t>
  </si>
  <si>
    <t xml:space="preserve">MAYRA ARTUNDUAGA </t>
  </si>
  <si>
    <t xml:space="preserve">ESAC </t>
  </si>
  <si>
    <t xml:space="preserve">CARLOS ALMERO VIDEL </t>
  </si>
  <si>
    <t xml:space="preserve">USUARIO </t>
  </si>
  <si>
    <t xml:space="preserve">EMITIDO POR LA ALCALDIA </t>
  </si>
  <si>
    <t xml:space="preserve">ALCALDIA </t>
  </si>
  <si>
    <t>KARLA JOHANA LISCANO CORREA</t>
  </si>
  <si>
    <t xml:space="preserve">ESTHER JULIA GOMEZ </t>
  </si>
  <si>
    <t xml:space="preserve">OMAR JOSE MAESTRE FELIZZOLA </t>
  </si>
  <si>
    <t>SUPER</t>
  </si>
  <si>
    <t>ADRIANA GUZMÁN BUITRAGO</t>
  </si>
  <si>
    <t xml:space="preserve">USUARIO DE SERVINTEGRAL </t>
  </si>
  <si>
    <t xml:space="preserve">GINA PAOLA RIVERA CHACON </t>
  </si>
  <si>
    <t xml:space="preserve">EQUIPO DE VERIFICACIÓN </t>
  </si>
  <si>
    <t xml:space="preserve">MARIA GLORIA CUELLAR LOZANO </t>
  </si>
  <si>
    <t>DIANA MARCELA PERDOMO BELTRÁN</t>
  </si>
  <si>
    <t xml:space="preserve">SUPER </t>
  </si>
  <si>
    <t xml:space="preserve">ISMAEL SILVA ALVAREZ </t>
  </si>
  <si>
    <t xml:space="preserve">GAS CAQUETA </t>
  </si>
  <si>
    <t xml:space="preserve">LORENA CASTAÑO </t>
  </si>
  <si>
    <t xml:space="preserve">SAMAMB </t>
  </si>
  <si>
    <t xml:space="preserve">FREDY HERNAN TEJADA </t>
  </si>
  <si>
    <t>ELECTROCAQUETA</t>
  </si>
  <si>
    <t>LUZ ELIANA TOBON MUÑOZ</t>
  </si>
  <si>
    <t xml:space="preserve">NANCY BOHORQUEZ </t>
  </si>
  <si>
    <t xml:space="preserve">EMA </t>
  </si>
  <si>
    <t>LEONOR RODRIGUEZ CELIS</t>
  </si>
  <si>
    <t xml:space="preserve">YULIANA ESCOBAR </t>
  </si>
  <si>
    <t>ESAC</t>
  </si>
  <si>
    <t>WILLIAM EDMUNDO PIEDRAHITA MAYA</t>
  </si>
  <si>
    <t xml:space="preserve">CORPOAMAZONIA </t>
  </si>
  <si>
    <t>LUIS MANUEL ESPINOSA CALDERON</t>
  </si>
  <si>
    <t>ALCALDIA</t>
  </si>
  <si>
    <t>Javier Hernán Puyo Plazas</t>
  </si>
  <si>
    <t xml:space="preserve">MINESTERIO DE TRABAJO </t>
  </si>
  <si>
    <t xml:space="preserve">LUIS ZAPATA OROZCO </t>
  </si>
  <si>
    <t xml:space="preserve">CLAUDIA TOVAR </t>
  </si>
  <si>
    <t xml:space="preserve">MARIA IRAIDES HERRERA GAITAN </t>
  </si>
  <si>
    <t xml:space="preserve">GLORIA CECILIA COLLAZOS </t>
  </si>
  <si>
    <t>MARIBEL TOVAR</t>
  </si>
  <si>
    <t>Martha Lucía Maldonado N.</t>
  </si>
  <si>
    <t xml:space="preserve">GERMAN HURTADO </t>
  </si>
  <si>
    <t xml:space="preserve">REINALDO SALAZAR </t>
  </si>
  <si>
    <t>DENIS YOHANNA PEÑA PERALTA</t>
  </si>
  <si>
    <t>karen tatiana Méndez rubiano </t>
  </si>
  <si>
    <t xml:space="preserve">ABAGAIL PAEZ </t>
  </si>
  <si>
    <t>LEONIDAS TOVAR DIAZ</t>
  </si>
  <si>
    <t>PEDRO PINZON ALVAREZ</t>
  </si>
  <si>
    <t xml:space="preserve">IGNACIO YUSTE URBANO </t>
  </si>
  <si>
    <t>NANCY ORTIZ PEREZ</t>
  </si>
  <si>
    <t xml:space="preserve">JUAN GUILLERMO </t>
  </si>
  <si>
    <t>DIANA MARCELA SUÁREZ JIMÉNEZ</t>
  </si>
  <si>
    <t> Obligación RIVADENEIRA SANJUAN EXMITH - Tramite de oficio judicial</t>
  </si>
  <si>
    <t>JUZGADO CUARTO CIVIL MUNICIPAL DE FLORENCIA - CAQUETÁ</t>
  </si>
  <si>
    <t xml:space="preserve">JUZGADO </t>
  </si>
  <si>
    <t xml:space="preserve">CLAUDIA MARCELA CONTRERAS </t>
  </si>
  <si>
    <t>JUNTA REGIONAL</t>
  </si>
  <si>
    <t>NOTIFICACION DICTAMEN MARIANO OSWALDO ROJAS ARANGO No 07202600012</t>
  </si>
  <si>
    <t xml:space="preserve">KAREN VARGAS </t>
  </si>
  <si>
    <t xml:space="preserve">YINETH CABALLERO </t>
  </si>
  <si>
    <t>SOLIICTUD DE PAZ Y SALVO</t>
  </si>
  <si>
    <t>DONEIRA VASQUEZ</t>
  </si>
  <si>
    <t xml:space="preserve">SOLICITUD DE PODA </t>
  </si>
  <si>
    <t>Derecho de Petición fechado el día 23/12/2025</t>
  </si>
  <si>
    <t xml:space="preserve">CHRISTYAM CAMILO SALAZAR ROJAS </t>
  </si>
  <si>
    <t>3200.09.116-025 Respuesta a informe de Censo de Puntos Críticos – Mes de enero de 2026. CE-GC-0058 </t>
  </si>
  <si>
    <t>DIOSELINA HERNANDEZ MARTINEZ</t>
  </si>
  <si>
    <t>INMUEBLE DESOCUPADO</t>
  </si>
  <si>
    <t>Compulsa de copias para creación de denuncia</t>
  </si>
  <si>
    <t>DIANA MILENA LEON GALINDO</t>
  </si>
  <si>
    <t>Agustina Ascencio Lozano</t>
  </si>
  <si>
    <t>SOLICITUD DE REVISION DE BASURA Calle 25 #7A-03, Barrio Ricaurte</t>
  </si>
  <si>
    <t xml:space="preserve">MARIA NIDIA VALENCIA </t>
  </si>
  <si>
    <t>Julio César Blanco Rodríguez</t>
  </si>
  <si>
    <t>EL VEHICULO NO HIZO EL RECORRIDO</t>
  </si>
  <si>
    <t xml:space="preserve">SERGIO OSWALDO POLANIA </t>
  </si>
  <si>
    <t xml:space="preserve">INFORMACIÓN DE TARIFAS </t>
  </si>
  <si>
    <t xml:space="preserve">TARIFAS </t>
  </si>
  <si>
    <t>Jose anibal zapata tapias</t>
  </si>
  <si>
    <t xml:space="preserve">SOLICITUD CERTIFICADO </t>
  </si>
  <si>
    <t xml:space="preserve">HUGO RIVAS </t>
  </si>
  <si>
    <t xml:space="preserve">PROPUESTA COMERCIAL </t>
  </si>
  <si>
    <t xml:space="preserve">RECOMENDACIÓN </t>
  </si>
  <si>
    <t> Aclaración de visita realizada el 20 de noviembre del 2025 </t>
  </si>
  <si>
    <t>EDGAR CABRERA</t>
  </si>
  <si>
    <t>LINA MARCELA SUAREZ</t>
  </si>
  <si>
    <t>VINCULACIÓN DIRECTA </t>
  </si>
  <si>
    <t xml:space="preserve">JHONATAN CARDOZO </t>
  </si>
  <si>
    <t>SOLICITUD DE DESCUENTO EN LA DEUDA DE ASEO</t>
  </si>
  <si>
    <t xml:space="preserve">ALEXANDE FORERO </t>
  </si>
  <si>
    <t>SOLICTUD DE UN LETRERO </t>
  </si>
  <si>
    <t xml:space="preserve">JULIO CESAR SANABRIA </t>
  </si>
  <si>
    <t>SOLICITUD DE CONTENEDORES</t>
  </si>
  <si>
    <t xml:space="preserve">BRAYAN STIVEN CHAGUALA </t>
  </si>
  <si>
    <t> SOLICITUD DE LETRERO</t>
  </si>
  <si>
    <t>LUIS ALFREDO RINCÓN GONZALEZ</t>
  </si>
  <si>
    <t>DERECHO DE PETIICÓN</t>
  </si>
  <si>
    <t>GILMA ROCIO SALAZAR OREJUELA</t>
  </si>
  <si>
    <t xml:space="preserve">GOBERNACIÓN </t>
  </si>
  <si>
    <t>Requerimiento Ordinario No.05 del 20 de enero de 2026 solicitud de información informe SYC-I-28780</t>
  </si>
  <si>
    <t>NANCY AMANDA MENESES</t>
  </si>
  <si>
    <t xml:space="preserve">PAOLA ANDREA RIVERA </t>
  </si>
  <si>
    <t>Certificado: Respuesta petición radicada con el número 2026_1002063 el día 2026/01/21</t>
  </si>
  <si>
    <t xml:space="preserve">JUAN ANTONIO CAMARGOS VARGAS </t>
  </si>
  <si>
    <t>SOLICITUD INFORMACIÓN PARA LA LINEA BASE APSB DEL DEPARTAMENTO DE CAQUETÁ </t>
  </si>
  <si>
    <t>DANIEL RICARDO MIRQUEZ HERNANDEZ</t>
  </si>
  <si>
    <t>POLICIA</t>
  </si>
  <si>
    <t>SOLICITUD APOYO Y ACOMPAÑAMIENTO ACTIVIDAD ORNATO Y EMBELLECIMIENTO SERVINTEGRAL</t>
  </si>
  <si>
    <t>YENNY PATRICIA ESTRADA OTALORA</t>
  </si>
  <si>
    <t> Notificación 828002229 - TRABAJ. REPORTADO CON &lt; 240 HORAS</t>
  </si>
  <si>
    <t xml:space="preserve">JHON ALEXANDER MENDEZ </t>
  </si>
  <si>
    <t xml:space="preserve">NOVEDAD DE DAÑO </t>
  </si>
  <si>
    <t>Convocatoria Comité de Conocimiento del Riesgo</t>
  </si>
  <si>
    <t xml:space="preserve">ELECTROCAQUETA </t>
  </si>
  <si>
    <t>Respuesta a oficio CE-GC-0052 del 15-01-2026 con Rad interno No 2026-1-1-322 del 15-01-2026</t>
  </si>
  <si>
    <t xml:space="preserve">REIMER VARGAS </t>
  </si>
  <si>
    <t> SOLIICTUD DE RECOLECIÓN TODOS LOS DIAS </t>
  </si>
  <si>
    <t>Respuesta a oficio CE-GC-0051 del 15-01-2026 con Rad interno No 2026-1-1-323 del 15-01-2026</t>
  </si>
  <si>
    <t>MATILDE GUTIERREZ</t>
  </si>
  <si>
    <t xml:space="preserve">COMUNIDAD DE ACOLSURE </t>
  </si>
  <si>
    <t>SOLICITUD DE INSTALACIÓN DE VALLAS DE DEMARCACIÓN ZONA VERDE</t>
  </si>
  <si>
    <t xml:space="preserve">
FAVIO SANCHEZ TOVAR</t>
  </si>
  <si>
    <t> INVITACIÓN PRIMER CONSEJO MUNICIPAL DE GESTION DEL RIESGO 2026</t>
  </si>
  <si>
    <t xml:space="preserve">LORENA SOLANO </t>
  </si>
  <si>
    <t xml:space="preserve">ACTUALIZACIÓN  DE LA FACTURA </t>
  </si>
  <si>
    <t>EDWIN TELLEZ</t>
  </si>
  <si>
    <t xml:space="preserve">ELISABETH PERDOMO </t>
  </si>
  <si>
    <t xml:space="preserve">SOLICITUD DE SERVICIO PERMANENTE </t>
  </si>
  <si>
    <t xml:space="preserve">MARIA STELLA  GOMEZ </t>
  </si>
  <si>
    <t xml:space="preserve">SOLIICTUD DE DESCUENTO EN LA DEUDA DE ASEO </t>
  </si>
  <si>
    <t xml:space="preserve">ROBINSON POVEDA </t>
  </si>
  <si>
    <t>MILLER GOMEZ</t>
  </si>
  <si>
    <t>SOLICITUD MANTENIMINETO VIA SAN JUAN DEL BARRO </t>
  </si>
  <si>
    <t xml:space="preserve">JOSE NARANJO VALDERRAMA </t>
  </si>
  <si>
    <t xml:space="preserve">DAÑO DEL VEHICULO </t>
  </si>
  <si>
    <t>YINET SILVA</t>
  </si>
  <si>
    <t>SOLICITUD DE CERTIFICADO DE PRESTACIÓN</t>
  </si>
  <si>
    <t xml:space="preserve">GERARDO PINTO </t>
  </si>
  <si>
    <t> JEANNETTE ROJAS MOTA</t>
  </si>
  <si>
    <t>NOTIFICACION DICTAMEN JAMES ALBERTO CARRERA MUÑOZ No 07202600020</t>
  </si>
  <si>
    <t>MARINELA  ALMONACID MORALES</t>
  </si>
  <si>
    <t xml:space="preserve">SOLICITUD DE CERTIFICADO DEL PLAN ESTRATEGICO </t>
  </si>
  <si>
    <t xml:space="preserve"> NINI JHOANA PULIDO PABONESA</t>
  </si>
  <si>
    <t xml:space="preserve">SOLIICTUD DE CERTIFICADO </t>
  </si>
  <si>
    <t>RAFAEL SILVA FLORES</t>
  </si>
  <si>
    <t>WALTER KISIKWA INGOSI</t>
  </si>
  <si>
    <t xml:space="preserve">SOLICITUD DE FIGURAS </t>
  </si>
  <si>
    <t xml:space="preserve">CINDY TATIANA VARGAS TORO </t>
  </si>
  <si>
    <t xml:space="preserve">SOLICITUD DE SERVICIO ESPECIAL </t>
  </si>
  <si>
    <t>COMUNICACIÓN DE ACTA QUE ACEPTA RECURSO DE APELACION – CASO MARIANO OSWALDO ROJAS ARANGO CC 94043507 Y SE REITERA EL DEBER DE ALLEGAR EL SOPORTE DE PAGO DE HONORARIOS A FAVOR DE LA JUNTA NACIONAL. </t>
  </si>
  <si>
    <t xml:space="preserve">LEIDI JOHANA OVIEDO </t>
  </si>
  <si>
    <t xml:space="preserve">SOLICITUD DE VISITA </t>
  </si>
  <si>
    <t>Carlos Eduardo Gomez Vargas</t>
  </si>
  <si>
    <t xml:space="preserve">PATRICIA NAVARRO </t>
  </si>
  <si>
    <t>SAMAMB Florencia| Solicitud de Cotización de Recolección y Disposición Final de Residuos</t>
  </si>
  <si>
    <t xml:space="preserve">BLANCA AURORA ORJUELA </t>
  </si>
  <si>
    <t xml:space="preserve">SOLICITUD DESCUENTO POR CONCEPTO DE ASEO </t>
  </si>
  <si>
    <t>YIMMY  RONALD NUÑEZ</t>
  </si>
  <si>
    <t xml:space="preserve"> Kelly Johana Muñoz Silva</t>
  </si>
  <si>
    <t>SOLICITUD DE RECOLECIÓN DE RCD</t>
  </si>
  <si>
    <t>OSCAR ARIZMENDI NUÑEZ</t>
  </si>
  <si>
    <t xml:space="preserve">SOLICITUD DE APOYO </t>
  </si>
  <si>
    <t>CHRISTYAM CAMILO SALAZAR ROJAS </t>
  </si>
  <si>
    <t>3200.09.116-040 Invitación Jornada Limpiatón zona ribereña de La Perdiz - Curiplaya. SERVINTEGRAL</t>
  </si>
  <si>
    <t>ARGENIS  ACORA</t>
  </si>
  <si>
    <t>3200.09.116-041 Invitación a Reunión Técnica, para la Construcción de Hoja de Ruta de Intervención, Limpieza y Saneamiento Ambiental de Predios Privados Críticos en el Municipio de Florencia. SERVINTEGRA</t>
  </si>
  <si>
    <t xml:space="preserve">ESPERANZA  GOMEZ MUÑOZ </t>
  </si>
  <si>
    <t xml:space="preserve">ANA DOLORES HURTATIS </t>
  </si>
  <si>
    <t>SOLICITUD DE REVISIÓN</t>
  </si>
  <si>
    <t xml:space="preserve">FRDY HERNAN TEJADA TEJADA </t>
  </si>
  <si>
    <t>LIQUIDACIÓN DEL SERVICIO DE ASEO SERVINTEGRAL S.A E.S.P </t>
  </si>
  <si>
    <t xml:space="preserve">INCONFORME CON LA RESPUESTA </t>
  </si>
  <si>
    <t xml:space="preserve">SANDRA PARRA </t>
  </si>
  <si>
    <t>SOLICITUD DE DESCUENTO EN LA DEUDA DE ASEO </t>
  </si>
  <si>
    <t xml:space="preserve">LEIDY MARCELA RODRIGUEZ </t>
  </si>
  <si>
    <t xml:space="preserve">SOLICITUD DE INFORMACIÓN </t>
  </si>
  <si>
    <t>YESICA YATE</t>
  </si>
  <si>
    <t>Solicitud certificación de afiliación</t>
  </si>
  <si>
    <t xml:space="preserve">Gibson Muñoz Vargas </t>
  </si>
  <si>
    <t>MODIFICACION DE TARIFA INMUEBLE DESOCUPADO </t>
  </si>
  <si>
    <t>MIGUEL VILLANUEVA</t>
  </si>
  <si>
    <t xml:space="preserve">FIANZAS Y COBRAZAS </t>
  </si>
  <si>
    <t>Jaidivi Rodríguez pulido</t>
  </si>
  <si>
    <t xml:space="preserve">PODA </t>
  </si>
  <si>
    <t xml:space="preserve">LADY NATALIA RUIZ TRUJILLO </t>
  </si>
  <si>
    <t xml:space="preserve">SE NOTIFICA SENTENCIA TUTELA RAD 2026-00032 </t>
  </si>
  <si>
    <t>ALBERTO AGUIRRE</t>
  </si>
  <si>
    <t>JAIRO MOSQUERA</t>
  </si>
  <si>
    <t xml:space="preserve">RENUNCIA </t>
  </si>
  <si>
    <t>Claudia Marcela Contreras Peña.</t>
  </si>
  <si>
    <t> COMUNICACIÓN DE ACTA QUE ACEPTA Y CONCEDE RECURSO DE APELACION CASO – MARIANO OSWALDO ROJAS ARANGO CC 94043507 Y SE REITERA EL DEBER DE ALLEGAR EL SOPORTE DE PAGO DE HONORARIOS A FAVOR DE LA JUNTA NACIONAL</t>
  </si>
  <si>
    <t xml:space="preserve">ENRIQUE MADRIGAL </t>
  </si>
  <si>
    <t xml:space="preserve">CANCELACIÓN DEL SERVICIO </t>
  </si>
  <si>
    <t xml:space="preserve">JUANITA MONJE </t>
  </si>
  <si>
    <t> Solicitud de servicios de aseo para evento Ministerio de Igualdad y Equidad</t>
  </si>
  <si>
    <t xml:space="preserve">LORENZO REYES </t>
  </si>
  <si>
    <t> INMUEBLE DESOCUPADO</t>
  </si>
  <si>
    <t xml:space="preserve">MARISOL  ANGEL VILLEGAS </t>
  </si>
  <si>
    <t>Solicitud de mantenimiento de zona verde y reanudación de ruta de recolección de residuo</t>
  </si>
  <si>
    <t xml:space="preserve">LUZ YANETH ROJA </t>
  </si>
  <si>
    <t>COTIZACIÓN </t>
  </si>
  <si>
    <t>Recordatorio de visita Comité de Conocimiento del Riesgo.</t>
  </si>
  <si>
    <t>JESÚS ALBERTO ESCOBAR HURTADO</t>
  </si>
  <si>
    <t>RESPUESTA A LOS COR 567-1076 Contrato de Subsidios Vigencia 2026</t>
  </si>
  <si>
    <t xml:space="preserve">GLADYS CANO </t>
  </si>
  <si>
    <t>SOLIICTUD DE CERTIFICACIÓN</t>
  </si>
  <si>
    <t>ANDRÉS FELIPE ORTIZ GARZÓN</t>
  </si>
  <si>
    <t>Agradecimiento al Auxiliar Operativo Robinson Montenegro Sánchez </t>
  </si>
  <si>
    <t>ANA MELISSA ALMARIO PATARROYO</t>
  </si>
  <si>
    <t xml:space="preserve"> Informes Sectoriales vigencia 2024 y encuesta de identificación de necesidades de
información de las operaciones estadísticas de los servicios públicos de acueducto y aseo.</t>
  </si>
  <si>
    <t>Fedora Agelvis</t>
  </si>
  <si>
    <t xml:space="preserve">SOLICITUD LABORAL ANDRES MAURICIO ALVEAR BECERRA </t>
  </si>
  <si>
    <t xml:space="preserve">WILLIAM CAMILO DIOSA </t>
  </si>
  <si>
    <t>SERVAF</t>
  </si>
  <si>
    <t>Registrado: Respuesta a comunicación recibida radicado E-2025010005170 del 16 de enero del 2026</t>
  </si>
  <si>
    <t xml:space="preserve">ORDESI TORO </t>
  </si>
  <si>
    <t>CERTIFICADO</t>
  </si>
  <si>
    <t xml:space="preserve">JAVIER ALFONSO  BOLAÑOS </t>
  </si>
  <si>
    <t>DAÑO</t>
  </si>
  <si>
    <t xml:space="preserve">UBERNEY GIRADO </t>
  </si>
  <si>
    <t>DEVOLUCIÓN</t>
  </si>
  <si>
    <t xml:space="preserve">BROHER DE JESUS ARTEAGA </t>
  </si>
  <si>
    <t xml:space="preserve">DESCUENTO EN LA DEUDA DE ASEO </t>
  </si>
  <si>
    <t xml:space="preserve">SANDRA NARANJO </t>
  </si>
  <si>
    <t xml:space="preserve">OLABE GLOBAL </t>
  </si>
  <si>
    <t>Invitación a presentación informativa – Mirador del Magdalena</t>
  </si>
  <si>
    <t>Registrado: Respuesta a comunicación recibida radicado E-2026010000118 del 16 de enero del 2026</t>
  </si>
  <si>
    <t xml:space="preserve">WUINDER JOSE ZAMBRANO </t>
  </si>
  <si>
    <t xml:space="preserve">LIGIA CONSTANZA ROJA MEJIA </t>
  </si>
  <si>
    <t>Invitación reunión con Pares Académicos – Programa Administración Financiera</t>
  </si>
  <si>
    <t xml:space="preserve">OSCAR JAVIER RAMOS </t>
  </si>
  <si>
    <t>Solicitud de apoyo para jornada de aseo y embellecimiento I.E. ANDES SEDE ALPES </t>
  </si>
  <si>
    <t xml:space="preserve">ARISTIDES TOVAR </t>
  </si>
  <si>
    <t>ENCUENTRO NACIONAL</t>
  </si>
  <si>
    <t xml:space="preserve">QUEJA DEL SERVICIO </t>
  </si>
  <si>
    <t xml:space="preserve">EVIDALIA LADINO </t>
  </si>
  <si>
    <t xml:space="preserve">SIXTO ALFONSO PARAMO </t>
  </si>
  <si>
    <t>COMUNICACIÓN DE ACTA MEDIANTE LA CUAL SE RESUELVE IMPUGNACIÓN FRENTE AL CASO MARIANO OSWALDO ROJAS ARANGO- C.C 94043507 Y SE REITERA EL DEBER DE ALLEGAR EL SOPORTE DE PAGO DE HONORARIOS A FAVOR DE LA JUNTA NACIONAL PARA EL TRÁMITE CORRESPONDIENTE</t>
  </si>
  <si>
    <t xml:space="preserve">CAMILO ENRIQUE DIAZ CARDENAS </t>
  </si>
  <si>
    <t xml:space="preserve">ACEPTACIÓN DE LA PROPUESTA </t>
  </si>
  <si>
    <t>YOLANDA NARVAEZ</t>
  </si>
  <si>
    <t>SOLIICTUD DE CERTIFICADO</t>
  </si>
  <si>
    <t xml:space="preserve">YANETH MOLINA </t>
  </si>
  <si>
    <t>COTIZACIÓN</t>
  </si>
  <si>
    <t>ELBA OBANDO</t>
  </si>
  <si>
    <t>LUZ DARY MURILLO GOMEZ</t>
  </si>
  <si>
    <t xml:space="preserve">APOYO INSTITUCIONAL </t>
  </si>
  <si>
    <t>REMISIÓN DE CIRCULAR 003</t>
  </si>
  <si>
    <t xml:space="preserve">MARIBEL CAMACHO </t>
  </si>
  <si>
    <t>capacitaciones a Empresas 100% Subsidiado</t>
  </si>
  <si>
    <t>HERMES DARÍO CRUZ GÓMEZ</t>
  </si>
  <si>
    <t xml:space="preserve">Solicitud de información – Factor de productividad </t>
  </si>
  <si>
    <t>Respuesta a Oficio CE-GC-0171 del 05-02-2026 con Rad interno No 2026-1-1-949 del 09-02-2026</t>
  </si>
  <si>
    <t xml:space="preserve">JOSE EMILIA GARZON </t>
  </si>
  <si>
    <t xml:space="preserve">PRESTACIÓN DEL SERVICIO </t>
  </si>
  <si>
    <t>DUMIRLEY ORTIZ CRUZ</t>
  </si>
  <si>
    <t xml:space="preserve">JORGE HERALDO ENNIS </t>
  </si>
  <si>
    <t>BEATRIZ ELENA GUTIERREZ</t>
  </si>
  <si>
    <t>AUTO NOTIFICA VINCULACIÓN ACCIÓN DE TUTELA 05001 34 03 004 2026 00018 00</t>
  </si>
  <si>
    <t xml:space="preserve">CARLOS ESCOBAR </t>
  </si>
  <si>
    <t xml:space="preserve">YEMI TATIANA RIVERA </t>
  </si>
  <si>
    <t xml:space="preserve">SOLICITUD DE RECOELCIIÓN </t>
  </si>
  <si>
    <t xml:space="preserve">INFORME N°006 MESA DE TRABAJO  DE LA COMUNA SUR </t>
  </si>
  <si>
    <t xml:space="preserve">CRISTIAN CAMILO ZAMBRANO CASTILLO </t>
  </si>
  <si>
    <t>OFICIO CONVOCATORIA REUNIÓN ORDINARIA CPESF FEBRERO 2026 "  del  12 de  febrero   lo remito para su conocimiento y fines pertinentes.</t>
  </si>
  <si>
    <t>MARCO ANTONIO QUINTERO BERMUDEZ</t>
  </si>
  <si>
    <t xml:space="preserve"> Afiliación a la E.P.S Sanitas</t>
  </si>
  <si>
    <t>ANDREA PAOLA PRIETO MOSQUER</t>
  </si>
  <si>
    <t xml:space="preserve"> Autorización para notificación electrónica de actos administrativos relacionados con la
contribución especial vigencia 2026.</t>
  </si>
  <si>
    <t>ANGELA ROCIO GUZMAN LOZADA</t>
  </si>
  <si>
    <t>Solicitud poda de árboles y césped.</t>
  </si>
  <si>
    <t>WILSON GOMEZ</t>
  </si>
  <si>
    <t>INFORMACIÓN SOBRE LA DEUDA DEL SERVICIO DE ASEO</t>
  </si>
  <si>
    <t xml:space="preserve">DIANA PAOLA SANCHEZ ALZATE </t>
  </si>
  <si>
    <t>Programación capacitación virtual DANE – Proceso de Estratificación</t>
  </si>
  <si>
    <t>LINA PATRICIA MEJIA ROJAS</t>
  </si>
  <si>
    <t xml:space="preserve"> Solicitud de apoyo para recolección de residuos verdes – Parque Rincón de la Estrella 2</t>
  </si>
  <si>
    <t>LUIS MANUEL ESPINOSA CALDERON  </t>
  </si>
  <si>
    <t xml:space="preserve">CONGRESO NACIONAL DE TRANSICIÓN ENERGÉTICA JUSTA Y ADAPTACIÓN AL CAMBIO CLIMÁTICO" </t>
  </si>
  <si>
    <t>Oficina Estratificación</t>
  </si>
  <si>
    <t xml:space="preserve"> BASE DE DATOS (4624)</t>
  </si>
  <si>
    <t>JESUS ALBERTO ESCOBAR HURTADO</t>
  </si>
  <si>
    <t xml:space="preserve">ACTA DE LA REUNIÓN </t>
  </si>
  <si>
    <t>John Arley Garcia Quintero</t>
  </si>
  <si>
    <t>Solicitud de revisión punto informal de acumulación de residuos en
vivienda esquinera</t>
  </si>
  <si>
    <t xml:space="preserve">KAROL VESLAZQUEZ </t>
  </si>
  <si>
    <t>REGISTRO DE GARANTÍAS MOBILIARIAS
FORMULARIO DE REGISTRO DE CANCELACIÓN</t>
  </si>
  <si>
    <t>Yeison Mena Moreno</t>
  </si>
  <si>
    <t>Solicitud de Apoyo - Capacitación</t>
  </si>
  <si>
    <t>ANYI VIVIANA MANRIQUE AMAYA.</t>
  </si>
  <si>
    <t>Notificacion electronica radicado salida No 20268700444181</t>
  </si>
  <si>
    <t>Oscar Valbuena Torres</t>
  </si>
  <si>
    <t>solicitar de su colaboración para una jornada de aseo en la zona verde contiguo a la caseta comunal de nueva Colombia, iglesia cristiana y hogar infantil del barrio Villa Salem</t>
  </si>
  <si>
    <t>BEATRIZ ELENA GUTIÉRREZ CORREA</t>
  </si>
  <si>
    <t>NOTIFICACION FALLO DE TUTELA PRIMERA INSTANCIA 05001 34 03 004 2026 00018 00</t>
  </si>
  <si>
    <t>Diana Paola Sánchez</t>
  </si>
  <si>
    <t>BASES DE DATOS ESTRATIFICACIÓN</t>
  </si>
  <si>
    <t>HERNAN DARIO AGUIRRE RAMIREZ</t>
  </si>
  <si>
    <t xml:space="preserve"> invitación encuentro comunitario 19 de FEBRERO  2026 </t>
  </si>
  <si>
    <t>PLAN DE CONTINGENCIA DE SERVICIO DE ASEO</t>
  </si>
  <si>
    <t>3200.09.116-080 Solicitud de apoyo institucional para jornada de guadaña en el Humedal San Luis</t>
  </si>
  <si>
    <t xml:space="preserve">SOLICITO DE INFORMACIÓN </t>
  </si>
  <si>
    <t xml:space="preserve">MONICA PILAR DELGADO SOLARTE </t>
  </si>
  <si>
    <t>Leidi Milena Santamaria</t>
  </si>
  <si>
    <t>SOLICITUD DE INFORMACIÓN DE LA ECA</t>
  </si>
  <si>
    <t>MARÍA FERNANDA GARCÍA HINCAPIÉ</t>
  </si>
  <si>
    <t xml:space="preserve"> Decreta Medida Embargo Radicado: 2026-00057-00 Oficio Nro. 0137 Juzgado: Décimo Civil Municipal de Manizales</t>
  </si>
  <si>
    <t>MIEMBROS DEL COMITÉ</t>
  </si>
  <si>
    <t xml:space="preserve">COMPROMISOS </t>
  </si>
  <si>
    <t>Reiteramos la invitación</t>
  </si>
  <si>
    <t>ELIANA VERÓNICA CORTÉS BOCANEGRA</t>
  </si>
  <si>
    <t xml:space="preserve">JORNADA DE CAPACITACIÓN </t>
  </si>
  <si>
    <t>Revisión y Aportes al Modelo de Reglamento del Comité Permanente de Estratificación</t>
  </si>
  <si>
    <t xml:space="preserve">CAMILO JESUS ANTONIO </t>
  </si>
  <si>
    <t xml:space="preserve">Notificacion 828002229 - TRABAJ. REPORTADO CON &lt; 240 HORAS - URGENTE </t>
  </si>
  <si>
    <t xml:space="preserve">GRUPO EMPRESARIAL </t>
  </si>
  <si>
    <t xml:space="preserve">SOLICITUD DE REALIZAR NUEVO AFORO </t>
  </si>
  <si>
    <t xml:space="preserve">A NDRES DAVID BELTRAN MUÑOZ </t>
  </si>
  <si>
    <t>INVITACIÓN A CURSOS GRATUITOS</t>
  </si>
  <si>
    <t>ALCANCE A LA CIRCULAR No. 003</t>
  </si>
  <si>
    <t>CHRISTYAM CAMILO SALAZAR ROJAS</t>
  </si>
  <si>
    <t>Solicitud de apoyo institucional para jornadas de limpieza, reforestación y 
cátedra ambiental en el Humedal El San Luis</t>
  </si>
  <si>
    <t>Martha Lucia Maldonado</t>
  </si>
  <si>
    <t>CAROLINA CARDENAS</t>
  </si>
  <si>
    <t xml:space="preserve">YENNY CAROLINA VILLAMIL </t>
  </si>
  <si>
    <t>Traslado por competencia del oficio con rad No 2026-1-1-964 del 09-02-2026</t>
  </si>
  <si>
    <t>Traslado por competencia del oficio con rad No 2026-1-1-962 del 09-02-2026</t>
  </si>
  <si>
    <t>Juan Miguel Vargas García</t>
  </si>
  <si>
    <t>Solicitud de apoyo en actividades de la Secretaría de Cultura, Deporte y Recreación</t>
  </si>
  <si>
    <t>Valentina Cardozo González</t>
  </si>
  <si>
    <t>SOLICITUD DE INFORMACION LABORAL ANDRES MAURICIO ALVEAR BECERRA</t>
  </si>
  <si>
    <t>LEIDY YOHANA TORRES</t>
  </si>
  <si>
    <t xml:space="preserve">INCONFORMIDAD POR EL SERVICIO DE ESCOBISTA </t>
  </si>
  <si>
    <t xml:space="preserve">SOLICITUD DE GUADAÑA PERMANENTE </t>
  </si>
  <si>
    <t xml:space="preserve">KARLA JOHANA LISCANO CORREA </t>
  </si>
  <si>
    <t>JESSIKA PERDOMO</t>
  </si>
  <si>
    <t xml:space="preserve">SOLICITUD DE CERTIFICACIÓN </t>
  </si>
  <si>
    <t>DOMINGA DE JESÚS RAMOS SUÁREZ</t>
  </si>
  <si>
    <t xml:space="preserve"> LEVANTAMIENTO DE MEDIDAS CAUTELARES - PROCESO EJECUTIVO DE ALIMENTOS RAD. 2025-00118-00-00</t>
  </si>
  <si>
    <t>Leidi Milena Santamaria Perez</t>
  </si>
  <si>
    <t>Solicitud de Certificación de pago de subsidios año 2025</t>
  </si>
  <si>
    <t>ANDRES CAMILO CADAVID</t>
  </si>
  <si>
    <t>CERTIFICADO DEUDA JASMÍN BELTRÁN MORALES</t>
  </si>
  <si>
    <t xml:space="preserve">YENY CAROLINA VILLAMIL </t>
  </si>
  <si>
    <t>Traslado por competencia del oficio con rad No 2026-1-1-222 del 18-02-2026</t>
  </si>
  <si>
    <t xml:space="preserve">JAIRO ANTONIO MOLINA </t>
  </si>
  <si>
    <t xml:space="preserve">RIQUELIO OVIEDO </t>
  </si>
  <si>
    <t xml:space="preserve">SOLICITUD DE COTIZACIÓN </t>
  </si>
  <si>
    <t>INGESCOR S.A.S.</t>
  </si>
  <si>
    <t>SOLICITUD INFORMACIÓN DE CAPACITACIÓN EN GESTIÓN DE RESIDUOS Y SOSTENIBILIDAD</t>
  </si>
  <si>
    <t xml:space="preserve">Luis Eduardo Guevara Joven </t>
  </si>
  <si>
    <t xml:space="preserve">ZAMORA ARISTIZABAL JHOHN </t>
  </si>
  <si>
    <t xml:space="preserve">SOLIICTUD DE APOYO </t>
  </si>
  <si>
    <t xml:space="preserve">BELISARIO MONTOYA </t>
  </si>
  <si>
    <t>SOLICITUD DE VISITA</t>
  </si>
  <si>
    <t xml:space="preserve">ANDRES FELIPE CABRERA </t>
  </si>
  <si>
    <t>CINDY VANESSA CONTRERAS ZAMBRANO</t>
  </si>
  <si>
    <t>Invitación a capacitación gratuita “Reglamento Interno de Trabajo”</t>
  </si>
  <si>
    <t xml:space="preserve">WILSON BECERRA </t>
  </si>
  <si>
    <t>SOLICITUD PUERTA A PUERTA </t>
  </si>
  <si>
    <t>Vilma Socorro Luengas</t>
  </si>
  <si>
    <t>Petición respetuosa</t>
  </si>
  <si>
    <t>Iván Alexander Ribon Castillo</t>
  </si>
  <si>
    <t xml:space="preserve"> CITACION A VALORACION # 1 Y TESTIGO 94043507 MARIANO OSWALDO ROJAS ARANGO</t>
  </si>
  <si>
    <t>Solicitud de apoyo institucional - Estrategia grandes voluntarios</t>
  </si>
  <si>
    <t>200.09.116-106 Solicitud de apoyo institucional para la segunda jornada de limpieza, reforestación y cátedra ambiental en el Humedal El San Luis SERVINTEGRAL</t>
  </si>
  <si>
    <t xml:space="preserve">SERGIO POLANIA </t>
  </si>
  <si>
    <t>DISTRICARNES EL GRAN NOVILLO</t>
  </si>
  <si>
    <t>SOLICITUD CERTIFICADO PRESTACION DEL SERVICIO DE ASEO</t>
  </si>
  <si>
    <t>Euler Alexander Paniagua Zambrano</t>
  </si>
  <si>
    <t>Solicitud de Apoyo para limpieza en sector Caseta Comunal del barrio El Lenin</t>
  </si>
  <si>
    <t>HEBERTH TOBAR VEGA</t>
  </si>
  <si>
    <t>Petición para la Instalación de Contenedor de Residuos Sólidos   en la carrera 9 NO.8C-87 Barrio La Estrella</t>
  </si>
  <si>
    <t>MARIA FERNANDA JARAMILLO TRUJILLO</t>
  </si>
  <si>
    <t>Remisión memorias mesa de trabajo de fecha 29 de enero de 2026</t>
  </si>
  <si>
    <t>Solicitud de apoyo para recolección de residuos verdes-SAN JUDAS</t>
  </si>
  <si>
    <t xml:space="preserve">ACCIÓN DE TUTELA </t>
  </si>
  <si>
    <t xml:space="preserve">ILIANA ROJAS </t>
  </si>
  <si>
    <t xml:space="preserve">SOLICITUD DE APOYO INSTITUCIONAL </t>
  </si>
  <si>
    <t xml:space="preserve">MAIBRY LIZETH CALDERON </t>
  </si>
  <si>
    <t xml:space="preserve">ARLEY CAICEDO </t>
  </si>
  <si>
    <t>SOLICITUD DE APOYO PARA CORTE DE ARBOLES</t>
  </si>
  <si>
    <t xml:space="preserve">HERMILA CABRERA </t>
  </si>
  <si>
    <t xml:space="preserve">JORGE CABRERA </t>
  </si>
  <si>
    <t>STELLA SANCHEZ GOMEZ</t>
  </si>
  <si>
    <t>SOLICITUD DE COBRO DE 2 CONTADORES QUE NO SE ESTAN UTILIZANDO DE ENERGIA</t>
  </si>
  <si>
    <t xml:space="preserve">JUAN CICERY </t>
  </si>
  <si>
    <t xml:space="preserve">SOLICITUD DE ENTREGA DE DOCUMENTOS </t>
  </si>
  <si>
    <t xml:space="preserve">ALEXANDER FIERRO </t>
  </si>
  <si>
    <t>Desafiliación</t>
  </si>
  <si>
    <t xml:space="preserve">ANDRES  FELIPE CABRERA </t>
  </si>
  <si>
    <t>COMPROBANTE DE PAGO Y SOLICITUD DE CERTIFICADO</t>
  </si>
  <si>
    <t xml:space="preserve">DAGOBERTO POLANIA </t>
  </si>
  <si>
    <t>SOLICITUD DE PODA</t>
  </si>
  <si>
    <t>Respuesta a oficio CE-GC-0225 del 13-02-2026 con Rad interno No 2026-1-1-1160 del 16-02-2026</t>
  </si>
  <si>
    <t xml:space="preserve">YESENNIA MONSALVE </t>
  </si>
  <si>
    <t>Traslado por competencias Radicado E-2026010000382 del 11/02/2026</t>
  </si>
  <si>
    <t>Norma Suleiza Mavesoy polanco </t>
  </si>
  <si>
    <t>Solicitud  jornada de trabajo</t>
  </si>
  <si>
    <t>Respuesta a oficio CE-GC-0226 del 13-02-2026 con Rad interno No 2026-1-1-1161 del 16-02-2026</t>
  </si>
  <si>
    <t>Traslado por competencia del radicado(s) 20255295283882 del 16/12/2025</t>
  </si>
  <si>
    <t>Informe N°012 19 y 25-02-2026 Informe Tecnico Humedal el San Luis</t>
  </si>
  <si>
    <t>LUZ PIEDAD CAMPOS NÚÑEZ</t>
  </si>
  <si>
    <t>INPEC</t>
  </si>
  <si>
    <t xml:space="preserve">DIANA PAOLA SANCHEZ </t>
  </si>
  <si>
    <t> ACTA No 01 del 19 de febrero 2026</t>
  </si>
  <si>
    <t>GLEDYS ALDANA MARTINEZ </t>
  </si>
  <si>
    <t>Solicitud de certificados recolección de residuos </t>
  </si>
  <si>
    <t xml:space="preserve">JOSE DAVID GARZON </t>
  </si>
  <si>
    <t>Invitaciòn lanzamiento versiòn 28 CONCURSO MUNICIPAL " EL CUENTO DEL AGUA " "  del  02 de  MARZO</t>
  </si>
  <si>
    <t xml:space="preserve">YENI TATIANA RIVERA </t>
  </si>
  <si>
    <t> RESPUESTA A SU SOLICITUD</t>
  </si>
  <si>
    <t xml:space="preserve">NORMA EDUARTE </t>
  </si>
  <si>
    <t>Solicitud del Portal Amazónico</t>
  </si>
  <si>
    <t xml:space="preserve">ELSA PASTRANA </t>
  </si>
  <si>
    <t>SOLIICTUD DE DE CERTIFICADO</t>
  </si>
  <si>
    <t>JORGE ALEXANDER CARDOZO QUINTERO</t>
  </si>
  <si>
    <t>Notificacion electronica radicado salida No 20264300877221</t>
  </si>
  <si>
    <t xml:space="preserve">DIOSELINA LLANOS ESCOBAR </t>
  </si>
  <si>
    <t xml:space="preserve">HARLING AUGUSTO CHAVARRO </t>
  </si>
  <si>
    <t>Derecho de petición </t>
  </si>
  <si>
    <t xml:space="preserve">PAOLA ANDREA VASQUEZ </t>
  </si>
  <si>
    <t xml:space="preserve"> SOLICITUD DE CERTIFICADO</t>
  </si>
  <si>
    <t xml:space="preserve">ROBERT ANGEL HURTADO </t>
  </si>
  <si>
    <t>SOLICITUD DE DESCUENTO </t>
  </si>
  <si>
    <t>Convocatoria reunión – Coordinación cronograma acciones populares</t>
  </si>
  <si>
    <t>FAVIO SANCHEZ TOVAR</t>
  </si>
  <si>
    <t>INVITACIÓN SEGUNDO CONSEJO MUNICIPAL GESTIÓN DEL RIESGO</t>
  </si>
  <si>
    <t xml:space="preserve">MONICA ANDREA RICO </t>
  </si>
  <si>
    <t>SOLICITUD DE APOYO ACTIVIDAD COMUNITARIA BARRIO CIUDADELA II ETAPA POLIDEPROTIVO</t>
  </si>
  <si>
    <t xml:space="preserve">NANCY MOLANO </t>
  </si>
  <si>
    <t>LIQUIDACIÓN DEL SERVICIO DE ASEO SERVINTEGRAL S.A E.S.P</t>
  </si>
  <si>
    <t>JOSE TORRES</t>
  </si>
  <si>
    <t> PROHIBIDO BOTAR BASURA</t>
  </si>
  <si>
    <t xml:space="preserve">PEDRO  CHAVEZ </t>
  </si>
  <si>
    <t xml:space="preserve">GABRIEL ANTE SALINAS </t>
  </si>
  <si>
    <t>Respuesta a oficio CE-GC-0053 del 15-01-2026 con Rad interno 2026-1-1-326 del 15-01-2026</t>
  </si>
  <si>
    <t xml:space="preserve">EUNICE MORALES </t>
  </si>
  <si>
    <t>RECOLECCION Y DISPOSICION FINAL DE AIRES ACONDICIONADOS DT CAQUETA</t>
  </si>
  <si>
    <t>Traslado por competencia del oficio con rad No 2026-1-1-1508 del 27-02-2026 </t>
  </si>
  <si>
    <t xml:space="preserve">EDINSON VERA </t>
  </si>
  <si>
    <t> SOLICITUD DE PODA</t>
  </si>
  <si>
    <t xml:space="preserve">FERNANDO ROJAS </t>
  </si>
  <si>
    <t xml:space="preserve">MANUEL RIOS </t>
  </si>
  <si>
    <t>SOLICITUD COTIZACION AVERIA DE ATUN- FLORENCIA</t>
  </si>
  <si>
    <t xml:space="preserve">MANUEL RAMIREZ </t>
  </si>
  <si>
    <t>ANDRES FELIPE VALLEJO RAMIREZ</t>
  </si>
  <si>
    <t>DESISTIMIENTO</t>
  </si>
  <si>
    <t>Solicitud de apoyo para Visita ocular en el parque longitudinal Zona rosa.</t>
  </si>
  <si>
    <t xml:space="preserve">NUBIA SOFIA OLARTE </t>
  </si>
  <si>
    <t>Convocatoria comitè conocimiento del riesgo</t>
  </si>
  <si>
    <t xml:space="preserve">ARIEL RAMON </t>
  </si>
  <si>
    <t>espuesta oficio No CE-GC-0245</t>
  </si>
  <si>
    <t xml:space="preserve">Respuesta - Solicitud de ampliación de término "  del  06 de  MARZO   lo remito para su conocimiento y fines pertinentes.
 </t>
  </si>
  <si>
    <t>Traslado por competencia del oficio con rad No 2026-1-1-1420 del 25-02-2026 </t>
  </si>
  <si>
    <t>WILSON MUÑOZ TOVAR</t>
  </si>
  <si>
    <t xml:space="preserve"> Formato Final OP RECIPROCAS 31 de Dico</t>
  </si>
  <si>
    <t xml:space="preserve"> Blanca  Aurora Orjuela Betancourt </t>
  </si>
  <si>
    <t>solicitud paz y salvo Blanca Aurora Orjuela Betancourt</t>
  </si>
  <si>
    <t>Respuesta a oficio CE-GC-0336 del 05-03-2026 con Rad interno No 2026-1-1-1739 del 06-03-2026</t>
  </si>
  <si>
    <t xml:space="preserve">KARLA JOHANA LIZCANO </t>
  </si>
  <si>
    <t xml:space="preserve">REPORGRAMACIÓN DEL COMITÉ </t>
  </si>
  <si>
    <t>Solicitud Jornada de Limpieza Zona Verde Caseta Comunal Barrio Lennin</t>
  </si>
  <si>
    <t xml:space="preserve">EDWAR CAMILO SOTO </t>
  </si>
  <si>
    <t>USUARIO</t>
  </si>
  <si>
    <t>SOLICITUD DE INFORMACIÓN  Y COPIA DE DOCUMENTOS</t>
  </si>
  <si>
    <t xml:space="preserve">LUZ DARY GARZON </t>
  </si>
  <si>
    <t xml:space="preserve">SOLICITUD DE EXONERAR EL COBRO DE ASEO </t>
  </si>
  <si>
    <t xml:space="preserve">MIGUEL ANTONIO CASTILLO </t>
  </si>
  <si>
    <t> SOLICITUD DE CERTIFICADO</t>
  </si>
  <si>
    <t>Solicitud de acciones para mitigar problemática ambiental y sanitaria</t>
  </si>
  <si>
    <t>3200.09.116-132 Convocatoria a Primera Reunión Ordinaria del Comité Interinstitucional de Educación Ambiental (CIDEA) 2026 según Acuerdo Municipal N° 2024021 SERVINTEGRAL</t>
  </si>
  <si>
    <t>SANDRA PATRICIA CABRERA CADENA </t>
  </si>
  <si>
    <t>MOTIVO DE PETICIÓN: PARA AFILIARME ALA EMPRESA SERVI NTEGRAL </t>
  </si>
  <si>
    <t>Desafiliaciones</t>
  </si>
  <si>
    <t>Usuarios con terminación del contrato de servicios publicos</t>
  </si>
  <si>
    <t>Yudi Marcela Santiago Vela </t>
  </si>
  <si>
    <t xml:space="preserve">NIYIRETH PALOMINO </t>
  </si>
  <si>
    <t>CARLOS EDUARDO HURTADO SUZUNAGA</t>
  </si>
  <si>
    <t>JOHN ALEXANDER VALENCIA</t>
  </si>
  <si>
    <t xml:space="preserve">GILMA LOZANO </t>
  </si>
  <si>
    <t xml:space="preserve">ARNULFO PALACIO </t>
  </si>
  <si>
    <t>INFORMACIÓN DE LA DEUDA</t>
  </si>
  <si>
    <t xml:space="preserve">MILLER AUGUSTO PIPICANO </t>
  </si>
  <si>
    <t>DESCUENTO EN LA DEUDA</t>
  </si>
  <si>
    <t xml:space="preserve">MARIA GLADIS MORALES </t>
  </si>
  <si>
    <t xml:space="preserve">INFORMACIÓN DE LOS HORARIOS </t>
  </si>
  <si>
    <t>CHUT EN MAL ESTADO</t>
  </si>
  <si>
    <t xml:space="preserve">MARTHA YANIT TRUJILLO </t>
  </si>
  <si>
    <t> DESCUENTO DE LA DEUD</t>
  </si>
  <si>
    <t xml:space="preserve">LUIS MIGUEL ESPINOSA </t>
  </si>
  <si>
    <t>Solicitud informe sobre la implementación del PGIRS</t>
  </si>
  <si>
    <t xml:space="preserve">ALEJANDRA </t>
  </si>
  <si>
    <t>Solicitud de cancelación o reducción de aforo ( recolección de residuos)</t>
  </si>
  <si>
    <t xml:space="preserve"> NURY ZUÑIGA LIZCANO</t>
  </si>
  <si>
    <t>Solicitud de Certificado de Afilialiacion a SERVINTEGRAL</t>
  </si>
  <si>
    <t xml:space="preserve">NO TIENE NOMBRE </t>
  </si>
  <si>
    <t>3200.09.116-138 Solicitud de apoyo institucional para jornada de aseo en la quebrada La Perdiz – Solicitud COR 28409 SERVINTEGRAL</t>
  </si>
  <si>
    <t>3200.09.116-139 Solicitud de apoyo institucional para jornada de limpieza y reforestación humedal el Versalles SERVINTEGRAL</t>
  </si>
  <si>
    <t xml:space="preserve">ADRIANA MERCEDES BONILLA MORALES </t>
  </si>
  <si>
    <t>Convocatoria Asamblea Comfaca 2026</t>
  </si>
  <si>
    <t>DIEGO FERNANDO TORRES CICERY</t>
  </si>
  <si>
    <t xml:space="preserve">USUARIO  DE SERVINTEGRAL </t>
  </si>
  <si>
    <t>: Solicitud de respuesta por pago pendiente de recursos de recaudo mes 
de OCTUBRE 2025</t>
  </si>
  <si>
    <t xml:space="preserve">HUGO  GOMEZ </t>
  </si>
  <si>
    <t xml:space="preserve">INFORME SOBRE LAS GESTIONES </t>
  </si>
  <si>
    <t>Solicitud de apoyo institucional para jornada del corredor vial vía al Servicio Nacional De Aprendizaje (SENA)</t>
  </si>
  <si>
    <t>Coordinación institucional para la Segunda Jornada de Limpieza, Reforestación y Cátedra Ambiental en los barrios Bohío (Buenos Aires) y Kennedy, en cumplimiento de la Acción Popular y metas del PGIRS 2026.</t>
  </si>
  <si>
    <t>Informe N°015 M2.P01.F02 Informe Técnico - Barrio Kenedy 28.02.2026</t>
  </si>
  <si>
    <t xml:space="preserve">NADIA LIGIA MUÑOZ RIOS </t>
  </si>
  <si>
    <t>NEOMEYER CUELLAR CASTRO</t>
  </si>
  <si>
    <t>INVITACIÓN PRIMERA JORNADA LIMPIATON 2026</t>
  </si>
  <si>
    <t xml:space="preserve">YEISON ROBERTO CHACON BARAJAS </t>
  </si>
  <si>
    <t xml:space="preserve">LUZ STELLA TRUJILLO MURCIA </t>
  </si>
  <si>
    <t>GABRIEL PEÑA RAMIREZ</t>
  </si>
  <si>
    <t xml:space="preserve">GUZTAVO CRUZ LOZADA </t>
  </si>
  <si>
    <t xml:space="preserve">ALEXANDRA CAMACHO PINZON </t>
  </si>
  <si>
    <t xml:space="preserve">GLORIA LUCY CAMACHO PINZON </t>
  </si>
  <si>
    <t xml:space="preserve">LIQUIDACIÓN DE CONCURSO ECONOMICO </t>
  </si>
  <si>
    <t>Jhon Fredy Fierro Cuevas </t>
  </si>
  <si>
    <t xml:space="preserve">TRABAJADOR DE SERVINTEGRAL </t>
  </si>
  <si>
    <t>ANDRES FELIPE CUELLAR MEDINA</t>
  </si>
  <si>
    <t xml:space="preserve">SOLICITUD  DE INSTALACIÓN DE  VALLAS </t>
  </si>
  <si>
    <t>3200.09.116-156 Solicitud de apoyo institucional para la jornada de limpieza y cátedra ambiental en el barrio Ángel Ricardo SERVINTEGRAL</t>
  </si>
  <si>
    <t>MAYE AGUDELO</t>
  </si>
  <si>
    <t>SOLICITUD RECOLECCION BASURA</t>
  </si>
  <si>
    <t>PAOLA ANDREA RESTREPO CAMACHO</t>
  </si>
  <si>
    <t>SOLICITUD JORNADA DE ASEO PARADERO VIOLETA CARRERA 13</t>
  </si>
  <si>
    <t>Heyder Valencia Orozco</t>
  </si>
  <si>
    <t xml:space="preserve">MERCEDES TRUJILLO OSPINA </t>
  </si>
  <si>
    <t>EX TRABAJADOR DE LA EMPRESA</t>
  </si>
  <si>
    <t>YENSY YOELY RAMIREZ GARZON </t>
  </si>
  <si>
    <t xml:space="preserve">CRUZ ROJA </t>
  </si>
  <si>
    <t xml:space="preserve">CAPACITACIÓN DE JORNADA SENSIBILIZACIÓN DEL MANEJO DE RESIDUOS </t>
  </si>
  <si>
    <t xml:space="preserve">MARY DERLY PULIDO </t>
  </si>
  <si>
    <t xml:space="preserve">RAQUEL MRENO </t>
  </si>
  <si>
    <t xml:space="preserve">CARMI FAJARDO </t>
  </si>
  <si>
    <t xml:space="preserve">SANDRA LILIANA BARRIO </t>
  </si>
  <si>
    <t xml:space="preserve">ARNOLDO POLANA </t>
  </si>
  <si>
    <t xml:space="preserve">ACTUALIZACIÓN DEL FORMATO DE CUENTA DE SUBSIDIOS </t>
  </si>
  <si>
    <t>FERNEY ORTIZ MOLINA</t>
  </si>
  <si>
    <t>CE-GC-0393</t>
  </si>
  <si>
    <t>CE-GC-007</t>
  </si>
  <si>
    <t>CE-GC-008</t>
  </si>
  <si>
    <t>CE-GC-0011</t>
  </si>
  <si>
    <t>CE-GC-0010</t>
  </si>
  <si>
    <t>CE-GC-0055</t>
  </si>
  <si>
    <t>CE-GC-0113</t>
  </si>
  <si>
    <t>CE-GC-0065</t>
  </si>
  <si>
    <t>CE-GC-0012</t>
  </si>
  <si>
    <t>CE-GC-0033</t>
  </si>
  <si>
    <t>CE-GC-0358</t>
  </si>
  <si>
    <t>CE-GC-0340</t>
  </si>
  <si>
    <t>CE-GC-0361</t>
  </si>
  <si>
    <t>CE-GC-0351</t>
  </si>
  <si>
    <t>CE-GC-0385</t>
  </si>
  <si>
    <t>CE-GC-0366</t>
  </si>
  <si>
    <t>CE-GC-0369</t>
  </si>
  <si>
    <t xml:space="preserve">RESIDUOS </t>
  </si>
  <si>
    <t xml:space="preserve">COMERCIAL </t>
  </si>
  <si>
    <t>Respuesta a oficio CE-GT-0382 “Solicitud de ampliación de término – Radicado No. 0305 del 26 de febrero de 2026. “Petición de entrega de documentos derivados del contrato de trabajo</t>
  </si>
  <si>
    <t>TALENTO HUMANO</t>
  </si>
  <si>
    <t>CE-GR-0353</t>
  </si>
  <si>
    <t>CE-GC-0356</t>
  </si>
  <si>
    <t>CE-GC-0370</t>
  </si>
  <si>
    <t>CE-GC-0339</t>
  </si>
  <si>
    <t>CE-GC-0354</t>
  </si>
  <si>
    <t>CE-GC-0337</t>
  </si>
  <si>
    <t>CE-GC-0318</t>
  </si>
  <si>
    <t>CE-GC-0378</t>
  </si>
  <si>
    <t>CE-GC-0381</t>
  </si>
  <si>
    <t>CE-GC0368</t>
  </si>
  <si>
    <t>CE-GC-0373</t>
  </si>
  <si>
    <t>CE-GR-0310</t>
  </si>
  <si>
    <t>CE-GC-0317</t>
  </si>
  <si>
    <t>CE-GC-0371</t>
  </si>
  <si>
    <t>CE-GR-0302</t>
  </si>
  <si>
    <t>CE-GC-0350</t>
  </si>
  <si>
    <t>CE-GR-0301</t>
  </si>
  <si>
    <t>CE-GC-0279</t>
  </si>
  <si>
    <t>CE-GC-0305</t>
  </si>
  <si>
    <t xml:space="preserve">BELEN DE SOCORRO </t>
  </si>
  <si>
    <t xml:space="preserve">SOLICITUD DE VINCULARSE AL EVENTO </t>
  </si>
  <si>
    <t xml:space="preserve">LUIS ALBERTO NUÑEZ MURCIA </t>
  </si>
  <si>
    <t>DERECHO DE PETICIÓN</t>
  </si>
  <si>
    <t>Solicitud de apoyo y acompañamiento institucional para jornada de limpieza y de educación ambiental en los Barrios La Ciudadela Siglo XXI y PTAR La Ciudadela Siglo XXI (Villa del Prado).</t>
  </si>
  <si>
    <t>ESTRATEGIA GRANDES VOLUNTARIOS</t>
  </si>
  <si>
    <t xml:space="preserve">JUAN MIGUEL VARGAS GARCIA </t>
  </si>
  <si>
    <t>CE-GR-0441</t>
  </si>
  <si>
    <t>CE-GC-0346</t>
  </si>
  <si>
    <t>JURÍDICA</t>
  </si>
  <si>
    <t>CE-GC-0267</t>
  </si>
  <si>
    <t>CE-GC-0297</t>
  </si>
  <si>
    <t>CE-GC-0316</t>
  </si>
  <si>
    <t>CE-GC-0362</t>
  </si>
  <si>
    <t>CE-GC-0296</t>
  </si>
  <si>
    <t xml:space="preserve">NO REQUIERE RESPUESTA </t>
  </si>
  <si>
    <t xml:space="preserve">CE-GR-0295 </t>
  </si>
  <si>
    <t>CE-GR-0352</t>
  </si>
  <si>
    <t xml:space="preserve">JOSE LEANDRO CORREA BOTACHE </t>
  </si>
  <si>
    <t xml:space="preserve">LAURA GIRALDO </t>
  </si>
  <si>
    <t>HSEQ</t>
  </si>
  <si>
    <t xml:space="preserve">FINANCIERA </t>
  </si>
  <si>
    <t>CE-GC-0355</t>
  </si>
  <si>
    <t>JULIÁN LIZARAZO ROSAS</t>
  </si>
  <si>
    <t xml:space="preserve">INCONFORMIDAD DEL SERVICIO </t>
  </si>
  <si>
    <t xml:space="preserve">NOLBERTO ROJAS </t>
  </si>
  <si>
    <t xml:space="preserve">LUIS FERNANDO SERNA </t>
  </si>
  <si>
    <t>JORNADA DE ASEO</t>
  </si>
  <si>
    <t>CE-GT-0382</t>
  </si>
  <si>
    <t xml:space="preserve">ALBEIRO VALENCIA </t>
  </si>
  <si>
    <t xml:space="preserve">NORELLY ORAYA </t>
  </si>
  <si>
    <t>Diana Milena Boada Sandoval </t>
  </si>
  <si>
    <t xml:space="preserve">DISPOSICIÓN FINAL DE MATERIALES METALICOS </t>
  </si>
  <si>
    <t xml:space="preserve">CE-GC-0467 </t>
  </si>
  <si>
    <t>CE-GC-0464</t>
  </si>
  <si>
    <t xml:space="preserve">BATACHON </t>
  </si>
  <si>
    <t>CE-GR-0305</t>
  </si>
  <si>
    <t>CARMEN NARVAES</t>
  </si>
  <si>
    <t>OMUNICADO DE MEDIDA CAUTELAR, SUSPENSION DECRETO 00172 DE 2023</t>
  </si>
  <si>
    <t>SOLICITUD DE CAMARAS</t>
  </si>
  <si>
    <t xml:space="preserve"> JEFFERSON LOPEZ HOYOS</t>
  </si>
  <si>
    <t>ROSA ISABEL ALBA SANCHEZ</t>
  </si>
  <si>
    <t xml:space="preserve">JOSE HORTA  QUINTERO </t>
  </si>
  <si>
    <t xml:space="preserve">ROGELIO ROJAS </t>
  </si>
  <si>
    <t>CAPACITACIÓN</t>
  </si>
  <si>
    <t>CE-GC-0406</t>
  </si>
  <si>
    <t>CE-GC-0408</t>
  </si>
  <si>
    <t>CE-GC-0397</t>
  </si>
  <si>
    <t>CE-GC-0398</t>
  </si>
  <si>
    <t>CE-GC-0461</t>
  </si>
  <si>
    <t>CE-GC-0466</t>
  </si>
  <si>
    <t xml:space="preserve">EXONERACIÓN DEL COBRO </t>
  </si>
  <si>
    <t xml:space="preserve">GERARDO LLANOS </t>
  </si>
  <si>
    <t xml:space="preserve">CE-GC-0437 </t>
  </si>
  <si>
    <t xml:space="preserve">CE-GC-0367 </t>
  </si>
  <si>
    <t>CE-GR-0315</t>
  </si>
  <si>
    <t>Álvaro José Quintero Meza</t>
  </si>
  <si>
    <t xml:space="preserve">reunion </t>
  </si>
  <si>
    <t xml:space="preserve">CIRCULAR </t>
  </si>
  <si>
    <t>JULIETA JARAMILLO OROZCO</t>
  </si>
  <si>
    <t>CE-GR-0347</t>
  </si>
  <si>
    <t>CE-GC-0418</t>
  </si>
  <si>
    <t>CE-GC-0396</t>
  </si>
  <si>
    <t>CE-GC-0444</t>
  </si>
  <si>
    <t xml:space="preserve">CE-GC-0388 </t>
  </si>
  <si>
    <t xml:space="preserve">CE-GC-0417 </t>
  </si>
  <si>
    <t xml:space="preserve">CE-GC-0404 </t>
  </si>
  <si>
    <t xml:space="preserve">CE-GG-0401 </t>
  </si>
  <si>
    <t>CE-GR-0436</t>
  </si>
  <si>
    <t>JORNADA 27/03/2026</t>
  </si>
  <si>
    <t>CE-GC-0460</t>
  </si>
  <si>
    <t xml:space="preserve">CE-GC-0425 </t>
  </si>
  <si>
    <t xml:space="preserve">CE-GR-0478 </t>
  </si>
  <si>
    <t>CE-GR-0442</t>
  </si>
  <si>
    <t>CE-GR-0349</t>
  </si>
  <si>
    <t xml:space="preserve">ENTREGADO FISICO </t>
  </si>
  <si>
    <t>CE- GC-0403</t>
  </si>
  <si>
    <t>CE-GC-0326</t>
  </si>
  <si>
    <t>CE-GC-0327</t>
  </si>
  <si>
    <t>CE-GC-0328</t>
  </si>
  <si>
    <t>CE-GC-0329</t>
  </si>
  <si>
    <t>CE-GC-0330</t>
  </si>
  <si>
    <t>CE-GC-0331</t>
  </si>
  <si>
    <t>CE-GC-0332</t>
  </si>
  <si>
    <t>CE-GC-0323</t>
  </si>
  <si>
    <t>CE-GC-0333</t>
  </si>
  <si>
    <t xml:space="preserve">CE-GC-0400 </t>
  </si>
  <si>
    <t>CE-GR-0290</t>
  </si>
  <si>
    <t>CE-GC-0291</t>
  </si>
  <si>
    <t xml:space="preserve">NO FIRMADO </t>
  </si>
  <si>
    <t>CE-GR-0306</t>
  </si>
  <si>
    <t>CE-GC-0379</t>
  </si>
  <si>
    <t xml:space="preserve">SE HIZO RECURSO DE REPOSICIÓN </t>
  </si>
  <si>
    <t xml:space="preserve">ARCHIVADO </t>
  </si>
  <si>
    <t>CE-GC-0380</t>
  </si>
  <si>
    <t xml:space="preserve">TRASLADO A LA SUPER </t>
  </si>
  <si>
    <t>CE-GR-0293</t>
  </si>
  <si>
    <t>CE-GC-0308</t>
  </si>
  <si>
    <t>CE-GR-0278</t>
  </si>
  <si>
    <t xml:space="preserve">CE-GC-0294 </t>
  </si>
  <si>
    <t>CE-GC-0363</t>
  </si>
  <si>
    <t>CE-GT-0280</t>
  </si>
  <si>
    <t>CE-GC-0274</t>
  </si>
  <si>
    <t xml:space="preserve">CE-GC-0344 </t>
  </si>
  <si>
    <t xml:space="preserve">FINANCIERA RESPONDIÓ A TRAVES DEL CORREO </t>
  </si>
  <si>
    <t>CE-GC-0359</t>
  </si>
  <si>
    <t>CE-GC-513</t>
  </si>
  <si>
    <t>CE-GG-0507</t>
  </si>
  <si>
    <t>CE-GC-0511</t>
  </si>
  <si>
    <t xml:space="preserve">CE-GC-0521 </t>
  </si>
  <si>
    <t>CE-GC-0508</t>
  </si>
  <si>
    <t xml:space="preserve">CE-GC-0519 </t>
  </si>
  <si>
    <t xml:space="preserve">MARIA LUZ ANGELA CARDOZO </t>
  </si>
  <si>
    <t>CE-GC-0475</t>
  </si>
  <si>
    <t>CE-GC-0412</t>
  </si>
  <si>
    <t>CE-GC-0387</t>
  </si>
  <si>
    <t>ROLANDO GONZALEZ</t>
  </si>
  <si>
    <t xml:space="preserve">CITACIÓN </t>
  </si>
  <si>
    <t>CE-GC-0502</t>
  </si>
  <si>
    <t xml:space="preserve">CE-GC-0419 </t>
  </si>
  <si>
    <t>CE-GC-0416</t>
  </si>
  <si>
    <t>Respuesta a oficio CE-GC-0410</t>
  </si>
  <si>
    <t>CE-GC-0524</t>
  </si>
  <si>
    <t>CE-GT-0495</t>
  </si>
  <si>
    <t>CE-GC-0283</t>
  </si>
  <si>
    <t>CE-GR-0264</t>
  </si>
  <si>
    <t>CE-GC-0014</t>
  </si>
  <si>
    <t>CE-GC-0073</t>
  </si>
  <si>
    <t>CE-GC-0050</t>
  </si>
  <si>
    <t>CE-GR-0391</t>
  </si>
  <si>
    <t>CE-GC-0389</t>
  </si>
  <si>
    <t>CE-GC-0390</t>
  </si>
  <si>
    <t>CE-GG-0535</t>
  </si>
  <si>
    <t xml:space="preserve">CE-GR-0405 </t>
  </si>
  <si>
    <t>CE-GR-0392</t>
  </si>
  <si>
    <t>CE-GC-0448</t>
  </si>
  <si>
    <t>CE-GR-0395</t>
  </si>
  <si>
    <t>CE-GR-0530</t>
  </si>
  <si>
    <t xml:space="preserve">MARIA ELENA PERDOMO </t>
  </si>
  <si>
    <t>MEDIDA CAUTELAR, SUSPENSION DECRETO 00172 DE 2023</t>
  </si>
  <si>
    <t>ANGELICA HERNANDEZ</t>
  </si>
  <si>
    <t>JUAN CARLOS DIAZ CHAUX</t>
  </si>
  <si>
    <t xml:space="preserve">CE-GR-0497 </t>
  </si>
  <si>
    <t xml:space="preserve">CE-GR-0476 </t>
  </si>
  <si>
    <t>CE-GC-0399</t>
  </si>
  <si>
    <t>CE-GC-0407</t>
  </si>
  <si>
    <t>CE-GC-0386</t>
  </si>
  <si>
    <t>CE-GC-0409</t>
  </si>
  <si>
    <t>CE-GC-0465</t>
  </si>
  <si>
    <t>CE-GR-0440</t>
  </si>
  <si>
    <t xml:space="preserve">CE-GR-0439 </t>
  </si>
  <si>
    <t xml:space="preserve">nO REQUIERE RESPUESTA </t>
  </si>
  <si>
    <t xml:space="preserve">CE-GG-544 </t>
  </si>
  <si>
    <t>CE-GC-0443</t>
  </si>
  <si>
    <t xml:space="preserve">CE-GC-0473 </t>
  </si>
  <si>
    <t>CE-GC-0510</t>
  </si>
  <si>
    <t>CE-GC-0472-</t>
  </si>
  <si>
    <t>CRISTIAN CAMILO ZAMBRANO CASTILLO</t>
  </si>
  <si>
    <t>CONVOCATORIA REUNIÓN ORDINARIA CPESF MARZO 2026</t>
  </si>
  <si>
    <t xml:space="preserve">CE-GR-0575 </t>
  </si>
  <si>
    <t>CE-GC-0520</t>
  </si>
  <si>
    <t>CE-GR-0491</t>
  </si>
  <si>
    <t>CE-GC-0545</t>
  </si>
  <si>
    <t>SOLICITUD DE CAMARA</t>
  </si>
  <si>
    <t>NIEVE LUCRECIA ADEVIA</t>
  </si>
  <si>
    <t>HAIR TOVAR GOMEZ</t>
  </si>
  <si>
    <t xml:space="preserve">SOLICITUD DE LETRERO </t>
  </si>
  <si>
    <t xml:space="preserve">FRANCISCO CUELLAR </t>
  </si>
  <si>
    <t>Cambios en nombre de novedades</t>
  </si>
  <si>
    <t xml:space="preserve">EDUARDO TEJADA </t>
  </si>
  <si>
    <t xml:space="preserve">DAÑOS DEL VEHICULO </t>
  </si>
  <si>
    <t xml:space="preserve">STIVEL CASTEBLACO </t>
  </si>
  <si>
    <t xml:space="preserve">INVITACIÓN </t>
  </si>
  <si>
    <t>ANGIE LOZADA</t>
  </si>
  <si>
    <t>Respuesta a oficio CE-GC-0537 del 30-03-2026 con rad interno 2026-1-1-2615 del 08-04-2026</t>
  </si>
  <si>
    <t xml:space="preserve">MODICICACIÓN DEL RECIBO </t>
  </si>
  <si>
    <t>Carlos Andrés cangrejo hoyos </t>
  </si>
  <si>
    <t>raslado por competencia del oficio con rad No 2026-1-1-2402</t>
  </si>
  <si>
    <t>YENI CAROLINA VILLAMIL</t>
  </si>
  <si>
    <t xml:space="preserve">SOLIICTUD DE DEVOLUCIÓN </t>
  </si>
  <si>
    <t xml:space="preserve">ANDRES FERNANDO GARZON </t>
  </si>
  <si>
    <t>SOLICITUD DE RECOLECCIÓN </t>
  </si>
  <si>
    <t xml:space="preserve">LILIANA TRUJILLO </t>
  </si>
  <si>
    <t xml:space="preserve">EIDER DEVIA </t>
  </si>
  <si>
    <t xml:space="preserve">INCREMETO DE COBRO </t>
  </si>
  <si>
    <t xml:space="preserve">HERNAN DARIO </t>
  </si>
  <si>
    <t xml:space="preserve">SOLICITUD DE NO EL COBRO </t>
  </si>
  <si>
    <t>WILLYAM HERRERA LONDOÑO</t>
  </si>
  <si>
    <t>INVITACIÓN Y APOYO INTERINSTITUCIONAL ACTIVIDAD " GRANDES VECINOS" - COMUNA ORIENTAL</t>
  </si>
  <si>
    <t>KAREN VARGAS</t>
  </si>
  <si>
    <t xml:space="preserve">MAUEL ARTURO OLARTE </t>
  </si>
  <si>
    <t xml:space="preserve">SOLICITUD DE INFORMACIÓN DE LA DEUDA DE ASEO </t>
  </si>
  <si>
    <t xml:space="preserve">DANY LORENA RIVERA </t>
  </si>
  <si>
    <t xml:space="preserve">AURORA RADA </t>
  </si>
  <si>
    <t xml:space="preserve">JOSE CENTERO </t>
  </si>
  <si>
    <t xml:space="preserve">INFORMACIÓN DE LA DEUDA DE ASEO </t>
  </si>
  <si>
    <t xml:space="preserve">LUIS JOSE NARANJO </t>
  </si>
  <si>
    <t>Solicitud de apoyo para poda en la Biblioteca Municipal La Gloria</t>
  </si>
  <si>
    <t xml:space="preserve">LINA PATRICIA MEJIA </t>
  </si>
  <si>
    <t xml:space="preserve"> aplicación tarifa casa deshabitada</t>
  </si>
  <si>
    <t>Maria OVidlaArroyo Rojas</t>
  </si>
  <si>
    <t>Andrés Torres Castro</t>
  </si>
  <si>
    <t>INFORMACIÓN DE LA DEUDA DE ASEO</t>
  </si>
  <si>
    <t xml:space="preserve">NORBEY RIVERA </t>
  </si>
  <si>
    <t>SOLICITUD DE INFORMACIÓN DE LA DEUDA</t>
  </si>
  <si>
    <t>ALVARO GONZALEZ</t>
  </si>
  <si>
    <t>Solicitud de unificación de cobro del servicio de aseo</t>
  </si>
  <si>
    <t>OSCAR FERNANDO QUINO BONILLA</t>
  </si>
  <si>
    <t>PARTICIPACION CAMPAÑA POSCONSUMO SERVINTEGRAL</t>
  </si>
  <si>
    <t>Ángela Yeraldine Díaz Pantoja</t>
  </si>
  <si>
    <t>Abner Jesús Gutiérrez Vargas.</t>
  </si>
  <si>
    <t>RECURSO DE REPOSICIÓN - INCUMPLIMIENTO PQR No. 26-286 - Matrícula 195548394</t>
  </si>
  <si>
    <t xml:space="preserve">FLORESMIRO OSPINA </t>
  </si>
  <si>
    <t>JEIDY CAROLIA DIAZ</t>
  </si>
  <si>
    <t>REUNIÓN MESA DE TRABAJO</t>
  </si>
  <si>
    <t xml:space="preserve">LARANDIA </t>
  </si>
  <si>
    <t xml:space="preserve">CRISTIAN JAVIER CABALLERO </t>
  </si>
  <si>
    <t xml:space="preserve">CONVOCATORIA REUNIÓN </t>
  </si>
  <si>
    <t xml:space="preserve">KARLA LIZCANO </t>
  </si>
  <si>
    <t> INVITACIÓN Y APOYO INTERINSTITUCIONAL ACTIVIDAD " GRANDES VECINOS" - COMUNA ORIENTAL</t>
  </si>
  <si>
    <t xml:space="preserve">FIANCO </t>
  </si>
  <si>
    <t>LIQUIDACION DEL SERVICIO DE ASEO SERVINTEGRAL S.A E.S.P </t>
  </si>
  <si>
    <t>ANGELA VIVIANA CASTAÑEDA LEGUIZAMON</t>
  </si>
  <si>
    <t>SOLICITUD AVISO PROHIBIDO BOTAR BASURAS O ESCOMBROS</t>
  </si>
  <si>
    <t xml:space="preserve">MONICA YULIETH MOSQUERA </t>
  </si>
  <si>
    <t xml:space="preserve">CESAR VARGAS </t>
  </si>
  <si>
    <t>ACTA No 02 del 24 MARZO 2026</t>
  </si>
  <si>
    <t xml:space="preserve">CAMEN ARELIS IBARRA </t>
  </si>
  <si>
    <t xml:space="preserve">ROBINSON TRUJILLO </t>
  </si>
  <si>
    <t xml:space="preserve">SOLICITUD DE CERTIIFCADO </t>
  </si>
  <si>
    <t xml:space="preserve">JESUS GARCIA </t>
  </si>
  <si>
    <t>ARACELY DURAN CARVAJAL</t>
  </si>
  <si>
    <t xml:space="preserve">JEISON OVIEDO </t>
  </si>
  <si>
    <t xml:space="preserve">PODA DE ARBOLES </t>
  </si>
  <si>
    <t>OFERTAS ACADEMICA</t>
  </si>
  <si>
    <t xml:space="preserve">YEINNY NATALIA MUÑOZ </t>
  </si>
  <si>
    <t>INFORMACIÓN DE DESCUENTO EN LA DEUDA</t>
  </si>
  <si>
    <t xml:space="preserve">OSCAR SOLANO </t>
  </si>
  <si>
    <t xml:space="preserve">SOLICITUD DE DEVOLUCIÓN </t>
  </si>
  <si>
    <t> yuli andrea larrahondo silva</t>
  </si>
  <si>
    <t> Solicitud de certificado de disponibilidad del servicio de recolección</t>
  </si>
  <si>
    <t>Javier Rincón Muñoz</t>
  </si>
  <si>
    <t>SOLICITUD DE PROHIBIDO BOTAR BASURA</t>
  </si>
  <si>
    <t>MARIA ISABEL PINEDA</t>
  </si>
  <si>
    <t>LUCEIDER HERNNADEZ</t>
  </si>
  <si>
    <t xml:space="preserve">YURY ANDREA BARRERA </t>
  </si>
  <si>
    <t xml:space="preserve">SOLICITUD DE MODIFICACIÓN DEL RECIBO </t>
  </si>
  <si>
    <t xml:space="preserve">MILENA BAHO </t>
  </si>
  <si>
    <t>DIANA MARCELA SUAREZ JIMENEZ</t>
  </si>
  <si>
    <t>. ANGÉLICA MARÍA MOLINA SUÁREZ</t>
  </si>
  <si>
    <t>RODRIGO SUAREZ</t>
  </si>
  <si>
    <t>JAIR PEREZ</t>
  </si>
  <si>
    <t xml:space="preserve">SOLICITUD DE RECOLECCIÓN </t>
  </si>
  <si>
    <t>JOSE RICARDO GUTIERREZ</t>
  </si>
  <si>
    <t xml:space="preserve">SOLIICTUD DE CAMBIO OPERADOR </t>
  </si>
  <si>
    <t>RESPUESTA DE LA COTIZACIÓN</t>
  </si>
  <si>
    <t xml:space="preserve">SOLICITUD DE INVITACIÓN </t>
  </si>
  <si>
    <t xml:space="preserve">RUBER ROMAN </t>
  </si>
  <si>
    <t>Remisión memorias mesa de trabajo de fecha 24 de marzo de 2026</t>
  </si>
  <si>
    <t>YESSENIA MOLSAVE</t>
  </si>
  <si>
    <t>Respuesta a oficio con rad No 2026-1-1-1767 del 06-03-2026</t>
  </si>
  <si>
    <t> Solicitud de apoyo para celebración del día del niño</t>
  </si>
  <si>
    <t>Maira Estela Díaz Contreras</t>
  </si>
  <si>
    <t xml:space="preserve">SUSPENSIÓN DEL SERVICIO </t>
  </si>
  <si>
    <t>. JUAN CARLOS GAITAN ORTEGON</t>
  </si>
  <si>
    <t>Respuesta a oficio CE-GC-0562 del 05-04-2026 con Rad interno No 2026-1-1-2616 del 06-04-2026</t>
  </si>
  <si>
    <t>ALBA AURORA ROJA</t>
  </si>
  <si>
    <t xml:space="preserve">JULIO CESAR VERA </t>
  </si>
  <si>
    <t>DOCUMENTOS DE REVISORIA FISCAL 2026</t>
  </si>
  <si>
    <t xml:space="preserve">GERENCIA </t>
  </si>
  <si>
    <t>CE-GC-0479</t>
  </si>
  <si>
    <t>CE-GC-0480</t>
  </si>
  <si>
    <t>CE-GC-0474</t>
  </si>
  <si>
    <t>COMUNICADO DE MEDIDA CAUTELAR, SUSPENSION DECRETO 00172 DE 2023</t>
  </si>
  <si>
    <t xml:space="preserve">CE-GR-0518 </t>
  </si>
  <si>
    <t>CE-GC-0523</t>
  </si>
  <si>
    <t>Respuesta a oficio CE-GC-0471 del 18-03-2026 con Rad interno No 2026-1-1-2148 del 18-03-2026</t>
  </si>
  <si>
    <t xml:space="preserve"> ENVIO OFICIOS NROS. 0540 - 0541 - RAD 3-2008-00459-00</t>
  </si>
  <si>
    <t>AMAURY HERNANDO HERNANDEZ ÑUSTES</t>
  </si>
  <si>
    <t xml:space="preserve"> COMUNICA ACTUACION PROCESAL RAD 2019-00070-00</t>
  </si>
  <si>
    <t>SOLICITUD DE REUNIÓN </t>
  </si>
  <si>
    <t>JAQUELINE LOPERA</t>
  </si>
  <si>
    <t xml:space="preserve">NEISER YELA </t>
  </si>
  <si>
    <t xml:space="preserve">FAVIO SANCHEZ TOVAR </t>
  </si>
  <si>
    <t>INFORME CONSOLIDADO GESTIÓN DEL RIESGO</t>
  </si>
  <si>
    <t>SOLICITUD URGENTE DE INFORME DE LA ACCIÓN POPULAR</t>
  </si>
  <si>
    <t>DEFENSORIA</t>
  </si>
  <si>
    <t>Solicitud aseo y limpieza de lugar de evento</t>
  </si>
  <si>
    <t>Felipe Yabur León</t>
  </si>
  <si>
    <t>Proyecto de investigación académica: El proceso de mercadeo PRIMERA JORNADA LIMPIATÓN DE CUNETAS Y ALCANTARILLAS</t>
  </si>
  <si>
    <t>SOLICITUD CONTENEDORES</t>
  </si>
  <si>
    <t>YEFFERSON OME PERDOMO</t>
  </si>
  <si>
    <t>Mesa de trabajo de novedades en la prestación del servicio en las plazas de mercado del municipio de Florencia</t>
  </si>
  <si>
    <t>otificacion de asentamiento No. S001437945 en  LA CAMARA DE COMERCIO DE FLORENCIA PARA EL CAQUETA </t>
  </si>
  <si>
    <t xml:space="preserve">CAMARA DE COMERCIO </t>
  </si>
  <si>
    <t>SOLICITUD VERIFICACION SERVICIO DE ASEO COLISEO CUBIERTO JUAN VIESSI</t>
  </si>
  <si>
    <t xml:space="preserve">JOSE ALEJANDRO GOMEZ RESTREPO </t>
  </si>
  <si>
    <t>¡Importante!! Actualización Condiciones Tributarias - ICONTEC 860.012.336-1</t>
  </si>
  <si>
    <t>Pedro Vicente Caro Sosa</t>
  </si>
  <si>
    <t>Derecho de petición</t>
  </si>
  <si>
    <t>ANTONIO JOSÉ PALMEZANO RODRÍGUEZ</t>
  </si>
  <si>
    <t>Solicitud de convenio para recolección de RESPEL (Residuos Peligrosos)</t>
  </si>
  <si>
    <t xml:space="preserve">ELIANA TOBON </t>
  </si>
  <si>
    <t> Solicitud de visita a la planta de aprovechamiento</t>
  </si>
  <si>
    <t>Solicitud volqueta para recoger follaje de arboles</t>
  </si>
  <si>
    <t>Informe N°025 19-03-2026 Informe Tecnico Versalles</t>
  </si>
  <si>
    <t>SOLICITUD RECOGE BASURA UBICADA EN TRES (3) LONAS</t>
  </si>
  <si>
    <t>Nubia Camelo Rincón</t>
  </si>
  <si>
    <t>Clara Isabel Ramírez Santofimio</t>
  </si>
  <si>
    <t>  solicitud carrera 15#7-26 Juan XXIII</t>
  </si>
  <si>
    <t>respuesta oficio No CE-GC-0431</t>
  </si>
  <si>
    <t xml:space="preserve">ALFONSO ARIEL RAMON </t>
  </si>
  <si>
    <t xml:space="preserve">CE-GG-0628 </t>
  </si>
  <si>
    <t>CE-GC-0627</t>
  </si>
  <si>
    <t>CE-GC-0481</t>
  </si>
  <si>
    <t>CE-GC-0493-</t>
  </si>
  <si>
    <t>DIANA CORRALES CHAVARRO</t>
  </si>
  <si>
    <t>CE-GR-0496</t>
  </si>
  <si>
    <t>FLORESMIRO OSPINA RIASCOS</t>
  </si>
  <si>
    <t>JUAN MIGUEL VARGAS GARCÍA</t>
  </si>
  <si>
    <t>CE-GC-0501</t>
  </si>
  <si>
    <t>CE-GC-0522</t>
  </si>
  <si>
    <t>07/04/206</t>
  </si>
  <si>
    <t xml:space="preserve">CE-GG-0557 </t>
  </si>
  <si>
    <t xml:space="preserve">CE-GR-0492 </t>
  </si>
  <si>
    <t>CE-GC-0532</t>
  </si>
  <si>
    <t>CE-GR-0499</t>
  </si>
  <si>
    <t>CE-GR-0500</t>
  </si>
  <si>
    <t>CE-GR-0505</t>
  </si>
  <si>
    <t xml:space="preserve">CE-GR-0543 </t>
  </si>
  <si>
    <t>CE-GC-0517</t>
  </si>
  <si>
    <t>CE-GC-0536</t>
  </si>
  <si>
    <t>CE-GC-0549</t>
  </si>
  <si>
    <t>CE-GC-0565</t>
  </si>
  <si>
    <t>CE-GC-0534</t>
  </si>
  <si>
    <t>CE-GC-0482</t>
  </si>
  <si>
    <t>SE ENTREGA FISICO</t>
  </si>
  <si>
    <t>CE-GC-0631</t>
  </si>
  <si>
    <t>CE-GC-0514</t>
  </si>
  <si>
    <t xml:space="preserve">CE-GR-0531 </t>
  </si>
  <si>
    <t>CE-GC-0606</t>
  </si>
  <si>
    <t xml:space="preserve">CE-GC-0526 </t>
  </si>
  <si>
    <t>CE-GC-0580</t>
  </si>
  <si>
    <t>CE-GC-0622</t>
  </si>
  <si>
    <t xml:space="preserve">CE-GC-0626 </t>
  </si>
  <si>
    <t xml:space="preserve">CE-GC-0602 </t>
  </si>
  <si>
    <t xml:space="preserve">CE-GC-0601 </t>
  </si>
  <si>
    <t>CE-GC-0596</t>
  </si>
  <si>
    <t>CE-GC-0572</t>
  </si>
  <si>
    <t>Convocatoria a Jornada de Paz con la Naturaleza Servintegral</t>
  </si>
  <si>
    <t>Solicitud de apoyo y acompañamiento institucional SERVINTEGRAL</t>
  </si>
  <si>
    <t>JANETH CECILIA MORERA URREGO</t>
  </si>
  <si>
    <t>DESCUENTO EN TARIFA DE ASEO POR PREDIO DESHABITADO</t>
  </si>
  <si>
    <t>VINCULACIÓN</t>
  </si>
  <si>
    <t xml:space="preserve">MARIA GIL FRANCO </t>
  </si>
  <si>
    <t>Invitación a participar en la formulación del Plan de Acción Específico</t>
  </si>
  <si>
    <t>AEROPUERTO</t>
  </si>
  <si>
    <t>DIANA PATRICIA MONTES</t>
  </si>
  <si>
    <t>DERECHO DE PETICIÓN </t>
  </si>
  <si>
    <t xml:space="preserve">EX TRABAJADOR </t>
  </si>
  <si>
    <t xml:space="preserve">GONZALO BARRAGAN </t>
  </si>
  <si>
    <t>SOLICITUD RECOGIDA DE UN COLCON </t>
  </si>
  <si>
    <t>Viviana castaño </t>
  </si>
  <si>
    <t>CONMEMORACIÓN DÍA INTERNACIONAL DE LOS MONUMENTOS </t>
  </si>
  <si>
    <t xml:space="preserve">
Juan Miguel Vargas García</t>
  </si>
  <si>
    <t>Respuesta a oficio del 15-01-2026 con Rad interno No 2026-1-1-352 del 15-01-2026 </t>
  </si>
  <si>
    <t> ENVIO OFICIO DE CITACION TRAMITE CATASTRAL 2025-8831</t>
  </si>
  <si>
    <t xml:space="preserve">Diego Armando Medina Quintero </t>
  </si>
  <si>
    <t>SOLICITUD DE APOYO</t>
  </si>
  <si>
    <t xml:space="preserve">ANIVAL GAVIRIA </t>
  </si>
  <si>
    <t>3200.09.116-267 Solicitud de apoyo y acompañamiento institucional para jornada de limpieza y educación ambiental en el Barrio Jesús Ángel González</t>
  </si>
  <si>
    <t>CE-GC-0548</t>
  </si>
  <si>
    <t>CE-GC-0550</t>
  </si>
  <si>
    <t>CE-GC-0533</t>
  </si>
  <si>
    <t>CE-GC-0553</t>
  </si>
  <si>
    <t>CE-GC-0528</t>
  </si>
  <si>
    <t>CE-GC-0541</t>
  </si>
  <si>
    <t>CE-GC-0556</t>
  </si>
  <si>
    <t xml:space="preserve">CE-GR-0539 </t>
  </si>
  <si>
    <t>CE-GC-0563</t>
  </si>
  <si>
    <t xml:space="preserve">CE-GR-0540 </t>
  </si>
  <si>
    <t>CE-GC-0554</t>
  </si>
  <si>
    <t>CE-GC-0555</t>
  </si>
  <si>
    <t>CE-GG-0588</t>
  </si>
  <si>
    <t xml:space="preserve">CE-GR-0551 </t>
  </si>
  <si>
    <t xml:space="preserve">CE-GC-0561 </t>
  </si>
  <si>
    <t xml:space="preserve">CE-GC-0564 </t>
  </si>
  <si>
    <t>CE-GR-0552</t>
  </si>
  <si>
    <t>CE-GC-0574</t>
  </si>
  <si>
    <t>CE-GC-0560</t>
  </si>
  <si>
    <t>CE-GC-0569</t>
  </si>
  <si>
    <t>CE-GT-0559</t>
  </si>
  <si>
    <t>CE-GR-0589</t>
  </si>
  <si>
    <t>CE-GR-0591</t>
  </si>
  <si>
    <t>CARLOS BAHON</t>
  </si>
  <si>
    <t xml:space="preserve">JORNADA DE ASEO </t>
  </si>
  <si>
    <t xml:space="preserve">APOYO JORNADA DE ASEO </t>
  </si>
  <si>
    <t>CE-GC-0228</t>
  </si>
  <si>
    <t>CE-GC-0168</t>
  </si>
  <si>
    <t xml:space="preserve">JUAN MIGUEL </t>
  </si>
  <si>
    <t xml:space="preserve">ACTA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</si>
</sst>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Aptos"/>
      <family val="2"/>
    </font>
    <font>
      <sz val="12"/>
      <color rgb="FF000000"/>
      <name val="Times New Roman"/>
      <family val="1"/>
    </font>
    <font>
      <i/>
      <sz val="12"/>
      <color theme="1"/>
      <name val="Calibri"/>
      <family val="2"/>
      <scheme val="minor"/>
    </font>
    <font>
      <sz val="10"/>
      <color rgb="FF242424"/>
      <name val="Segoe UI"/>
      <family val="2"/>
    </font>
    <font>
      <sz val="14"/>
      <color theme="1"/>
      <name val="Calibri"/>
      <family val="2"/>
      <scheme val="minor"/>
    </font>
    <font>
      <sz val="10"/>
      <color rgb="FF242424"/>
      <name val="Segoe UI"/>
      <family val="2"/>
    </font>
    <font>
      <sz val="10"/>
      <color rgb="FF242424"/>
      <name val="Segoe UI"/>
      <family val="2"/>
    </font>
  </fonts>
  <fills count="1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FC22E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14" fontId="1" fillId="0" borderId="1" xfId="0" applyNumberFormat="1" applyFont="1" applyBorder="1"/>
    <xf numFmtId="0" fontId="0" fillId="3" borderId="0" xfId="0" applyFill="1"/>
    <xf numFmtId="0" fontId="0" fillId="0" borderId="1" xfId="0" applyBorder="1"/>
    <xf numFmtId="14" fontId="0" fillId="0" borderId="0" xfId="0" applyNumberFormat="1" applyAlignment="1">
      <alignment vertical="center" wrapText="1"/>
    </xf>
    <xf numFmtId="0" fontId="0" fillId="4" borderId="0" xfId="0" applyFill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1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4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0" fillId="7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0" fillId="7" borderId="0" xfId="0" applyFont="1" applyFill="1" applyAlignment="1">
      <alignment horizontal="center" wrapText="1"/>
    </xf>
    <xf numFmtId="14" fontId="1" fillId="7" borderId="1" xfId="0" applyNumberFormat="1" applyFont="1" applyFill="1" applyBorder="1" applyAlignment="1">
      <alignment horizontal="center" vertical="center" wrapText="1"/>
    </xf>
    <xf numFmtId="14" fontId="1" fillId="8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 vertical="center"/>
    </xf>
    <xf numFmtId="14" fontId="2" fillId="7" borderId="1" xfId="0" applyNumberFormat="1" applyFont="1" applyFill="1" applyBorder="1" applyAlignment="1">
      <alignment horizontal="center" vertical="center"/>
    </xf>
    <xf numFmtId="14" fontId="2" fillId="7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 wrapText="1"/>
    </xf>
    <xf numFmtId="2" fontId="1" fillId="7" borderId="1" xfId="0" applyNumberFormat="1" applyFont="1" applyFill="1" applyBorder="1" applyAlignment="1">
      <alignment horizontal="center" vertical="center"/>
    </xf>
    <xf numFmtId="14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14" fontId="1" fillId="10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14" fontId="1" fillId="11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/>
    </xf>
    <xf numFmtId="14" fontId="1" fillId="7" borderId="1" xfId="0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14" fontId="1" fillId="12" borderId="1" xfId="0" applyNumberFormat="1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14" fontId="1" fillId="13" borderId="1" xfId="0" applyNumberFormat="1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14" fontId="1" fillId="14" borderId="1" xfId="0" applyNumberFormat="1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 wrapText="1"/>
    </xf>
    <xf numFmtId="0" fontId="1" fillId="7" borderId="1" xfId="0" applyFont="1" applyFill="1" applyBorder="1"/>
    <xf numFmtId="14" fontId="1" fillId="7" borderId="1" xfId="0" applyNumberFormat="1" applyFont="1" applyFill="1" applyBorder="1"/>
    <xf numFmtId="0" fontId="1" fillId="7" borderId="1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1" fillId="11" borderId="1" xfId="0" applyFont="1" applyFill="1" applyBorder="1" applyAlignment="1">
      <alignment horizontal="center"/>
    </xf>
    <xf numFmtId="14" fontId="1" fillId="11" borderId="1" xfId="0" applyNumberFormat="1" applyFont="1" applyFill="1" applyBorder="1" applyAlignment="1">
      <alignment horizontal="center"/>
    </xf>
    <xf numFmtId="14" fontId="1" fillId="9" borderId="1" xfId="0" applyNumberFormat="1" applyFont="1" applyFill="1" applyBorder="1" applyAlignment="1">
      <alignment horizontal="center"/>
    </xf>
    <xf numFmtId="14" fontId="1" fillId="15" borderId="1" xfId="0" applyNumberFormat="1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</cellXfs>
  <cellStyles count="1">
    <cellStyle name="Normal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9FC22E"/>
      <color rgb="FF30A5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A8406-0F8C-443C-A1C6-4C1E70F906F2}">
  <dimension ref="A1:S1242"/>
  <sheetViews>
    <sheetView tabSelected="1" topLeftCell="A516" zoomScale="86" zoomScaleNormal="86" workbookViewId="0">
      <selection activeCell="F900" sqref="F900"/>
    </sheetView>
  </sheetViews>
  <sheetFormatPr baseColWidth="10" defaultRowHeight="15" x14ac:dyDescent="0.25"/>
  <cols>
    <col min="1" max="1" width="38.42578125" customWidth="1"/>
    <col min="2" max="2" width="36" customWidth="1"/>
    <col min="3" max="3" width="30.28515625" customWidth="1"/>
    <col min="4" max="4" width="34.28515625" customWidth="1"/>
    <col min="5" max="5" width="21.42578125" customWidth="1"/>
    <col min="6" max="6" width="33" customWidth="1"/>
    <col min="7" max="7" width="26.28515625" customWidth="1"/>
    <col min="8" max="8" width="22" customWidth="1"/>
    <col min="9" max="9" width="26.28515625" customWidth="1"/>
    <col min="10" max="10" width="22" customWidth="1"/>
    <col min="11" max="12" width="22.7109375" customWidth="1"/>
    <col min="13" max="13" width="15.5703125" customWidth="1"/>
    <col min="14" max="14" width="25.140625" customWidth="1"/>
    <col min="15" max="15" width="19.140625" customWidth="1"/>
    <col min="16" max="16" width="25.140625" customWidth="1"/>
  </cols>
  <sheetData>
    <row r="1" spans="1:19" s="1" customFormat="1" x14ac:dyDescent="0.25">
      <c r="A1" s="2" t="s">
        <v>0</v>
      </c>
      <c r="B1" s="2" t="s">
        <v>13</v>
      </c>
      <c r="C1" s="2" t="s">
        <v>15</v>
      </c>
      <c r="D1" s="2" t="s">
        <v>14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7</v>
      </c>
      <c r="J1" s="2" t="s">
        <v>8</v>
      </c>
      <c r="K1" s="2" t="s">
        <v>6</v>
      </c>
      <c r="L1" s="2" t="s">
        <v>5</v>
      </c>
      <c r="M1" s="2" t="s">
        <v>9</v>
      </c>
      <c r="N1" s="2" t="s">
        <v>10</v>
      </c>
      <c r="O1" s="2" t="s">
        <v>12</v>
      </c>
      <c r="P1" s="10" t="s">
        <v>11</v>
      </c>
    </row>
    <row r="2" spans="1:19" x14ac:dyDescent="0.25">
      <c r="A2" s="10" t="s">
        <v>18</v>
      </c>
      <c r="B2" s="19" t="s">
        <v>56</v>
      </c>
      <c r="C2" s="12" t="s">
        <v>57</v>
      </c>
      <c r="D2" s="9" t="s">
        <v>20</v>
      </c>
      <c r="E2" s="10">
        <v>1</v>
      </c>
      <c r="F2" s="11">
        <v>46024</v>
      </c>
      <c r="G2" s="10" t="s">
        <v>615</v>
      </c>
      <c r="H2" s="10">
        <f t="shared" ref="H2:H65" si="0">IF(A2="INFORMACIÓN O DOCUMENTOS", 10, IF(A2="CONSULTA", 30, IF(A2="FACTURACIÓN Y COBROS", 15, IF(A2="VINCULACIÓN Y DESVINCULACIÓN", 15, IF(A2="NO ES DE NUESTRA COMPETENCIA", 5, IF(A2="OTRO", 15, ""))))))</f>
        <v>15</v>
      </c>
      <c r="I2" s="10">
        <f ca="1">IF(AND(F2&lt;&gt;"", J2&lt;&gt;""), NETWORKDAYS(TODAY(), J2-1, FESTIVOS!A$1:A$55), "")</f>
        <v>-93</v>
      </c>
      <c r="J2" s="49">
        <f>IF(AND(F2&lt;&gt;"", H2&lt;&gt;""), WORKDAY(F2, H2, FESTIVOS!A$1:A$55), "")</f>
        <v>46048</v>
      </c>
      <c r="K2" s="50" t="s">
        <v>656</v>
      </c>
      <c r="L2" s="50">
        <v>0</v>
      </c>
      <c r="M2" s="50" t="str">
        <f t="shared" ref="M2:M65" ca="1" si="1">IF(OR(I2="", H2=""), "", IF(I2&lt;0, "Vencido", IF(I2&gt;(H2/2), "Supere la mitad", "Bajo la mitad")))</f>
        <v>Vencido</v>
      </c>
      <c r="N2" s="50" t="s">
        <v>598</v>
      </c>
      <c r="O2" s="49">
        <v>46038</v>
      </c>
      <c r="P2" s="35">
        <f>IF(OR(O2="", J2=""), "", NETWORKDAYS(J2, O2, FESTIVOS!A1:A55))</f>
        <v>-7</v>
      </c>
    </row>
    <row r="3" spans="1:19" x14ac:dyDescent="0.25">
      <c r="A3" s="10" t="s">
        <v>18</v>
      </c>
      <c r="B3" s="19" t="s">
        <v>56</v>
      </c>
      <c r="C3" s="12" t="s">
        <v>57</v>
      </c>
      <c r="D3" s="12" t="s">
        <v>20</v>
      </c>
      <c r="E3" s="10">
        <v>2</v>
      </c>
      <c r="F3" s="11">
        <v>46024</v>
      </c>
      <c r="G3" s="10" t="s">
        <v>615</v>
      </c>
      <c r="H3" s="10">
        <f t="shared" si="0"/>
        <v>15</v>
      </c>
      <c r="I3" s="10">
        <f ca="1">IF(AND(F3&lt;&gt;"", J3&lt;&gt;""), NETWORKDAYS(TODAY(), J3-1, FESTIVOS!A$1:A$55), "")</f>
        <v>-93</v>
      </c>
      <c r="J3" s="49">
        <f>IF(AND(F3&lt;&gt;"", H3&lt;&gt;""), WORKDAY(F3, H3, FESTIVOS!A$1:A$55), "")</f>
        <v>46048</v>
      </c>
      <c r="K3" s="50" t="s">
        <v>656</v>
      </c>
      <c r="L3" s="50">
        <f t="shared" ref="L3:L65" ca="1" si="2">IF(I3="", "", MAX(0, I3 - (TODAY() - TODAY())))</f>
        <v>0</v>
      </c>
      <c r="M3" s="50" t="str">
        <f t="shared" ca="1" si="1"/>
        <v>Vencido</v>
      </c>
      <c r="N3" s="50" t="s">
        <v>599</v>
      </c>
      <c r="O3" s="49">
        <v>46041</v>
      </c>
      <c r="P3" s="35">
        <f>IF(OR(O3="", J3=""), "", NETWORKDAYS(J3, O3, FESTIVOS!A2:A56))</f>
        <v>-6</v>
      </c>
    </row>
    <row r="4" spans="1:19" x14ac:dyDescent="0.25">
      <c r="A4" s="10" t="s">
        <v>18</v>
      </c>
      <c r="B4" s="20" t="s">
        <v>58</v>
      </c>
      <c r="C4" s="9" t="s">
        <v>59</v>
      </c>
      <c r="D4" s="12" t="s">
        <v>21</v>
      </c>
      <c r="E4" s="10">
        <v>3</v>
      </c>
      <c r="F4" s="11">
        <v>46027</v>
      </c>
      <c r="G4" s="10" t="s">
        <v>615</v>
      </c>
      <c r="H4" s="10">
        <f t="shared" si="0"/>
        <v>15</v>
      </c>
      <c r="I4" s="10">
        <f ca="1">IF(AND(F4&lt;&gt;"", J4&lt;&gt;""), NETWORKDAYS(TODAY(), J4-1, FESTIVOS!A$1:A$55), "")</f>
        <v>-93</v>
      </c>
      <c r="J4" s="49">
        <f>IF(AND(F4&lt;&gt;"", H4&lt;&gt;""), WORKDAY(F4, H4, FESTIVOS!A$1:A$55), "")</f>
        <v>46049</v>
      </c>
      <c r="K4" s="50" t="s">
        <v>656</v>
      </c>
      <c r="L4" s="50">
        <f ca="1">IF(I4="", "", MAX(0, I4 - (TODAY() - TODAY())))</f>
        <v>0</v>
      </c>
      <c r="M4" s="50" t="str">
        <f t="shared" ca="1" si="1"/>
        <v>Vencido</v>
      </c>
      <c r="N4" s="50" t="s">
        <v>600</v>
      </c>
      <c r="O4" s="49">
        <v>46029</v>
      </c>
      <c r="P4" s="35">
        <f>IF(OR(O4="", J4=""), "", NETWORKDAYS(J4, O4, FESTIVOS!A3:A57))</f>
        <v>-14</v>
      </c>
      <c r="Q4" s="8" t="s">
        <v>16</v>
      </c>
      <c r="R4" s="8"/>
      <c r="S4" s="8"/>
    </row>
    <row r="5" spans="1:19" x14ac:dyDescent="0.25">
      <c r="A5" s="10" t="s">
        <v>18</v>
      </c>
      <c r="B5" s="19" t="s">
        <v>56</v>
      </c>
      <c r="C5" s="12" t="s">
        <v>57</v>
      </c>
      <c r="D5" s="12" t="s">
        <v>20</v>
      </c>
      <c r="E5" s="13">
        <v>4</v>
      </c>
      <c r="F5" s="14">
        <v>46027</v>
      </c>
      <c r="G5" s="10" t="s">
        <v>615</v>
      </c>
      <c r="H5" s="10">
        <f t="shared" si="0"/>
        <v>15</v>
      </c>
      <c r="I5" s="10">
        <f ca="1">IF(AND(F5&lt;&gt;"", J5&lt;&gt;""), NETWORKDAYS(TODAY(), J5-1, FESTIVOS!A$1:A$55), "")</f>
        <v>-93</v>
      </c>
      <c r="J5" s="49">
        <f>IF(AND(F5&lt;&gt;"", H5&lt;&gt;""), WORKDAY(F5, H5, FESTIVOS!A$1:A$55), "")</f>
        <v>46049</v>
      </c>
      <c r="K5" s="50" t="s">
        <v>656</v>
      </c>
      <c r="L5" s="50">
        <f t="shared" ca="1" si="2"/>
        <v>0</v>
      </c>
      <c r="M5" s="50" t="str">
        <f t="shared" ca="1" si="1"/>
        <v>Vencido</v>
      </c>
      <c r="N5" s="50" t="s">
        <v>601</v>
      </c>
      <c r="O5" s="49">
        <v>46038</v>
      </c>
      <c r="P5" s="35">
        <f>IF(OR(O5="", J5=""), "", NETWORKDAYS(J5, O5, FESTIVOS!A4:A58))</f>
        <v>-8</v>
      </c>
      <c r="Q5" s="8" t="s">
        <v>17</v>
      </c>
      <c r="R5" s="8"/>
      <c r="S5" s="8"/>
    </row>
    <row r="6" spans="1:19" ht="30" x14ac:dyDescent="0.25">
      <c r="A6" s="10" t="s">
        <v>18</v>
      </c>
      <c r="B6" s="19" t="s">
        <v>60</v>
      </c>
      <c r="C6" s="12" t="s">
        <v>61</v>
      </c>
      <c r="D6" s="9" t="s">
        <v>22</v>
      </c>
      <c r="E6" s="10">
        <v>5</v>
      </c>
      <c r="F6" s="14">
        <v>46028</v>
      </c>
      <c r="G6" s="10" t="s">
        <v>615</v>
      </c>
      <c r="H6" s="10">
        <f t="shared" si="0"/>
        <v>15</v>
      </c>
      <c r="I6" s="10">
        <f ca="1">IF(AND(F6&lt;&gt;"", J6&lt;&gt;""), NETWORKDAYS(TODAY(), J6-1, FESTIVOS!A$1:A$55), "")</f>
        <v>-92</v>
      </c>
      <c r="J6" s="49">
        <f>IF(AND(F6&lt;&gt;"", H6&lt;&gt;""), WORKDAY(F6, H6, FESTIVOS!A$1:A$55), "")</f>
        <v>46050</v>
      </c>
      <c r="K6" s="50" t="s">
        <v>656</v>
      </c>
      <c r="L6" s="50">
        <f t="shared" ca="1" si="2"/>
        <v>0</v>
      </c>
      <c r="M6" s="50" t="str">
        <f t="shared" ca="1" si="1"/>
        <v>Vencido</v>
      </c>
      <c r="N6" s="50" t="s">
        <v>602</v>
      </c>
      <c r="O6" s="49">
        <v>46038</v>
      </c>
      <c r="P6" s="35">
        <f>IF(OR(O6="", J6=""), "", NETWORKDAYS(J6, O6, FESTIVOS!A5:A59))</f>
        <v>-9</v>
      </c>
    </row>
    <row r="7" spans="1:19" ht="30" x14ac:dyDescent="0.25">
      <c r="A7" s="10" t="s">
        <v>18</v>
      </c>
      <c r="B7" s="19" t="s">
        <v>62</v>
      </c>
      <c r="C7" s="12" t="s">
        <v>61</v>
      </c>
      <c r="D7" s="9" t="s">
        <v>23</v>
      </c>
      <c r="E7" s="15">
        <v>6</v>
      </c>
      <c r="F7" s="14">
        <v>46028</v>
      </c>
      <c r="G7" s="10" t="s">
        <v>615</v>
      </c>
      <c r="H7" s="10">
        <f t="shared" si="0"/>
        <v>15</v>
      </c>
      <c r="I7" s="10">
        <f ca="1">IF(AND(F7&lt;&gt;"", J7&lt;&gt;""), NETWORKDAYS(TODAY(), J7-1, FESTIVOS!A$1:A$55), "")</f>
        <v>-92</v>
      </c>
      <c r="J7" s="49">
        <f>IF(AND(F7&lt;&gt;"", H7&lt;&gt;""), WORKDAY(F7, H7, FESTIVOS!A$1:A$55), "")</f>
        <v>46050</v>
      </c>
      <c r="K7" s="50" t="s">
        <v>656</v>
      </c>
      <c r="L7" s="50">
        <f t="shared" ca="1" si="2"/>
        <v>0</v>
      </c>
      <c r="M7" s="50" t="str">
        <f t="shared" ca="1" si="1"/>
        <v>Vencido</v>
      </c>
      <c r="N7" s="51" t="s">
        <v>652</v>
      </c>
      <c r="O7" s="50"/>
      <c r="P7" s="35" t="str">
        <f>IF(OR(O7="", J7=""), "", NETWORKDAYS(J7, O7, FESTIVOS!A6:A60))</f>
        <v/>
      </c>
    </row>
    <row r="8" spans="1:19" ht="15.75" x14ac:dyDescent="0.25">
      <c r="A8" s="10" t="s">
        <v>18</v>
      </c>
      <c r="B8" s="19" t="s">
        <v>63</v>
      </c>
      <c r="C8" s="12" t="s">
        <v>59</v>
      </c>
      <c r="D8" s="12" t="s">
        <v>24</v>
      </c>
      <c r="E8" s="16">
        <v>7</v>
      </c>
      <c r="F8" s="17">
        <v>46028</v>
      </c>
      <c r="G8" s="10" t="s">
        <v>615</v>
      </c>
      <c r="H8" s="10">
        <f t="shared" si="0"/>
        <v>15</v>
      </c>
      <c r="I8" s="10">
        <f ca="1">IF(AND(F8&lt;&gt;"", J8&lt;&gt;""), NETWORKDAYS(TODAY(), J8-1, FESTIVOS!A$1:A$55), "")</f>
        <v>-92</v>
      </c>
      <c r="J8" s="49">
        <f>IF(AND(F8&lt;&gt;"", H8&lt;&gt;""), WORKDAY(F8, H8, FESTIVOS!A$1:A$55), "")</f>
        <v>46050</v>
      </c>
      <c r="K8" s="50" t="s">
        <v>656</v>
      </c>
      <c r="L8" s="50">
        <f t="shared" ca="1" si="2"/>
        <v>0</v>
      </c>
      <c r="M8" s="50" t="str">
        <f t="shared" ca="1" si="1"/>
        <v>Vencido</v>
      </c>
      <c r="N8" s="50" t="s">
        <v>603</v>
      </c>
      <c r="O8" s="49">
        <v>46050</v>
      </c>
      <c r="P8" s="35">
        <f>IF(OR(O8="", J8=""), "", NETWORKDAYS(J8, O8, FESTIVOS!A7:A61))</f>
        <v>1</v>
      </c>
    </row>
    <row r="9" spans="1:19" ht="15.75" x14ac:dyDescent="0.25">
      <c r="A9" s="10" t="s">
        <v>18</v>
      </c>
      <c r="B9" s="19" t="s">
        <v>64</v>
      </c>
      <c r="C9" s="12" t="s">
        <v>65</v>
      </c>
      <c r="D9" s="12" t="s">
        <v>25</v>
      </c>
      <c r="E9" s="16">
        <v>8</v>
      </c>
      <c r="F9" s="17">
        <v>46028</v>
      </c>
      <c r="G9" s="10" t="s">
        <v>646</v>
      </c>
      <c r="H9" s="10">
        <f t="shared" si="0"/>
        <v>15</v>
      </c>
      <c r="I9" s="10">
        <f ca="1">IF(AND(F9&lt;&gt;"", J9&lt;&gt;""), NETWORKDAYS(TODAY(), J9-1, FESTIVOS!A$1:A$55), "")</f>
        <v>-92</v>
      </c>
      <c r="J9" s="11">
        <f>IF(AND(F9&lt;&gt;"", H9&lt;&gt;""), WORKDAY(F9, H9, FESTIVOS!A$1:A$55), "")</f>
        <v>46050</v>
      </c>
      <c r="K9" s="10" t="s">
        <v>656</v>
      </c>
      <c r="L9" s="10">
        <f t="shared" ca="1" si="2"/>
        <v>0</v>
      </c>
      <c r="M9" s="10" t="str">
        <f t="shared" ca="1" si="1"/>
        <v>Vencido</v>
      </c>
      <c r="N9" s="10"/>
      <c r="O9" s="10"/>
      <c r="P9" s="35" t="str">
        <f>IF(OR(O9="", J9=""), "", NETWORKDAYS(J9, O9, FESTIVOS!A8:A62))</f>
        <v/>
      </c>
    </row>
    <row r="10" spans="1:19" ht="15.75" x14ac:dyDescent="0.25">
      <c r="A10" s="10" t="s">
        <v>18</v>
      </c>
      <c r="B10" s="18" t="s">
        <v>66</v>
      </c>
      <c r="C10" s="18" t="s">
        <v>67</v>
      </c>
      <c r="D10" s="18" t="s">
        <v>24</v>
      </c>
      <c r="E10" s="16">
        <v>9</v>
      </c>
      <c r="F10" s="17">
        <v>46028</v>
      </c>
      <c r="G10" s="10" t="s">
        <v>615</v>
      </c>
      <c r="H10" s="10">
        <f t="shared" si="0"/>
        <v>15</v>
      </c>
      <c r="I10" s="10">
        <f ca="1">IF(AND(F10&lt;&gt;"", J10&lt;&gt;""), NETWORKDAYS(TODAY(), J10-1, FESTIVOS!A$1:A$55), "")</f>
        <v>-92</v>
      </c>
      <c r="J10" s="49">
        <f>IF(AND(F10&lt;&gt;"", H10&lt;&gt;""), WORKDAY(F10, H10, FESTIVOS!A$1:A$55), "")</f>
        <v>46050</v>
      </c>
      <c r="K10" s="50" t="s">
        <v>656</v>
      </c>
      <c r="L10" s="50">
        <f t="shared" ca="1" si="2"/>
        <v>0</v>
      </c>
      <c r="M10" s="50" t="str">
        <f t="shared" ca="1" si="1"/>
        <v>Vencido</v>
      </c>
      <c r="N10" s="50" t="s">
        <v>604</v>
      </c>
      <c r="O10" s="49">
        <v>46041</v>
      </c>
      <c r="P10" s="35">
        <f>IF(OR(O10="", J10=""), "", NETWORKDAYS(J10, O10, FESTIVOS!A9:A63))</f>
        <v>-8</v>
      </c>
    </row>
    <row r="11" spans="1:19" ht="15.75" x14ac:dyDescent="0.25">
      <c r="A11" s="10" t="s">
        <v>18</v>
      </c>
      <c r="B11" s="18" t="s">
        <v>68</v>
      </c>
      <c r="C11" s="18" t="s">
        <v>67</v>
      </c>
      <c r="D11" s="18" t="s">
        <v>26</v>
      </c>
      <c r="E11" s="16">
        <v>10</v>
      </c>
      <c r="F11" s="17">
        <v>46029</v>
      </c>
      <c r="G11" s="10" t="s">
        <v>615</v>
      </c>
      <c r="H11" s="10">
        <f t="shared" si="0"/>
        <v>15</v>
      </c>
      <c r="I11" s="10">
        <f ca="1">IF(AND(F11&lt;&gt;"", J11&lt;&gt;""), NETWORKDAYS(TODAY(), J11-1, FESTIVOS!A$1:A$55), "")</f>
        <v>-91</v>
      </c>
      <c r="J11" s="49">
        <f>IF(AND(F11&lt;&gt;"", H11&lt;&gt;""), WORKDAY(F11, H11, FESTIVOS!A$1:A$55), "")</f>
        <v>46051</v>
      </c>
      <c r="K11" s="50" t="s">
        <v>656</v>
      </c>
      <c r="L11" s="50">
        <f t="shared" ca="1" si="2"/>
        <v>0</v>
      </c>
      <c r="M11" s="50" t="str">
        <f t="shared" ca="1" si="1"/>
        <v>Vencido</v>
      </c>
      <c r="N11" s="50" t="s">
        <v>605</v>
      </c>
      <c r="O11" s="49">
        <v>46037</v>
      </c>
      <c r="P11" s="35">
        <f>IF(OR(O11="", J11=""), "", NETWORKDAYS(J11, O11, FESTIVOS!A10:A64))</f>
        <v>-11</v>
      </c>
    </row>
    <row r="12" spans="1:19" ht="31.5" x14ac:dyDescent="0.25">
      <c r="A12" s="10" t="s">
        <v>18</v>
      </c>
      <c r="B12" s="18" t="s">
        <v>69</v>
      </c>
      <c r="C12" s="18" t="s">
        <v>67</v>
      </c>
      <c r="D12" s="18" t="s">
        <v>27</v>
      </c>
      <c r="E12" s="16">
        <v>11</v>
      </c>
      <c r="F12" s="17">
        <v>46029</v>
      </c>
      <c r="G12" s="10" t="s">
        <v>646</v>
      </c>
      <c r="H12" s="10">
        <f t="shared" si="0"/>
        <v>15</v>
      </c>
      <c r="I12" s="10">
        <f ca="1">IF(AND(F12&lt;&gt;"", J12&lt;&gt;""), NETWORKDAYS(TODAY(), J12-1, FESTIVOS!A$1:A$55), "")</f>
        <v>-91</v>
      </c>
      <c r="J12" s="11">
        <f>IF(AND(F12&lt;&gt;"", H12&lt;&gt;""), WORKDAY(F12, H12, FESTIVOS!A$1:A$55), "")</f>
        <v>46051</v>
      </c>
      <c r="K12" s="10" t="s">
        <v>656</v>
      </c>
      <c r="L12" s="10">
        <f t="shared" ca="1" si="2"/>
        <v>0</v>
      </c>
      <c r="M12" s="10" t="str">
        <f t="shared" ca="1" si="1"/>
        <v>Vencido</v>
      </c>
      <c r="N12" s="10"/>
      <c r="O12" s="10"/>
      <c r="P12" s="35" t="str">
        <f>IF(OR(O12="", J12=""), "", NETWORKDAYS(J12, O12, FESTIVOS!A11:A65))</f>
        <v/>
      </c>
    </row>
    <row r="13" spans="1:19" ht="15.75" x14ac:dyDescent="0.25">
      <c r="A13" s="10" t="s">
        <v>18</v>
      </c>
      <c r="B13" s="18" t="s">
        <v>70</v>
      </c>
      <c r="C13" s="18" t="s">
        <v>67</v>
      </c>
      <c r="D13" s="18" t="s">
        <v>28</v>
      </c>
      <c r="E13" s="16">
        <v>12</v>
      </c>
      <c r="F13" s="17">
        <v>46030</v>
      </c>
      <c r="G13" s="10" t="s">
        <v>615</v>
      </c>
      <c r="H13" s="10">
        <f t="shared" si="0"/>
        <v>15</v>
      </c>
      <c r="I13" s="10">
        <f ca="1">IF(AND(F13&lt;&gt;"", J13&lt;&gt;""), NETWORKDAYS(TODAY(), J13-1, FESTIVOS!A$1:A$55), "")</f>
        <v>-90</v>
      </c>
      <c r="J13" s="49">
        <f>IF(AND(F13&lt;&gt;"", H13&lt;&gt;""), WORKDAY(F13, H13, FESTIVOS!A$1:A$55), "")</f>
        <v>46052</v>
      </c>
      <c r="K13" s="50" t="s">
        <v>656</v>
      </c>
      <c r="L13" s="50">
        <f t="shared" ca="1" si="2"/>
        <v>0</v>
      </c>
      <c r="M13" s="50" t="str">
        <f t="shared" ca="1" si="1"/>
        <v>Vencido</v>
      </c>
      <c r="N13" s="50" t="s">
        <v>606</v>
      </c>
      <c r="O13" s="49">
        <v>46036</v>
      </c>
      <c r="P13" s="35">
        <f>IF(OR(O13="", J13=""), "", NETWORKDAYS(J13, O13, FESTIVOS!A12:A66))</f>
        <v>-13</v>
      </c>
    </row>
    <row r="14" spans="1:19" ht="15.75" customHeight="1" x14ac:dyDescent="0.25">
      <c r="A14" s="10" t="s">
        <v>18</v>
      </c>
      <c r="B14" s="18" t="s">
        <v>71</v>
      </c>
      <c r="C14" s="18" t="s">
        <v>72</v>
      </c>
      <c r="D14" s="18" t="s">
        <v>29</v>
      </c>
      <c r="E14" s="16">
        <v>13</v>
      </c>
      <c r="F14" s="17">
        <v>46030</v>
      </c>
      <c r="G14" s="10" t="s">
        <v>646</v>
      </c>
      <c r="H14" s="10">
        <f t="shared" si="0"/>
        <v>15</v>
      </c>
      <c r="I14" s="10">
        <f ca="1">IF(AND(F14&lt;&gt;"", J14&lt;&gt;""), NETWORKDAYS(TODAY(), J14-1, FESTIVOS!A$1:A$55), "")</f>
        <v>-90</v>
      </c>
      <c r="J14" s="11">
        <f>IF(AND(F14&lt;&gt;"", H14&lt;&gt;""), WORKDAY(F14, H14, FESTIVOS!A$1:A$55), "")</f>
        <v>46052</v>
      </c>
      <c r="K14" s="10" t="s">
        <v>656</v>
      </c>
      <c r="L14" s="10">
        <f t="shared" ca="1" si="2"/>
        <v>0</v>
      </c>
      <c r="M14" s="10" t="str">
        <f t="shared" ca="1" si="1"/>
        <v>Vencido</v>
      </c>
      <c r="N14" s="10" t="s">
        <v>606</v>
      </c>
      <c r="O14" s="11">
        <v>46036</v>
      </c>
      <c r="P14" s="35">
        <f>IF(OR(O14="", J14=""), "", NETWORKDAYS(J14, O14, FESTIVOS!A13:A67))</f>
        <v>-13</v>
      </c>
    </row>
    <row r="15" spans="1:19" s="5" customFormat="1" ht="15.75" x14ac:dyDescent="0.25">
      <c r="A15" s="10" t="s">
        <v>18</v>
      </c>
      <c r="B15" s="18" t="s">
        <v>73</v>
      </c>
      <c r="C15" s="18" t="s">
        <v>74</v>
      </c>
      <c r="D15" s="18" t="s">
        <v>30</v>
      </c>
      <c r="E15" s="16">
        <v>14</v>
      </c>
      <c r="F15" s="17">
        <v>46030</v>
      </c>
      <c r="G15" s="10" t="s">
        <v>615</v>
      </c>
      <c r="H15" s="10">
        <f t="shared" si="0"/>
        <v>15</v>
      </c>
      <c r="I15" s="10">
        <f ca="1">IF(AND(F15&lt;&gt;"", J15&lt;&gt;""), NETWORKDAYS(TODAY(), J15-1, FESTIVOS!A$1:A$55), "")</f>
        <v>-90</v>
      </c>
      <c r="J15" s="49">
        <f>IF(AND(F15&lt;&gt;"", H15&lt;&gt;""), WORKDAY(F15, H15, FESTIVOS!A$1:A$55), "")</f>
        <v>46052</v>
      </c>
      <c r="K15" s="50" t="s">
        <v>656</v>
      </c>
      <c r="L15" s="50">
        <f t="shared" ca="1" si="2"/>
        <v>0</v>
      </c>
      <c r="M15" s="50" t="str">
        <f t="shared" ca="1" si="1"/>
        <v>Vencido</v>
      </c>
      <c r="N15" s="60" t="s">
        <v>763</v>
      </c>
      <c r="O15" s="61">
        <v>46035</v>
      </c>
      <c r="P15" s="35">
        <f>IF(OR(O15="", J15=""), "", NETWORKDAYS(J15, O15, FESTIVOS!A14:A68))</f>
        <v>-14</v>
      </c>
      <c r="Q15"/>
      <c r="R15"/>
    </row>
    <row r="16" spans="1:19" ht="28.9" customHeight="1" x14ac:dyDescent="0.25">
      <c r="A16" s="10" t="s">
        <v>18</v>
      </c>
      <c r="B16" s="18" t="s">
        <v>75</v>
      </c>
      <c r="C16" s="16" t="s">
        <v>76</v>
      </c>
      <c r="D16" s="18" t="s">
        <v>31</v>
      </c>
      <c r="E16" s="16">
        <v>15</v>
      </c>
      <c r="F16" s="17">
        <v>46030</v>
      </c>
      <c r="G16" s="10" t="s">
        <v>614</v>
      </c>
      <c r="H16" s="10">
        <f t="shared" si="0"/>
        <v>15</v>
      </c>
      <c r="I16" s="10">
        <f ca="1">IF(AND(F16&lt;&gt;"", J16&lt;&gt;""), NETWORKDAYS(TODAY(), J16-1, FESTIVOS!A$1:A$55), "")</f>
        <v>-90</v>
      </c>
      <c r="J16" s="49">
        <f>IF(AND(F16&lt;&gt;"", H16&lt;&gt;""), WORKDAY(F16, H16, FESTIVOS!A$1:A$55), "")</f>
        <v>46052</v>
      </c>
      <c r="K16" s="50" t="s">
        <v>656</v>
      </c>
      <c r="L16" s="50">
        <f t="shared" ca="1" si="2"/>
        <v>0</v>
      </c>
      <c r="M16" s="50" t="str">
        <f t="shared" ca="1" si="1"/>
        <v>Vencido</v>
      </c>
      <c r="N16" s="51" t="s">
        <v>652</v>
      </c>
      <c r="O16" s="49"/>
      <c r="P16" s="35" t="str">
        <f>IF(OR(O16="", J16=""), "", NETWORKDAYS(J16, O16, FESTIVOS!A15:A69))</f>
        <v/>
      </c>
    </row>
    <row r="17" spans="1:16" ht="27" customHeight="1" x14ac:dyDescent="0.25">
      <c r="A17" s="10" t="s">
        <v>18</v>
      </c>
      <c r="B17" s="18" t="s">
        <v>75</v>
      </c>
      <c r="C17" s="18" t="s">
        <v>76</v>
      </c>
      <c r="D17" s="18" t="s">
        <v>32</v>
      </c>
      <c r="E17" s="16">
        <v>16</v>
      </c>
      <c r="F17" s="17">
        <v>46030</v>
      </c>
      <c r="G17" s="10" t="s">
        <v>615</v>
      </c>
      <c r="H17" s="10">
        <f t="shared" si="0"/>
        <v>15</v>
      </c>
      <c r="I17" s="10">
        <f ca="1">IF(AND(F17&lt;&gt;"", J17&lt;&gt;""), NETWORKDAYS(TODAY(), J17-1, FESTIVOS!A$1:A$55), "")</f>
        <v>-90</v>
      </c>
      <c r="J17" s="49">
        <f>IF(AND(F17&lt;&gt;"", H17&lt;&gt;""), WORKDAY(F17, H17, FESTIVOS!A$1:A$55), "")</f>
        <v>46052</v>
      </c>
      <c r="K17" s="50" t="s">
        <v>656</v>
      </c>
      <c r="L17" s="50">
        <f t="shared" ca="1" si="2"/>
        <v>0</v>
      </c>
      <c r="M17" s="50" t="str">
        <f t="shared" ca="1" si="1"/>
        <v>Vencido</v>
      </c>
      <c r="N17" s="51" t="s">
        <v>652</v>
      </c>
      <c r="O17" s="49"/>
      <c r="P17" s="35" t="str">
        <f>IF(OR(O17="", J17=""), "", NETWORKDAYS(J17, O17, FESTIVOS!A16:A70))</f>
        <v/>
      </c>
    </row>
    <row r="18" spans="1:16" ht="47.25" x14ac:dyDescent="0.25">
      <c r="A18" s="10" t="s">
        <v>18</v>
      </c>
      <c r="B18" s="18" t="s">
        <v>77</v>
      </c>
      <c r="C18" s="18" t="s">
        <v>78</v>
      </c>
      <c r="D18" s="18" t="s">
        <v>33</v>
      </c>
      <c r="E18" s="16">
        <v>17</v>
      </c>
      <c r="F18" s="17">
        <v>46030</v>
      </c>
      <c r="G18" s="10" t="s">
        <v>615</v>
      </c>
      <c r="H18" s="10">
        <f t="shared" si="0"/>
        <v>15</v>
      </c>
      <c r="I18" s="10">
        <f ca="1">IF(AND(F18&lt;&gt;"", J18&lt;&gt;""), NETWORKDAYS(TODAY(), J18-1, FESTIVOS!A$1:A$55), "")</f>
        <v>-90</v>
      </c>
      <c r="J18" s="49">
        <f>IF(AND(F18&lt;&gt;"", H18&lt;&gt;""), WORKDAY(F18, H18, FESTIVOS!A$1:A$55), "")</f>
        <v>46052</v>
      </c>
      <c r="K18" s="50" t="s">
        <v>656</v>
      </c>
      <c r="L18" s="50">
        <f t="shared" ca="1" si="2"/>
        <v>0</v>
      </c>
      <c r="M18" s="50" t="str">
        <f t="shared" ca="1" si="1"/>
        <v>Vencido</v>
      </c>
      <c r="N18" s="51" t="s">
        <v>652</v>
      </c>
      <c r="O18" s="49"/>
      <c r="P18" s="35" t="str">
        <f>IF(OR(O18="", J18=""), "", NETWORKDAYS(J18, O18, FESTIVOS!A17:A71))</f>
        <v/>
      </c>
    </row>
    <row r="19" spans="1:16" ht="47.25" x14ac:dyDescent="0.25">
      <c r="A19" s="10" t="s">
        <v>18</v>
      </c>
      <c r="B19" s="18" t="s">
        <v>77</v>
      </c>
      <c r="C19" s="18" t="s">
        <v>78</v>
      </c>
      <c r="D19" s="18" t="s">
        <v>34</v>
      </c>
      <c r="E19" s="16">
        <v>18</v>
      </c>
      <c r="F19" s="17">
        <v>46031</v>
      </c>
      <c r="G19" s="10" t="s">
        <v>615</v>
      </c>
      <c r="H19" s="10">
        <f t="shared" si="0"/>
        <v>15</v>
      </c>
      <c r="I19" s="10">
        <f ca="1">IF(AND(F19&lt;&gt;"", J19&lt;&gt;""), NETWORKDAYS(TODAY(), J19-1, FESTIVOS!A$1:A$55), "")</f>
        <v>-88</v>
      </c>
      <c r="J19" s="49">
        <f>IF(AND(F19&lt;&gt;"", H19&lt;&gt;""), WORKDAY(F19, H19, FESTIVOS!A$1:A$55), "")</f>
        <v>46055</v>
      </c>
      <c r="K19" s="50" t="s">
        <v>656</v>
      </c>
      <c r="L19" s="50">
        <f t="shared" ca="1" si="2"/>
        <v>0</v>
      </c>
      <c r="M19" s="50" t="str">
        <f t="shared" ca="1" si="1"/>
        <v>Vencido</v>
      </c>
      <c r="N19" s="51" t="s">
        <v>652</v>
      </c>
      <c r="O19" s="49"/>
      <c r="P19" s="35" t="str">
        <f>IF(OR(O19="", J19=""), "", NETWORKDAYS(J19, O19, FESTIVOS!A18:A72))</f>
        <v/>
      </c>
    </row>
    <row r="20" spans="1:16" ht="32.450000000000003" customHeight="1" x14ac:dyDescent="0.25">
      <c r="A20" s="10" t="s">
        <v>18</v>
      </c>
      <c r="B20" s="18" t="s">
        <v>79</v>
      </c>
      <c r="C20" s="18" t="s">
        <v>67</v>
      </c>
      <c r="D20" s="18" t="s">
        <v>35</v>
      </c>
      <c r="E20" s="16">
        <v>19</v>
      </c>
      <c r="F20" s="17">
        <v>46031</v>
      </c>
      <c r="G20" s="10" t="s">
        <v>615</v>
      </c>
      <c r="H20" s="10">
        <f t="shared" si="0"/>
        <v>15</v>
      </c>
      <c r="I20" s="10">
        <f ca="1">IF(AND(F20&lt;&gt;"", J20&lt;&gt;""), NETWORKDAYS(TODAY(), J20-1, FESTIVOS!A$1:A$55), "")</f>
        <v>-88</v>
      </c>
      <c r="J20" s="49">
        <f>IF(AND(F20&lt;&gt;"", H20&lt;&gt;""), WORKDAY(F20, H20, FESTIVOS!A$1:A$55), "")</f>
        <v>46055</v>
      </c>
      <c r="K20" s="50" t="s">
        <v>656</v>
      </c>
      <c r="L20" s="50">
        <f t="shared" ca="1" si="2"/>
        <v>0</v>
      </c>
      <c r="M20" s="50" t="str">
        <f t="shared" ca="1" si="1"/>
        <v>Vencido</v>
      </c>
      <c r="N20" s="60" t="s">
        <v>764</v>
      </c>
      <c r="O20" s="61">
        <v>46043</v>
      </c>
      <c r="P20" s="35">
        <f>IF(OR(O20="", J20=""), "", NETWORKDAYS(J20, O20, FESTIVOS!A19:A73))</f>
        <v>-9</v>
      </c>
    </row>
    <row r="21" spans="1:16" ht="31.5" x14ac:dyDescent="0.25">
      <c r="A21" s="10" t="s">
        <v>18</v>
      </c>
      <c r="B21" s="18" t="s">
        <v>80</v>
      </c>
      <c r="C21" s="18" t="s">
        <v>67</v>
      </c>
      <c r="D21" s="18" t="s">
        <v>36</v>
      </c>
      <c r="E21" s="16">
        <v>20</v>
      </c>
      <c r="F21" s="17">
        <v>46035</v>
      </c>
      <c r="G21" s="10" t="s">
        <v>615</v>
      </c>
      <c r="H21" s="10">
        <f t="shared" si="0"/>
        <v>15</v>
      </c>
      <c r="I21" s="10">
        <f ca="1">IF(AND(F21&lt;&gt;"", J21&lt;&gt;""), NETWORKDAYS(TODAY(), J21-1, FESTIVOS!A$1:A$55), "")</f>
        <v>-88</v>
      </c>
      <c r="J21" s="49">
        <f>IF(AND(F21&lt;&gt;"", H21&lt;&gt;""), WORKDAY(F21, H21, FESTIVOS!A$1:A$55), "")</f>
        <v>46056</v>
      </c>
      <c r="K21" s="50" t="s">
        <v>656</v>
      </c>
      <c r="L21" s="50">
        <f t="shared" ca="1" si="2"/>
        <v>0</v>
      </c>
      <c r="M21" s="50"/>
      <c r="N21" s="51" t="s">
        <v>765</v>
      </c>
      <c r="O21" s="49">
        <v>46037</v>
      </c>
      <c r="P21" s="35">
        <f>IF(OR(O21="", J21=""), "", NETWORKDAYS(J21, O21, FESTIVOS!A20:A74))</f>
        <v>-14</v>
      </c>
    </row>
    <row r="22" spans="1:16" ht="30" customHeight="1" x14ac:dyDescent="0.25">
      <c r="A22" s="10" t="s">
        <v>18</v>
      </c>
      <c r="B22" s="18" t="s">
        <v>81</v>
      </c>
      <c r="C22" s="18" t="s">
        <v>67</v>
      </c>
      <c r="D22" s="18" t="s">
        <v>37</v>
      </c>
      <c r="E22" s="16">
        <v>21</v>
      </c>
      <c r="F22" s="17">
        <v>46035</v>
      </c>
      <c r="G22" s="10" t="s">
        <v>617</v>
      </c>
      <c r="H22" s="10">
        <f t="shared" si="0"/>
        <v>15</v>
      </c>
      <c r="I22" s="10">
        <f ca="1">IF(AND(F22&lt;&gt;"", J22&lt;&gt;""), NETWORKDAYS(TODAY(), J22-1, FESTIVOS!A$1:A$55), "")</f>
        <v>-88</v>
      </c>
      <c r="J22" s="66">
        <f>IF(AND(F22&lt;&gt;"", H22&lt;&gt;""), WORKDAY(F22, H22, FESTIVOS!A$1:A$55), "")</f>
        <v>46056</v>
      </c>
      <c r="K22" s="67" t="s">
        <v>656</v>
      </c>
      <c r="L22" s="67">
        <f t="shared" ca="1" si="2"/>
        <v>0</v>
      </c>
      <c r="M22" s="67" t="str">
        <f t="shared" ca="1" si="1"/>
        <v>Vencido</v>
      </c>
      <c r="N22" s="68" t="s">
        <v>652</v>
      </c>
      <c r="O22" s="66"/>
      <c r="P22" s="35" t="str">
        <f>IF(OR(O22="", J22=""), "", NETWORKDAYS(J22, O22, FESTIVOS!A21:A75))</f>
        <v/>
      </c>
    </row>
    <row r="23" spans="1:16" ht="15.75" x14ac:dyDescent="0.25">
      <c r="A23" s="10" t="s">
        <v>18</v>
      </c>
      <c r="B23" s="21" t="s">
        <v>82</v>
      </c>
      <c r="C23" s="18" t="s">
        <v>67</v>
      </c>
      <c r="D23" s="18" t="s">
        <v>38</v>
      </c>
      <c r="E23" s="16">
        <v>22</v>
      </c>
      <c r="F23" s="17">
        <v>46035</v>
      </c>
      <c r="G23" s="10" t="s">
        <v>614</v>
      </c>
      <c r="H23" s="10">
        <f t="shared" si="0"/>
        <v>15</v>
      </c>
      <c r="I23" s="10">
        <f ca="1">IF(AND(F23&lt;&gt;"", J23&lt;&gt;""), NETWORKDAYS(TODAY(), J23-1, FESTIVOS!A$1:A$55), "")</f>
        <v>-88</v>
      </c>
      <c r="J23" s="11">
        <f>IF(AND(F23&lt;&gt;"", H23&lt;&gt;""), WORKDAY(F23, H23, FESTIVOS!A$1:A$55), "")</f>
        <v>46056</v>
      </c>
      <c r="K23" s="10" t="s">
        <v>656</v>
      </c>
      <c r="L23" s="10">
        <f t="shared" ca="1" si="2"/>
        <v>0</v>
      </c>
      <c r="M23" s="10" t="str">
        <f t="shared" ca="1" si="1"/>
        <v>Vencido</v>
      </c>
      <c r="N23" s="10" t="s">
        <v>606</v>
      </c>
      <c r="O23" s="11">
        <v>46036</v>
      </c>
      <c r="P23" s="35">
        <f>IF(OR(O23="", J23=""), "", NETWORKDAYS(J23, O23, FESTIVOS!A22:A76))</f>
        <v>-15</v>
      </c>
    </row>
    <row r="24" spans="1:16" ht="15.75" x14ac:dyDescent="0.25">
      <c r="A24" s="10" t="s">
        <v>18</v>
      </c>
      <c r="B24" s="18" t="s">
        <v>83</v>
      </c>
      <c r="C24" s="18" t="s">
        <v>84</v>
      </c>
      <c r="D24" s="18" t="s">
        <v>39</v>
      </c>
      <c r="E24" s="16">
        <v>23</v>
      </c>
      <c r="F24" s="17">
        <v>46035</v>
      </c>
      <c r="G24" s="10" t="s">
        <v>615</v>
      </c>
      <c r="H24" s="10">
        <f t="shared" si="0"/>
        <v>15</v>
      </c>
      <c r="I24" s="10">
        <f ca="1">IF(AND(F24&lt;&gt;"", J24&lt;&gt;""), NETWORKDAYS(TODAY(), J24-1, FESTIVOS!A$1:A$55), "")</f>
        <v>-88</v>
      </c>
      <c r="J24" s="11">
        <f>IF(AND(F24&lt;&gt;"", H24&lt;&gt;""), WORKDAY(F24, H24, FESTIVOS!A$1:A$55), "")</f>
        <v>46056</v>
      </c>
      <c r="K24" s="10" t="s">
        <v>656</v>
      </c>
      <c r="L24" s="10">
        <f t="shared" ca="1" si="2"/>
        <v>0</v>
      </c>
      <c r="M24" s="10" t="str">
        <f t="shared" ca="1" si="1"/>
        <v>Vencido</v>
      </c>
      <c r="N24" s="10" t="s">
        <v>606</v>
      </c>
      <c r="O24" s="11">
        <v>46036</v>
      </c>
      <c r="P24" s="35">
        <f>IF(OR(O24="", J24=""), "", NETWORKDAYS(J24, O24, FESTIVOS!A23:A77))</f>
        <v>-15</v>
      </c>
    </row>
    <row r="25" spans="1:16" ht="15.75" x14ac:dyDescent="0.25">
      <c r="A25" s="10" t="s">
        <v>18</v>
      </c>
      <c r="B25" s="18" t="s">
        <v>83</v>
      </c>
      <c r="C25" s="18" t="s">
        <v>84</v>
      </c>
      <c r="D25" s="18" t="s">
        <v>39</v>
      </c>
      <c r="E25" s="16">
        <v>24</v>
      </c>
      <c r="F25" s="17">
        <v>46035</v>
      </c>
      <c r="G25" s="10" t="s">
        <v>615</v>
      </c>
      <c r="H25" s="10">
        <f t="shared" si="0"/>
        <v>15</v>
      </c>
      <c r="I25" s="10">
        <f ca="1">IF(AND(F25&lt;&gt;"", J25&lt;&gt;""), NETWORKDAYS(TODAY(), J25-1, FESTIVOS!A$1:A$55), "")</f>
        <v>-88</v>
      </c>
      <c r="J25" s="11">
        <f>IF(AND(F25&lt;&gt;"", H25&lt;&gt;""), WORKDAY(F25, H25, FESTIVOS!A$1:A$55), "")</f>
        <v>46056</v>
      </c>
      <c r="K25" s="10" t="s">
        <v>656</v>
      </c>
      <c r="L25" s="10">
        <f t="shared" ca="1" si="2"/>
        <v>0</v>
      </c>
      <c r="M25" s="10" t="str">
        <f t="shared" ca="1" si="1"/>
        <v>Vencido</v>
      </c>
      <c r="N25" s="10" t="s">
        <v>606</v>
      </c>
      <c r="O25" s="11">
        <v>46036</v>
      </c>
      <c r="P25" s="35">
        <f>IF(OR(O25="", J25=""), "", NETWORKDAYS(J25, O25, FESTIVOS!A24:A78))</f>
        <v>-15</v>
      </c>
    </row>
    <row r="26" spans="1:16" ht="15.75" x14ac:dyDescent="0.25">
      <c r="A26" s="10" t="s">
        <v>18</v>
      </c>
      <c r="B26" s="18" t="s">
        <v>83</v>
      </c>
      <c r="C26" s="18" t="s">
        <v>84</v>
      </c>
      <c r="D26" s="18" t="s">
        <v>39</v>
      </c>
      <c r="E26" s="16">
        <v>25</v>
      </c>
      <c r="F26" s="17">
        <v>46035</v>
      </c>
      <c r="G26" s="10" t="s">
        <v>615</v>
      </c>
      <c r="H26" s="10">
        <f t="shared" si="0"/>
        <v>15</v>
      </c>
      <c r="I26" s="10">
        <f ca="1">IF(AND(F26&lt;&gt;"", J26&lt;&gt;""), NETWORKDAYS(TODAY(), J26-1, FESTIVOS!A$1:A$55), "")</f>
        <v>-88</v>
      </c>
      <c r="J26" s="11">
        <f>IF(AND(F26&lt;&gt;"", H26&lt;&gt;""), WORKDAY(F26, H26, FESTIVOS!A$1:A$55), "")</f>
        <v>46056</v>
      </c>
      <c r="K26" s="10" t="s">
        <v>656</v>
      </c>
      <c r="L26" s="10">
        <f t="shared" ca="1" si="2"/>
        <v>0</v>
      </c>
      <c r="M26" s="10" t="str">
        <f t="shared" ca="1" si="1"/>
        <v>Vencido</v>
      </c>
      <c r="N26" s="10" t="s">
        <v>606</v>
      </c>
      <c r="O26" s="11">
        <v>46036</v>
      </c>
      <c r="P26" s="35">
        <f>IF(OR(O26="", J26=""), "", NETWORKDAYS(J26, O26, FESTIVOS!A25:A79))</f>
        <v>-15</v>
      </c>
    </row>
    <row r="27" spans="1:16" ht="15.75" x14ac:dyDescent="0.25">
      <c r="A27" s="10" t="s">
        <v>18</v>
      </c>
      <c r="B27" s="18" t="s">
        <v>83</v>
      </c>
      <c r="C27" s="18" t="s">
        <v>84</v>
      </c>
      <c r="D27" s="18" t="s">
        <v>39</v>
      </c>
      <c r="E27" s="16">
        <v>26</v>
      </c>
      <c r="F27" s="17">
        <v>46035</v>
      </c>
      <c r="G27" s="10" t="s">
        <v>615</v>
      </c>
      <c r="H27" s="10">
        <f t="shared" si="0"/>
        <v>15</v>
      </c>
      <c r="I27" s="10">
        <f ca="1">IF(AND(F27&lt;&gt;"", J27&lt;&gt;""), NETWORKDAYS(TODAY(), J27-1, FESTIVOS!A$1:A$55), "")</f>
        <v>-88</v>
      </c>
      <c r="J27" s="11">
        <f>IF(AND(F27&lt;&gt;"", H27&lt;&gt;""), WORKDAY(F27, H27, FESTIVOS!A$1:A$55), "")</f>
        <v>46056</v>
      </c>
      <c r="K27" s="10" t="s">
        <v>656</v>
      </c>
      <c r="L27" s="10">
        <f t="shared" ca="1" si="2"/>
        <v>0</v>
      </c>
      <c r="M27" s="10" t="str">
        <f t="shared" ca="1" si="1"/>
        <v>Vencido</v>
      </c>
      <c r="N27" s="10" t="s">
        <v>606</v>
      </c>
      <c r="O27" s="11">
        <v>46036</v>
      </c>
      <c r="P27" s="35">
        <f>IF(OR(O27="", J27=""), "", NETWORKDAYS(J27, O27, FESTIVOS!A26:A80))</f>
        <v>-15</v>
      </c>
    </row>
    <row r="28" spans="1:16" ht="15.75" x14ac:dyDescent="0.25">
      <c r="A28" s="10" t="s">
        <v>18</v>
      </c>
      <c r="B28" s="18" t="s">
        <v>83</v>
      </c>
      <c r="C28" s="18" t="s">
        <v>84</v>
      </c>
      <c r="D28" s="18" t="s">
        <v>39</v>
      </c>
      <c r="E28" s="16">
        <v>27</v>
      </c>
      <c r="F28" s="17">
        <v>46035</v>
      </c>
      <c r="G28" s="10" t="s">
        <v>615</v>
      </c>
      <c r="H28" s="10">
        <f t="shared" si="0"/>
        <v>15</v>
      </c>
      <c r="I28" s="10">
        <f ca="1">IF(AND(F28&lt;&gt;"", J28&lt;&gt;""), NETWORKDAYS(TODAY(), J28-1, FESTIVOS!A$1:A$55), "")</f>
        <v>-88</v>
      </c>
      <c r="J28" s="11">
        <f>IF(AND(F28&lt;&gt;"", H28&lt;&gt;""), WORKDAY(F28, H28, FESTIVOS!A$1:A$55), "")</f>
        <v>46056</v>
      </c>
      <c r="K28" s="10" t="s">
        <v>656</v>
      </c>
      <c r="L28" s="10">
        <f t="shared" ca="1" si="2"/>
        <v>0</v>
      </c>
      <c r="M28" s="10" t="str">
        <f t="shared" ca="1" si="1"/>
        <v>Vencido</v>
      </c>
      <c r="N28" s="10" t="s">
        <v>606</v>
      </c>
      <c r="O28" s="11">
        <v>46036</v>
      </c>
      <c r="P28" s="35">
        <f>IF(OR(O28="", J28=""), "", NETWORKDAYS(J28, O28, FESTIVOS!A27:A81))</f>
        <v>-15</v>
      </c>
    </row>
    <row r="29" spans="1:16" ht="31.5" x14ac:dyDescent="0.25">
      <c r="A29" s="10" t="s">
        <v>18</v>
      </c>
      <c r="B29" s="18" t="s">
        <v>85</v>
      </c>
      <c r="C29" s="18" t="s">
        <v>86</v>
      </c>
      <c r="D29" s="18" t="s">
        <v>40</v>
      </c>
      <c r="E29" s="16">
        <v>28</v>
      </c>
      <c r="F29" s="17">
        <v>46035</v>
      </c>
      <c r="G29" s="10" t="s">
        <v>615</v>
      </c>
      <c r="H29" s="10">
        <f t="shared" si="0"/>
        <v>15</v>
      </c>
      <c r="I29" s="10">
        <f ca="1">IF(AND(F29&lt;&gt;"", J29&lt;&gt;""), NETWORKDAYS(TODAY(), J29-1, FESTIVOS!A$1:A$55), "")</f>
        <v>-88</v>
      </c>
      <c r="J29" s="11">
        <f>IF(AND(F29&lt;&gt;"", H29&lt;&gt;""), WORKDAY(F29, H29, FESTIVOS!A$1:A$55), "")</f>
        <v>46056</v>
      </c>
      <c r="K29" s="10" t="s">
        <v>656</v>
      </c>
      <c r="L29" s="10">
        <f t="shared" ca="1" si="2"/>
        <v>0</v>
      </c>
      <c r="M29" s="10" t="str">
        <f t="shared" ca="1" si="1"/>
        <v>Vencido</v>
      </c>
      <c r="N29" s="10" t="s">
        <v>606</v>
      </c>
      <c r="O29" s="11">
        <v>46036</v>
      </c>
      <c r="P29" s="35">
        <f>IF(OR(O29="", J29=""), "", NETWORKDAYS(J29, O29, FESTIVOS!A28:A82))</f>
        <v>-15</v>
      </c>
    </row>
    <row r="30" spans="1:16" ht="47.25" x14ac:dyDescent="0.25">
      <c r="A30" s="10" t="s">
        <v>18</v>
      </c>
      <c r="B30" s="18" t="s">
        <v>87</v>
      </c>
      <c r="C30" s="18" t="s">
        <v>88</v>
      </c>
      <c r="D30" s="18" t="s">
        <v>41</v>
      </c>
      <c r="E30" s="16">
        <v>29</v>
      </c>
      <c r="F30" s="17">
        <v>46036</v>
      </c>
      <c r="G30" s="10" t="s">
        <v>615</v>
      </c>
      <c r="H30" s="10">
        <f t="shared" si="0"/>
        <v>15</v>
      </c>
      <c r="I30" s="10">
        <f ca="1">IF(AND(F30&lt;&gt;"", J30&lt;&gt;""), NETWORKDAYS(TODAY(), J30-1, FESTIVOS!A$1:A$55), "")</f>
        <v>-87</v>
      </c>
      <c r="J30" s="11">
        <f>IF(AND(F30&lt;&gt;"", H30&lt;&gt;""), WORKDAY(F30, H30, FESTIVOS!A$1:A$55), "")</f>
        <v>46057</v>
      </c>
      <c r="K30" s="10" t="s">
        <v>656</v>
      </c>
      <c r="L30" s="10">
        <f t="shared" ca="1" si="2"/>
        <v>0</v>
      </c>
      <c r="M30" s="10" t="str">
        <f t="shared" ca="1" si="1"/>
        <v>Vencido</v>
      </c>
      <c r="N30" s="10" t="s">
        <v>606</v>
      </c>
      <c r="O30" s="11">
        <v>46036</v>
      </c>
      <c r="P30" s="35">
        <f>IF(OR(O30="", J30=""), "", NETWORKDAYS(J30, O30, FESTIVOS!A29:A83))</f>
        <v>-16</v>
      </c>
    </row>
    <row r="31" spans="1:16" ht="31.5" x14ac:dyDescent="0.25">
      <c r="A31" s="10" t="s">
        <v>18</v>
      </c>
      <c r="B31" s="18" t="s">
        <v>89</v>
      </c>
      <c r="C31" s="18" t="s">
        <v>90</v>
      </c>
      <c r="D31" s="18" t="s">
        <v>42</v>
      </c>
      <c r="E31" s="16">
        <v>30</v>
      </c>
      <c r="F31" s="17">
        <v>46036</v>
      </c>
      <c r="G31" s="10" t="s">
        <v>617</v>
      </c>
      <c r="H31" s="10">
        <f t="shared" si="0"/>
        <v>15</v>
      </c>
      <c r="I31" s="10">
        <f ca="1">IF(AND(F31&lt;&gt;"", J31&lt;&gt;""), NETWORKDAYS(TODAY(), J31-1, FESTIVOS!A$1:A$55), "")</f>
        <v>-87</v>
      </c>
      <c r="J31" s="11">
        <f>IF(AND(F31&lt;&gt;"", H31&lt;&gt;""), WORKDAY(F31, H31, FESTIVOS!A$1:A$55), "")</f>
        <v>46057</v>
      </c>
      <c r="K31" s="10" t="s">
        <v>656</v>
      </c>
      <c r="L31" s="10">
        <f t="shared" ca="1" si="2"/>
        <v>0</v>
      </c>
      <c r="M31" s="10" t="str">
        <f t="shared" ca="1" si="1"/>
        <v>Vencido</v>
      </c>
      <c r="N31" s="10" t="s">
        <v>606</v>
      </c>
      <c r="O31" s="11">
        <v>46036</v>
      </c>
      <c r="P31" s="35">
        <f>IF(OR(O31="", J31=""), "", NETWORKDAYS(J31, O31, FESTIVOS!A30:A84))</f>
        <v>-16</v>
      </c>
    </row>
    <row r="32" spans="1:16" ht="15.75" x14ac:dyDescent="0.25">
      <c r="A32" s="10" t="s">
        <v>18</v>
      </c>
      <c r="B32" s="18" t="s">
        <v>91</v>
      </c>
      <c r="C32" s="18" t="s">
        <v>67</v>
      </c>
      <c r="D32" s="18" t="s">
        <v>43</v>
      </c>
      <c r="E32" s="16">
        <v>31</v>
      </c>
      <c r="F32" s="17">
        <v>46036</v>
      </c>
      <c r="G32" s="10" t="s">
        <v>615</v>
      </c>
      <c r="H32" s="10">
        <f t="shared" si="0"/>
        <v>15</v>
      </c>
      <c r="I32" s="10">
        <f ca="1">IF(AND(F32&lt;&gt;"", J32&lt;&gt;""), NETWORKDAYS(TODAY(), J32-1, FESTIVOS!A$1:A$55), "")</f>
        <v>-87</v>
      </c>
      <c r="J32" s="11">
        <f>IF(AND(F32&lt;&gt;"", H32&lt;&gt;""), WORKDAY(F32, H32, FESTIVOS!A$1:A$55), "")</f>
        <v>46057</v>
      </c>
      <c r="K32" s="10" t="s">
        <v>656</v>
      </c>
      <c r="L32" s="10">
        <f t="shared" ca="1" si="2"/>
        <v>0</v>
      </c>
      <c r="M32" s="10" t="str">
        <f t="shared" ca="1" si="1"/>
        <v>Vencido</v>
      </c>
      <c r="N32" s="10" t="s">
        <v>606</v>
      </c>
      <c r="O32" s="11">
        <v>46036</v>
      </c>
      <c r="P32" s="35">
        <f>IF(OR(O32="", J32=""), "", NETWORKDAYS(J32, O32, FESTIVOS!A31:A85))</f>
        <v>-16</v>
      </c>
    </row>
    <row r="33" spans="1:16" ht="15.75" x14ac:dyDescent="0.25">
      <c r="A33" s="10" t="s">
        <v>18</v>
      </c>
      <c r="B33" s="18" t="s">
        <v>92</v>
      </c>
      <c r="C33" s="18" t="s">
        <v>67</v>
      </c>
      <c r="D33" s="18" t="s">
        <v>44</v>
      </c>
      <c r="E33" s="16">
        <v>32</v>
      </c>
      <c r="F33" s="17">
        <v>46036</v>
      </c>
      <c r="G33" s="10" t="s">
        <v>615</v>
      </c>
      <c r="H33" s="10">
        <f t="shared" si="0"/>
        <v>15</v>
      </c>
      <c r="I33" s="10">
        <f ca="1">IF(AND(F33&lt;&gt;"", J33&lt;&gt;""), NETWORKDAYS(TODAY(), J33-1, FESTIVOS!A$1:A$55), "")</f>
        <v>-87</v>
      </c>
      <c r="J33" s="11">
        <f>IF(AND(F33&lt;&gt;"", H33&lt;&gt;""), WORKDAY(F33, H33, FESTIVOS!A$1:A$55), "")</f>
        <v>46057</v>
      </c>
      <c r="K33" s="10" t="s">
        <v>656</v>
      </c>
      <c r="L33" s="10">
        <f t="shared" ca="1" si="2"/>
        <v>0</v>
      </c>
      <c r="M33" s="10" t="str">
        <f t="shared" ca="1" si="1"/>
        <v>Vencido</v>
      </c>
      <c r="N33" s="10" t="s">
        <v>606</v>
      </c>
      <c r="O33" s="11">
        <v>46036</v>
      </c>
      <c r="P33" s="35">
        <f>IF(OR(O33="", J33=""), "", NETWORKDAYS(J33, O33, FESTIVOS!A32:A86))</f>
        <v>-16</v>
      </c>
    </row>
    <row r="34" spans="1:16" ht="15.75" x14ac:dyDescent="0.25">
      <c r="A34" s="10" t="s">
        <v>18</v>
      </c>
      <c r="B34" s="18" t="s">
        <v>93</v>
      </c>
      <c r="C34" s="18" t="s">
        <v>67</v>
      </c>
      <c r="D34" s="18" t="s">
        <v>44</v>
      </c>
      <c r="E34" s="16">
        <v>33</v>
      </c>
      <c r="F34" s="17">
        <v>46036</v>
      </c>
      <c r="G34" s="10" t="s">
        <v>615</v>
      </c>
      <c r="H34" s="10">
        <f t="shared" si="0"/>
        <v>15</v>
      </c>
      <c r="I34" s="10">
        <f ca="1">IF(AND(F34&lt;&gt;"", J34&lt;&gt;""), NETWORKDAYS(TODAY(), J34-1, FESTIVOS!A$1:A$55), "")</f>
        <v>-87</v>
      </c>
      <c r="J34" s="11">
        <f>IF(AND(F34&lt;&gt;"", H34&lt;&gt;""), WORKDAY(F34, H34, FESTIVOS!A$1:A$55), "")</f>
        <v>46057</v>
      </c>
      <c r="K34" s="10" t="s">
        <v>656</v>
      </c>
      <c r="L34" s="10">
        <f t="shared" ca="1" si="2"/>
        <v>0</v>
      </c>
      <c r="M34" s="10" t="str">
        <f t="shared" ca="1" si="1"/>
        <v>Vencido</v>
      </c>
      <c r="N34" s="10" t="s">
        <v>606</v>
      </c>
      <c r="O34" s="11">
        <v>46036</v>
      </c>
      <c r="P34" s="35">
        <f>IF(OR(O34="", J34=""), "", NETWORKDAYS(J34, O34, FESTIVOS!A33:A87))</f>
        <v>-16</v>
      </c>
    </row>
    <row r="35" spans="1:16" ht="15.75" x14ac:dyDescent="0.25">
      <c r="A35" s="10" t="s">
        <v>18</v>
      </c>
      <c r="B35" s="18" t="s">
        <v>94</v>
      </c>
      <c r="C35" s="18" t="s">
        <v>67</v>
      </c>
      <c r="D35" s="18" t="s">
        <v>44</v>
      </c>
      <c r="E35" s="16">
        <v>34</v>
      </c>
      <c r="F35" s="17">
        <v>46036</v>
      </c>
      <c r="G35" s="10" t="s">
        <v>615</v>
      </c>
      <c r="H35" s="10">
        <f t="shared" si="0"/>
        <v>15</v>
      </c>
      <c r="I35" s="10">
        <f ca="1">IF(AND(F35&lt;&gt;"", J35&lt;&gt;""), NETWORKDAYS(TODAY(), J35-1, FESTIVOS!A$1:A$55), "")</f>
        <v>-87</v>
      </c>
      <c r="J35" s="11">
        <f>IF(AND(F35&lt;&gt;"", H35&lt;&gt;""), WORKDAY(F35, H35, FESTIVOS!A$1:A$55), "")</f>
        <v>46057</v>
      </c>
      <c r="K35" s="10" t="s">
        <v>656</v>
      </c>
      <c r="L35" s="10">
        <f t="shared" ca="1" si="2"/>
        <v>0</v>
      </c>
      <c r="M35" s="10" t="str">
        <f t="shared" ca="1" si="1"/>
        <v>Vencido</v>
      </c>
      <c r="N35" s="10" t="s">
        <v>606</v>
      </c>
      <c r="O35" s="11">
        <v>46036</v>
      </c>
      <c r="P35" s="35">
        <f>IF(OR(O35="", J35=""), "", NETWORKDAYS(J35, O35, FESTIVOS!A34:A88))</f>
        <v>-16</v>
      </c>
    </row>
    <row r="36" spans="1:16" ht="15.75" x14ac:dyDescent="0.25">
      <c r="A36" s="10" t="s">
        <v>18</v>
      </c>
      <c r="B36" s="18" t="s">
        <v>95</v>
      </c>
      <c r="C36" s="18" t="s">
        <v>67</v>
      </c>
      <c r="D36" s="18" t="s">
        <v>44</v>
      </c>
      <c r="E36" s="16">
        <v>35</v>
      </c>
      <c r="F36" s="17">
        <v>46036</v>
      </c>
      <c r="G36" s="10" t="s">
        <v>615</v>
      </c>
      <c r="H36" s="10">
        <f t="shared" si="0"/>
        <v>15</v>
      </c>
      <c r="I36" s="10">
        <f ca="1">IF(AND(F36&lt;&gt;"", J36&lt;&gt;""), NETWORKDAYS(TODAY(), J36-1, FESTIVOS!A$1:A$55), "")</f>
        <v>-87</v>
      </c>
      <c r="J36" s="11">
        <f>IF(AND(F36&lt;&gt;"", H36&lt;&gt;""), WORKDAY(F36, H36, FESTIVOS!A$1:A$55), "")</f>
        <v>46057</v>
      </c>
      <c r="K36" s="10" t="s">
        <v>656</v>
      </c>
      <c r="L36" s="10">
        <f t="shared" ca="1" si="2"/>
        <v>0</v>
      </c>
      <c r="M36" s="10" t="str">
        <f t="shared" ca="1" si="1"/>
        <v>Vencido</v>
      </c>
      <c r="N36" s="10" t="s">
        <v>606</v>
      </c>
      <c r="O36" s="11">
        <v>46036</v>
      </c>
      <c r="P36" s="35">
        <f>IF(OR(O36="", J36=""), "", NETWORKDAYS(J36, O36, FESTIVOS!A35:A89))</f>
        <v>-16</v>
      </c>
    </row>
    <row r="37" spans="1:16" ht="15.75" x14ac:dyDescent="0.25">
      <c r="A37" s="10" t="s">
        <v>18</v>
      </c>
      <c r="B37" s="18" t="s">
        <v>56</v>
      </c>
      <c r="C37" s="18" t="s">
        <v>84</v>
      </c>
      <c r="D37" s="18" t="s">
        <v>45</v>
      </c>
      <c r="E37" s="16">
        <v>36</v>
      </c>
      <c r="F37" s="17">
        <v>46037</v>
      </c>
      <c r="G37" s="10" t="s">
        <v>615</v>
      </c>
      <c r="H37" s="10">
        <f t="shared" si="0"/>
        <v>15</v>
      </c>
      <c r="I37" s="10">
        <f ca="1">IF(AND(F37&lt;&gt;"", J37&lt;&gt;""), NETWORKDAYS(TODAY(), J37-1, FESTIVOS!A$1:A$55), "")</f>
        <v>-86</v>
      </c>
      <c r="J37" s="11">
        <f>IF(AND(F37&lt;&gt;"", H37&lt;&gt;""), WORKDAY(F37, H37, FESTIVOS!A$1:A$55), "")</f>
        <v>46058</v>
      </c>
      <c r="K37" s="10" t="s">
        <v>656</v>
      </c>
      <c r="L37" s="10">
        <f t="shared" ca="1" si="2"/>
        <v>0</v>
      </c>
      <c r="M37" s="10" t="str">
        <f t="shared" ca="1" si="1"/>
        <v>Vencido</v>
      </c>
      <c r="N37" s="10" t="s">
        <v>606</v>
      </c>
      <c r="O37" s="11">
        <v>46036</v>
      </c>
      <c r="P37" s="35">
        <f>IF(OR(O37="", J37=""), "", NETWORKDAYS(J37, O37, FESTIVOS!A36:A90))</f>
        <v>-17</v>
      </c>
    </row>
    <row r="38" spans="1:16" ht="15.75" x14ac:dyDescent="0.25">
      <c r="A38" s="10" t="s">
        <v>18</v>
      </c>
      <c r="B38" s="18" t="s">
        <v>56</v>
      </c>
      <c r="C38" s="18" t="s">
        <v>84</v>
      </c>
      <c r="D38" s="18" t="s">
        <v>45</v>
      </c>
      <c r="E38" s="16">
        <v>37</v>
      </c>
      <c r="F38" s="17">
        <v>46037</v>
      </c>
      <c r="G38" s="10" t="s">
        <v>615</v>
      </c>
      <c r="H38" s="10">
        <f t="shared" si="0"/>
        <v>15</v>
      </c>
      <c r="I38" s="10">
        <f ca="1">IF(AND(F38&lt;&gt;"", J38&lt;&gt;""), NETWORKDAYS(TODAY(), J38-1, FESTIVOS!A$1:A$55), "")</f>
        <v>-86</v>
      </c>
      <c r="J38" s="11">
        <f>IF(AND(F38&lt;&gt;"", H38&lt;&gt;""), WORKDAY(F38, H38, FESTIVOS!A$1:A$55), "")</f>
        <v>46058</v>
      </c>
      <c r="K38" s="10" t="s">
        <v>656</v>
      </c>
      <c r="L38" s="10">
        <f t="shared" ca="1" si="2"/>
        <v>0</v>
      </c>
      <c r="M38" s="10" t="str">
        <f t="shared" ca="1" si="1"/>
        <v>Vencido</v>
      </c>
      <c r="N38" s="10" t="s">
        <v>606</v>
      </c>
      <c r="O38" s="11">
        <v>46036</v>
      </c>
      <c r="P38" s="35">
        <f>IF(OR(O38="", J38=""), "", NETWORKDAYS(J38, O38, FESTIVOS!A37:A91))</f>
        <v>-17</v>
      </c>
    </row>
    <row r="39" spans="1:16" ht="15.75" x14ac:dyDescent="0.25">
      <c r="A39" s="10" t="s">
        <v>18</v>
      </c>
      <c r="B39" s="18" t="s">
        <v>56</v>
      </c>
      <c r="C39" s="18" t="s">
        <v>84</v>
      </c>
      <c r="D39" s="18" t="s">
        <v>45</v>
      </c>
      <c r="E39" s="16">
        <v>38</v>
      </c>
      <c r="F39" s="17">
        <v>46037</v>
      </c>
      <c r="G39" s="10" t="s">
        <v>615</v>
      </c>
      <c r="H39" s="10">
        <f t="shared" si="0"/>
        <v>15</v>
      </c>
      <c r="I39" s="10">
        <f ca="1">IF(AND(F39&lt;&gt;"", J39&lt;&gt;""), NETWORKDAYS(TODAY(), J39-1, FESTIVOS!A$1:A$55), "")</f>
        <v>-86</v>
      </c>
      <c r="J39" s="11">
        <f>IF(AND(F39&lt;&gt;"", H39&lt;&gt;""), WORKDAY(F39, H39, FESTIVOS!A$1:A$55), "")</f>
        <v>46058</v>
      </c>
      <c r="K39" s="10" t="s">
        <v>656</v>
      </c>
      <c r="L39" s="10">
        <f t="shared" ca="1" si="2"/>
        <v>0</v>
      </c>
      <c r="M39" s="10" t="str">
        <f t="shared" ca="1" si="1"/>
        <v>Vencido</v>
      </c>
      <c r="N39" s="10" t="s">
        <v>606</v>
      </c>
      <c r="O39" s="11">
        <v>46036</v>
      </c>
      <c r="P39" s="35">
        <f>IF(OR(O39="", J39=""), "", NETWORKDAYS(J39, O39, FESTIVOS!A38:A92))</f>
        <v>-17</v>
      </c>
    </row>
    <row r="40" spans="1:16" ht="31.5" x14ac:dyDescent="0.25">
      <c r="A40" s="10" t="s">
        <v>18</v>
      </c>
      <c r="B40" s="16" t="s">
        <v>96</v>
      </c>
      <c r="C40" s="18" t="s">
        <v>67</v>
      </c>
      <c r="D40" s="18" t="s">
        <v>46</v>
      </c>
      <c r="E40" s="16">
        <v>39</v>
      </c>
      <c r="F40" s="17">
        <v>46037</v>
      </c>
      <c r="G40" s="10" t="s">
        <v>614</v>
      </c>
      <c r="H40" s="10">
        <f t="shared" si="0"/>
        <v>15</v>
      </c>
      <c r="I40" s="10">
        <f ca="1">IF(AND(F40&lt;&gt;"", J40&lt;&gt;""), NETWORKDAYS(TODAY(), J40-1, FESTIVOS!A$1:A$55), "")</f>
        <v>-86</v>
      </c>
      <c r="J40" s="11">
        <f>IF(AND(F40&lt;&gt;"", H40&lt;&gt;""), WORKDAY(F40, H40, FESTIVOS!A$1:A$55), "")</f>
        <v>46058</v>
      </c>
      <c r="K40" s="10" t="s">
        <v>656</v>
      </c>
      <c r="L40" s="10">
        <f t="shared" ca="1" si="2"/>
        <v>0</v>
      </c>
      <c r="M40" s="10" t="str">
        <f t="shared" ca="1" si="1"/>
        <v>Vencido</v>
      </c>
      <c r="N40" s="10" t="s">
        <v>606</v>
      </c>
      <c r="O40" s="11">
        <v>46036</v>
      </c>
      <c r="P40" s="35">
        <f>IF(OR(O40="", J40=""), "", NETWORKDAYS(J40, O40, FESTIVOS!A39:A93))</f>
        <v>-17</v>
      </c>
    </row>
    <row r="41" spans="1:16" ht="15.75" x14ac:dyDescent="0.25">
      <c r="A41" s="10" t="s">
        <v>18</v>
      </c>
      <c r="B41" s="18" t="s">
        <v>97</v>
      </c>
      <c r="C41" s="18" t="s">
        <v>67</v>
      </c>
      <c r="D41" s="18" t="s">
        <v>47</v>
      </c>
      <c r="E41" s="16">
        <v>40</v>
      </c>
      <c r="F41" s="17">
        <v>46037</v>
      </c>
      <c r="G41" s="10" t="s">
        <v>615</v>
      </c>
      <c r="H41" s="10">
        <f t="shared" si="0"/>
        <v>15</v>
      </c>
      <c r="I41" s="10">
        <f ca="1">IF(AND(F41&lt;&gt;"", J41&lt;&gt;""), NETWORKDAYS(TODAY(), J41-1, FESTIVOS!A$1:A$55), "")</f>
        <v>-86</v>
      </c>
      <c r="J41" s="11">
        <f>IF(AND(F41&lt;&gt;"", H41&lt;&gt;""), WORKDAY(F41, H41, FESTIVOS!A$1:A$55), "")</f>
        <v>46058</v>
      </c>
      <c r="K41" s="10" t="s">
        <v>656</v>
      </c>
      <c r="L41" s="10">
        <f t="shared" ca="1" si="2"/>
        <v>0</v>
      </c>
      <c r="M41" s="10" t="str">
        <f t="shared" ca="1" si="1"/>
        <v>Vencido</v>
      </c>
      <c r="N41" s="10" t="s">
        <v>606</v>
      </c>
      <c r="O41" s="11">
        <v>46036</v>
      </c>
      <c r="P41" s="35">
        <f>IF(OR(O41="", J41=""), "", NETWORKDAYS(J41, O41, FESTIVOS!A40:A94))</f>
        <v>-17</v>
      </c>
    </row>
    <row r="42" spans="1:16" ht="15.75" x14ac:dyDescent="0.25">
      <c r="A42" s="10" t="s">
        <v>18</v>
      </c>
      <c r="B42" s="18" t="s">
        <v>83</v>
      </c>
      <c r="C42" s="18" t="s">
        <v>84</v>
      </c>
      <c r="D42" s="18" t="s">
        <v>39</v>
      </c>
      <c r="E42" s="16">
        <v>41</v>
      </c>
      <c r="F42" s="17">
        <v>46037</v>
      </c>
      <c r="G42" s="10" t="s">
        <v>615</v>
      </c>
      <c r="H42" s="10">
        <f t="shared" si="0"/>
        <v>15</v>
      </c>
      <c r="I42" s="10">
        <f ca="1">IF(AND(F42&lt;&gt;"", J42&lt;&gt;""), NETWORKDAYS(TODAY(), J42-1, FESTIVOS!A$1:A$55), "")</f>
        <v>-86</v>
      </c>
      <c r="J42" s="11">
        <f>IF(AND(F42&lt;&gt;"", H42&lt;&gt;""), WORKDAY(F42, H42, FESTIVOS!A$1:A$55), "")</f>
        <v>46058</v>
      </c>
      <c r="K42" s="10" t="s">
        <v>656</v>
      </c>
      <c r="L42" s="10">
        <f t="shared" ca="1" si="2"/>
        <v>0</v>
      </c>
      <c r="M42" s="10" t="str">
        <f t="shared" ca="1" si="1"/>
        <v>Vencido</v>
      </c>
      <c r="N42" s="10" t="s">
        <v>606</v>
      </c>
      <c r="O42" s="11">
        <v>46036</v>
      </c>
      <c r="P42" s="35">
        <f>IF(OR(O42="", J42=""), "", NETWORKDAYS(J42, O42, FESTIVOS!A41:A95))</f>
        <v>-17</v>
      </c>
    </row>
    <row r="43" spans="1:16" ht="15.75" x14ac:dyDescent="0.25">
      <c r="A43" s="10" t="s">
        <v>18</v>
      </c>
      <c r="B43" s="18" t="s">
        <v>83</v>
      </c>
      <c r="C43" s="18" t="s">
        <v>84</v>
      </c>
      <c r="D43" s="18" t="s">
        <v>39</v>
      </c>
      <c r="E43" s="16">
        <v>42</v>
      </c>
      <c r="F43" s="17">
        <v>46037</v>
      </c>
      <c r="G43" s="10" t="s">
        <v>615</v>
      </c>
      <c r="H43" s="10">
        <f t="shared" si="0"/>
        <v>15</v>
      </c>
      <c r="I43" s="10">
        <f ca="1">IF(AND(F43&lt;&gt;"", J43&lt;&gt;""), NETWORKDAYS(TODAY(), J43-1, FESTIVOS!A$1:A$55), "")</f>
        <v>-86</v>
      </c>
      <c r="J43" s="11">
        <f>IF(AND(F43&lt;&gt;"", H43&lt;&gt;""), WORKDAY(F43, H43, FESTIVOS!A$1:A$55), "")</f>
        <v>46058</v>
      </c>
      <c r="K43" s="10" t="s">
        <v>656</v>
      </c>
      <c r="L43" s="10">
        <f t="shared" ca="1" si="2"/>
        <v>0</v>
      </c>
      <c r="M43" s="10" t="str">
        <f t="shared" ca="1" si="1"/>
        <v>Vencido</v>
      </c>
      <c r="N43" s="10" t="s">
        <v>606</v>
      </c>
      <c r="O43" s="11">
        <v>46036</v>
      </c>
      <c r="P43" s="35">
        <f>IF(OR(O43="", J43=""), "", NETWORKDAYS(J43, O43, FESTIVOS!A42:A96))</f>
        <v>-17</v>
      </c>
    </row>
    <row r="44" spans="1:16" ht="15.75" x14ac:dyDescent="0.25">
      <c r="A44" s="10" t="s">
        <v>18</v>
      </c>
      <c r="B44" s="18" t="s">
        <v>83</v>
      </c>
      <c r="C44" s="18" t="s">
        <v>84</v>
      </c>
      <c r="D44" s="18" t="s">
        <v>39</v>
      </c>
      <c r="E44" s="16">
        <v>43</v>
      </c>
      <c r="F44" s="17">
        <v>46037</v>
      </c>
      <c r="G44" s="10" t="s">
        <v>615</v>
      </c>
      <c r="H44" s="10">
        <f t="shared" si="0"/>
        <v>15</v>
      </c>
      <c r="I44" s="10">
        <f ca="1">IF(AND(F44&lt;&gt;"", J44&lt;&gt;""), NETWORKDAYS(TODAY(), J44-1, FESTIVOS!A$1:A$55), "")</f>
        <v>-86</v>
      </c>
      <c r="J44" s="11">
        <f>IF(AND(F44&lt;&gt;"", H44&lt;&gt;""), WORKDAY(F44, H44, FESTIVOS!A$1:A$55), "")</f>
        <v>46058</v>
      </c>
      <c r="K44" s="10" t="s">
        <v>656</v>
      </c>
      <c r="L44" s="10">
        <f t="shared" ca="1" si="2"/>
        <v>0</v>
      </c>
      <c r="M44" s="10" t="str">
        <f t="shared" ca="1" si="1"/>
        <v>Vencido</v>
      </c>
      <c r="N44" s="10" t="s">
        <v>606</v>
      </c>
      <c r="O44" s="11">
        <v>46036</v>
      </c>
      <c r="P44" s="35">
        <f>IF(OR(O44="", J44=""), "", NETWORKDAYS(J44, O44, FESTIVOS!A43:A97))</f>
        <v>-17</v>
      </c>
    </row>
    <row r="45" spans="1:16" ht="15.75" x14ac:dyDescent="0.25">
      <c r="A45" s="10" t="s">
        <v>18</v>
      </c>
      <c r="B45" s="18" t="s">
        <v>83</v>
      </c>
      <c r="C45" s="18" t="s">
        <v>84</v>
      </c>
      <c r="D45" s="18" t="s">
        <v>39</v>
      </c>
      <c r="E45" s="16">
        <v>44</v>
      </c>
      <c r="F45" s="17">
        <v>46037</v>
      </c>
      <c r="G45" s="10" t="s">
        <v>615</v>
      </c>
      <c r="H45" s="10">
        <f t="shared" si="0"/>
        <v>15</v>
      </c>
      <c r="I45" s="10">
        <f ca="1">IF(AND(F45&lt;&gt;"", J45&lt;&gt;""), NETWORKDAYS(TODAY(), J45-1, FESTIVOS!A$1:A$55), "")</f>
        <v>-86</v>
      </c>
      <c r="J45" s="11">
        <f>IF(AND(F45&lt;&gt;"", H45&lt;&gt;""), WORKDAY(F45, H45, FESTIVOS!A$1:A$55), "")</f>
        <v>46058</v>
      </c>
      <c r="K45" s="10" t="s">
        <v>656</v>
      </c>
      <c r="L45" s="10">
        <f t="shared" ca="1" si="2"/>
        <v>0</v>
      </c>
      <c r="M45" s="10" t="str">
        <f t="shared" ca="1" si="1"/>
        <v>Vencido</v>
      </c>
      <c r="N45" s="10" t="s">
        <v>606</v>
      </c>
      <c r="O45" s="11">
        <v>46036</v>
      </c>
      <c r="P45" s="35">
        <f>IF(OR(O45="", J45=""), "", NETWORKDAYS(J45, O45, FESTIVOS!A44:A98))</f>
        <v>-17</v>
      </c>
    </row>
    <row r="46" spans="1:16" ht="15.75" x14ac:dyDescent="0.25">
      <c r="A46" s="10" t="s">
        <v>18</v>
      </c>
      <c r="B46" s="18" t="s">
        <v>83</v>
      </c>
      <c r="C46" s="18" t="s">
        <v>84</v>
      </c>
      <c r="D46" s="18" t="s">
        <v>39</v>
      </c>
      <c r="E46" s="16">
        <v>45</v>
      </c>
      <c r="F46" s="17">
        <v>46037</v>
      </c>
      <c r="G46" s="10" t="s">
        <v>615</v>
      </c>
      <c r="H46" s="10">
        <f t="shared" si="0"/>
        <v>15</v>
      </c>
      <c r="I46" s="10">
        <f ca="1">IF(AND(F46&lt;&gt;"", J46&lt;&gt;""), NETWORKDAYS(TODAY(), J46-1, FESTIVOS!A$1:A$55), "")</f>
        <v>-86</v>
      </c>
      <c r="J46" s="11">
        <f>IF(AND(F46&lt;&gt;"", H46&lt;&gt;""), WORKDAY(F46, H46, FESTIVOS!A$1:A$55), "")</f>
        <v>46058</v>
      </c>
      <c r="K46" s="10" t="s">
        <v>656</v>
      </c>
      <c r="L46" s="10">
        <f t="shared" ca="1" si="2"/>
        <v>0</v>
      </c>
      <c r="M46" s="10" t="str">
        <f t="shared" ca="1" si="1"/>
        <v>Vencido</v>
      </c>
      <c r="N46" s="10" t="s">
        <v>606</v>
      </c>
      <c r="O46" s="11">
        <v>46036</v>
      </c>
      <c r="P46" s="35">
        <f>IF(OR(O46="", J46=""), "", NETWORKDAYS(J46, O46, FESTIVOS!A45:A99))</f>
        <v>-17</v>
      </c>
    </row>
    <row r="47" spans="1:16" ht="15.75" x14ac:dyDescent="0.25">
      <c r="A47" s="10" t="s">
        <v>18</v>
      </c>
      <c r="B47" s="18" t="s">
        <v>83</v>
      </c>
      <c r="C47" s="18" t="s">
        <v>84</v>
      </c>
      <c r="D47" s="18" t="s">
        <v>39</v>
      </c>
      <c r="E47" s="16">
        <v>46</v>
      </c>
      <c r="F47" s="17">
        <v>46037</v>
      </c>
      <c r="G47" s="10" t="s">
        <v>615</v>
      </c>
      <c r="H47" s="10">
        <f t="shared" si="0"/>
        <v>15</v>
      </c>
      <c r="I47" s="10">
        <f ca="1">IF(AND(F47&lt;&gt;"", J47&lt;&gt;""), NETWORKDAYS(TODAY(), J47-1, FESTIVOS!A$1:A$55), "")</f>
        <v>-86</v>
      </c>
      <c r="J47" s="11">
        <f>IF(AND(F47&lt;&gt;"", H47&lt;&gt;""), WORKDAY(F47, H47, FESTIVOS!A$1:A$55), "")</f>
        <v>46058</v>
      </c>
      <c r="K47" s="10" t="s">
        <v>656</v>
      </c>
      <c r="L47" s="10">
        <f t="shared" ca="1" si="2"/>
        <v>0</v>
      </c>
      <c r="M47" s="10" t="str">
        <f t="shared" ca="1" si="1"/>
        <v>Vencido</v>
      </c>
      <c r="N47" s="10" t="s">
        <v>606</v>
      </c>
      <c r="O47" s="11">
        <v>46036</v>
      </c>
      <c r="P47" s="35">
        <f>IF(OR(O47="", J47=""), "", NETWORKDAYS(J47, O47, FESTIVOS!A46:A100))</f>
        <v>-17</v>
      </c>
    </row>
    <row r="48" spans="1:16" ht="31.5" x14ac:dyDescent="0.25">
      <c r="A48" s="10" t="s">
        <v>18</v>
      </c>
      <c r="B48" s="16" t="s">
        <v>98</v>
      </c>
      <c r="C48" s="18" t="s">
        <v>67</v>
      </c>
      <c r="D48" s="18" t="s">
        <v>48</v>
      </c>
      <c r="E48" s="16">
        <v>47</v>
      </c>
      <c r="F48" s="17">
        <v>46038</v>
      </c>
      <c r="G48" s="10" t="s">
        <v>614</v>
      </c>
      <c r="H48" s="10">
        <f t="shared" si="0"/>
        <v>15</v>
      </c>
      <c r="I48" s="10">
        <f ca="1">IF(AND(F48&lt;&gt;"", J48&lt;&gt;""), NETWORKDAYS(TODAY(), J48-1, FESTIVOS!A$1:A$55), "")</f>
        <v>-85</v>
      </c>
      <c r="J48" s="11">
        <f>IF(AND(F48&lt;&gt;"", H48&lt;&gt;""), WORKDAY(F48, H48, FESTIVOS!A$1:A$55), "")</f>
        <v>46059</v>
      </c>
      <c r="K48" s="10" t="s">
        <v>656</v>
      </c>
      <c r="L48" s="10">
        <f t="shared" ca="1" si="2"/>
        <v>0</v>
      </c>
      <c r="M48" s="10" t="str">
        <f t="shared" ca="1" si="1"/>
        <v>Vencido</v>
      </c>
      <c r="N48" s="10" t="s">
        <v>606</v>
      </c>
      <c r="O48" s="11">
        <v>46036</v>
      </c>
      <c r="P48" s="35">
        <f>IF(OR(O48="", J48=""), "", NETWORKDAYS(J48, O48, FESTIVOS!A47:A101))</f>
        <v>-18</v>
      </c>
    </row>
    <row r="49" spans="1:16" ht="31.5" x14ac:dyDescent="0.25">
      <c r="A49" s="10" t="s">
        <v>18</v>
      </c>
      <c r="B49" s="16" t="s">
        <v>99</v>
      </c>
      <c r="C49" s="18" t="s">
        <v>67</v>
      </c>
      <c r="D49" s="18" t="s">
        <v>49</v>
      </c>
      <c r="E49" s="16">
        <v>48</v>
      </c>
      <c r="F49" s="17">
        <v>46038</v>
      </c>
      <c r="G49" s="10" t="s">
        <v>615</v>
      </c>
      <c r="H49" s="10">
        <f t="shared" si="0"/>
        <v>15</v>
      </c>
      <c r="I49" s="10">
        <f ca="1">IF(AND(F49&lt;&gt;"", J49&lt;&gt;""), NETWORKDAYS(TODAY(), J49-1, FESTIVOS!A$1:A$55), "")</f>
        <v>-85</v>
      </c>
      <c r="J49" s="11">
        <f>IF(AND(F49&lt;&gt;"", H49&lt;&gt;""), WORKDAY(F49, H49, FESTIVOS!A$1:A$55), "")</f>
        <v>46059</v>
      </c>
      <c r="K49" s="10" t="s">
        <v>656</v>
      </c>
      <c r="L49" s="10">
        <f t="shared" ca="1" si="2"/>
        <v>0</v>
      </c>
      <c r="M49" s="10" t="str">
        <f t="shared" ca="1" si="1"/>
        <v>Vencido</v>
      </c>
      <c r="N49" s="10" t="s">
        <v>606</v>
      </c>
      <c r="O49" s="11">
        <v>46036</v>
      </c>
      <c r="P49" s="35">
        <f>IF(OR(O49="", J49=""), "", NETWORKDAYS(J49, O49, FESTIVOS!A48:A102))</f>
        <v>-18</v>
      </c>
    </row>
    <row r="50" spans="1:16" ht="15.75" x14ac:dyDescent="0.25">
      <c r="A50" s="10" t="s">
        <v>18</v>
      </c>
      <c r="B50" s="16" t="s">
        <v>100</v>
      </c>
      <c r="C50" s="18" t="s">
        <v>67</v>
      </c>
      <c r="D50" s="18" t="s">
        <v>30</v>
      </c>
      <c r="E50" s="16">
        <v>49</v>
      </c>
      <c r="F50" s="17">
        <v>46041</v>
      </c>
      <c r="G50" s="10" t="s">
        <v>615</v>
      </c>
      <c r="H50" s="10">
        <f t="shared" si="0"/>
        <v>15</v>
      </c>
      <c r="I50" s="10">
        <f ca="1">IF(AND(F50&lt;&gt;"", J50&lt;&gt;""), NETWORKDAYS(TODAY(), J50-1, FESTIVOS!A$1:A$55), "")</f>
        <v>-83</v>
      </c>
      <c r="J50" s="11">
        <f>IF(AND(F50&lt;&gt;"", H50&lt;&gt;""), WORKDAY(F50, H50, FESTIVOS!A$1:A$55), "")</f>
        <v>46062</v>
      </c>
      <c r="K50" s="10" t="s">
        <v>656</v>
      </c>
      <c r="L50" s="10">
        <f t="shared" ca="1" si="2"/>
        <v>0</v>
      </c>
      <c r="M50" s="10" t="str">
        <f t="shared" ca="1" si="1"/>
        <v>Vencido</v>
      </c>
      <c r="N50" s="10" t="s">
        <v>606</v>
      </c>
      <c r="O50" s="11">
        <v>46036</v>
      </c>
      <c r="P50" s="35">
        <f>IF(OR(O50="", J50=""), "", NETWORKDAYS(J50, O50, FESTIVOS!A49:A103))</f>
        <v>-19</v>
      </c>
    </row>
    <row r="51" spans="1:16" ht="15.75" x14ac:dyDescent="0.25">
      <c r="A51" s="10" t="s">
        <v>18</v>
      </c>
      <c r="B51" s="16" t="s">
        <v>101</v>
      </c>
      <c r="C51" s="18" t="s">
        <v>67</v>
      </c>
      <c r="D51" s="18" t="s">
        <v>30</v>
      </c>
      <c r="E51" s="16">
        <v>50</v>
      </c>
      <c r="F51" s="17">
        <v>46041</v>
      </c>
      <c r="G51" s="10" t="s">
        <v>615</v>
      </c>
      <c r="H51" s="10">
        <f t="shared" si="0"/>
        <v>15</v>
      </c>
      <c r="I51" s="10">
        <f ca="1">IF(AND(F51&lt;&gt;"", J51&lt;&gt;""), NETWORKDAYS(TODAY(), J51-1, FESTIVOS!A$1:A$55), "")</f>
        <v>-83</v>
      </c>
      <c r="J51" s="11">
        <f>IF(AND(F51&lt;&gt;"", H51&lt;&gt;""), WORKDAY(F51, H51, FESTIVOS!A$1:A$55), "")</f>
        <v>46062</v>
      </c>
      <c r="K51" s="10" t="s">
        <v>656</v>
      </c>
      <c r="L51" s="10">
        <f t="shared" ca="1" si="2"/>
        <v>0</v>
      </c>
      <c r="M51" s="10" t="str">
        <f t="shared" ca="1" si="1"/>
        <v>Vencido</v>
      </c>
      <c r="N51" s="10" t="s">
        <v>606</v>
      </c>
      <c r="O51" s="11">
        <v>46036</v>
      </c>
      <c r="P51" s="35">
        <f>IF(OR(O51="", J51=""), "", NETWORKDAYS(J51, O51, FESTIVOS!A50:A104))</f>
        <v>-19</v>
      </c>
    </row>
    <row r="52" spans="1:16" ht="15.75" x14ac:dyDescent="0.25">
      <c r="A52" s="10" t="s">
        <v>18</v>
      </c>
      <c r="B52" s="16" t="s">
        <v>102</v>
      </c>
      <c r="C52" s="18" t="s">
        <v>67</v>
      </c>
      <c r="D52" s="18" t="s">
        <v>50</v>
      </c>
      <c r="E52" s="16">
        <v>51</v>
      </c>
      <c r="F52" s="17">
        <v>46041</v>
      </c>
      <c r="G52" s="10" t="s">
        <v>615</v>
      </c>
      <c r="H52" s="10">
        <f t="shared" si="0"/>
        <v>15</v>
      </c>
      <c r="I52" s="10">
        <f ca="1">IF(AND(F52&lt;&gt;"", J52&lt;&gt;""), NETWORKDAYS(TODAY(), J52-1, FESTIVOS!A$1:A$55), "")</f>
        <v>-83</v>
      </c>
      <c r="J52" s="11">
        <f>IF(AND(F52&lt;&gt;"", H52&lt;&gt;""), WORKDAY(F52, H52, FESTIVOS!A$1:A$55), "")</f>
        <v>46062</v>
      </c>
      <c r="K52" s="10" t="s">
        <v>656</v>
      </c>
      <c r="L52" s="10">
        <f t="shared" ca="1" si="2"/>
        <v>0</v>
      </c>
      <c r="M52" s="10" t="str">
        <f t="shared" ca="1" si="1"/>
        <v>Vencido</v>
      </c>
      <c r="N52" s="10" t="s">
        <v>606</v>
      </c>
      <c r="O52" s="11">
        <v>46036</v>
      </c>
      <c r="P52" s="35">
        <f>IF(OR(O52="", J52=""), "", NETWORKDAYS(J52, O52, FESTIVOS!A51:A105))</f>
        <v>-19</v>
      </c>
    </row>
    <row r="53" spans="1:16" ht="15.75" x14ac:dyDescent="0.25">
      <c r="A53" s="10" t="s">
        <v>18</v>
      </c>
      <c r="B53" s="16" t="s">
        <v>103</v>
      </c>
      <c r="C53" s="18" t="s">
        <v>67</v>
      </c>
      <c r="D53" s="18" t="s">
        <v>51</v>
      </c>
      <c r="E53" s="16">
        <v>52</v>
      </c>
      <c r="F53" s="17">
        <v>46041</v>
      </c>
      <c r="G53" s="10" t="s">
        <v>615</v>
      </c>
      <c r="H53" s="10">
        <f t="shared" si="0"/>
        <v>15</v>
      </c>
      <c r="I53" s="10">
        <f ca="1">IF(AND(F53&lt;&gt;"", J53&lt;&gt;""), NETWORKDAYS(TODAY(), J53-1, FESTIVOS!A$1:A$55), "")</f>
        <v>-83</v>
      </c>
      <c r="J53" s="11">
        <f>IF(AND(F53&lt;&gt;"", H53&lt;&gt;""), WORKDAY(F53, H53, FESTIVOS!A$1:A$55), "")</f>
        <v>46062</v>
      </c>
      <c r="K53" s="10" t="s">
        <v>656</v>
      </c>
      <c r="L53" s="10">
        <f t="shared" ca="1" si="2"/>
        <v>0</v>
      </c>
      <c r="M53" s="10" t="str">
        <f t="shared" ca="1" si="1"/>
        <v>Vencido</v>
      </c>
      <c r="N53" s="10" t="s">
        <v>606</v>
      </c>
      <c r="O53" s="11">
        <v>46036</v>
      </c>
      <c r="P53" s="35">
        <f>IF(OR(O53="", J53=""), "", NETWORKDAYS(J53, O53, FESTIVOS!A52:A106))</f>
        <v>-19</v>
      </c>
    </row>
    <row r="54" spans="1:16" ht="15.75" x14ac:dyDescent="0.25">
      <c r="A54" s="10" t="s">
        <v>18</v>
      </c>
      <c r="B54" s="18" t="s">
        <v>104</v>
      </c>
      <c r="C54" s="18" t="s">
        <v>67</v>
      </c>
      <c r="D54" s="18" t="s">
        <v>30</v>
      </c>
      <c r="E54" s="16">
        <v>53</v>
      </c>
      <c r="F54" s="17">
        <v>46041</v>
      </c>
      <c r="G54" s="10" t="s">
        <v>615</v>
      </c>
      <c r="H54" s="10">
        <f t="shared" si="0"/>
        <v>15</v>
      </c>
      <c r="I54" s="10">
        <f ca="1">IF(AND(F54&lt;&gt;"", J54&lt;&gt;""), NETWORKDAYS(TODAY(), J54-1, FESTIVOS!A$1:A$55), "")</f>
        <v>-83</v>
      </c>
      <c r="J54" s="11">
        <f>IF(AND(F54&lt;&gt;"", H54&lt;&gt;""), WORKDAY(F54, H54, FESTIVOS!A$1:A$55), "")</f>
        <v>46062</v>
      </c>
      <c r="K54" s="10" t="s">
        <v>656</v>
      </c>
      <c r="L54" s="10">
        <f t="shared" ca="1" si="2"/>
        <v>0</v>
      </c>
      <c r="M54" s="10" t="str">
        <f t="shared" ca="1" si="1"/>
        <v>Vencido</v>
      </c>
      <c r="N54" s="10" t="s">
        <v>606</v>
      </c>
      <c r="O54" s="11">
        <v>46036</v>
      </c>
      <c r="P54" s="35">
        <f>IF(OR(O54="", J54=""), "", NETWORKDAYS(J54, O54, FESTIVOS!A53:A107))</f>
        <v>-19</v>
      </c>
    </row>
    <row r="55" spans="1:16" ht="15.75" x14ac:dyDescent="0.25">
      <c r="A55" s="10" t="s">
        <v>18</v>
      </c>
      <c r="B55" s="18" t="s">
        <v>105</v>
      </c>
      <c r="C55" s="18" t="s">
        <v>67</v>
      </c>
      <c r="D55" s="18" t="s">
        <v>30</v>
      </c>
      <c r="E55" s="16">
        <v>54</v>
      </c>
      <c r="F55" s="17">
        <v>46041</v>
      </c>
      <c r="G55" s="10" t="s">
        <v>615</v>
      </c>
      <c r="H55" s="10">
        <f t="shared" si="0"/>
        <v>15</v>
      </c>
      <c r="I55" s="10">
        <f ca="1">IF(AND(F55&lt;&gt;"", J55&lt;&gt;""), NETWORKDAYS(TODAY(), J55-1, FESTIVOS!A$1:A$55), "")</f>
        <v>-83</v>
      </c>
      <c r="J55" s="11">
        <f>IF(AND(F55&lt;&gt;"", H55&lt;&gt;""), WORKDAY(F55, H55, FESTIVOS!A$1:A$55), "")</f>
        <v>46062</v>
      </c>
      <c r="K55" s="10" t="s">
        <v>656</v>
      </c>
      <c r="L55" s="10">
        <f t="shared" ca="1" si="2"/>
        <v>0</v>
      </c>
      <c r="M55" s="10" t="str">
        <f t="shared" ca="1" si="1"/>
        <v>Vencido</v>
      </c>
      <c r="N55" s="10" t="s">
        <v>606</v>
      </c>
      <c r="O55" s="11">
        <v>46036</v>
      </c>
      <c r="P55" s="35">
        <f>IF(OR(O55="", J55=""), "", NETWORKDAYS(J55, O55, FESTIVOS!A54:A108))</f>
        <v>-19</v>
      </c>
    </row>
    <row r="56" spans="1:16" ht="15.75" x14ac:dyDescent="0.25">
      <c r="A56" s="10" t="s">
        <v>18</v>
      </c>
      <c r="B56" s="18" t="s">
        <v>106</v>
      </c>
      <c r="C56" s="18" t="s">
        <v>67</v>
      </c>
      <c r="D56" s="18" t="s">
        <v>52</v>
      </c>
      <c r="E56" s="16">
        <v>55</v>
      </c>
      <c r="F56" s="17">
        <v>46041</v>
      </c>
      <c r="G56" s="10" t="s">
        <v>615</v>
      </c>
      <c r="H56" s="10">
        <f t="shared" si="0"/>
        <v>15</v>
      </c>
      <c r="I56" s="10">
        <f ca="1">IF(AND(F56&lt;&gt;"", J56&lt;&gt;""), NETWORKDAYS(TODAY(), J56-1, FESTIVOS!A$1:A$55), "")</f>
        <v>-83</v>
      </c>
      <c r="J56" s="11">
        <f>IF(AND(F56&lt;&gt;"", H56&lt;&gt;""), WORKDAY(F56, H56, FESTIVOS!A$1:A$55), "")</f>
        <v>46062</v>
      </c>
      <c r="K56" s="10" t="s">
        <v>656</v>
      </c>
      <c r="L56" s="10">
        <f t="shared" ca="1" si="2"/>
        <v>0</v>
      </c>
      <c r="M56" s="10" t="str">
        <f t="shared" ca="1" si="1"/>
        <v>Vencido</v>
      </c>
      <c r="N56" s="10" t="s">
        <v>606</v>
      </c>
      <c r="O56" s="11">
        <v>46036</v>
      </c>
      <c r="P56" s="35">
        <f>IF(OR(O56="", J56=""), "", NETWORKDAYS(J56, O56, FESTIVOS!A55:A109))</f>
        <v>-19</v>
      </c>
    </row>
    <row r="57" spans="1:16" ht="15.75" x14ac:dyDescent="0.25">
      <c r="A57" s="10" t="s">
        <v>18</v>
      </c>
      <c r="B57" s="18" t="s">
        <v>107</v>
      </c>
      <c r="C57" s="18" t="s">
        <v>67</v>
      </c>
      <c r="D57" s="18" t="s">
        <v>53</v>
      </c>
      <c r="E57" s="16">
        <v>56</v>
      </c>
      <c r="F57" s="17">
        <v>46042</v>
      </c>
      <c r="G57" s="10" t="s">
        <v>614</v>
      </c>
      <c r="H57" s="10">
        <f t="shared" si="0"/>
        <v>15</v>
      </c>
      <c r="I57" s="10">
        <f ca="1">IF(AND(F57&lt;&gt;"", J57&lt;&gt;""), NETWORKDAYS(TODAY(), J57-1, FESTIVOS!A$1:A$55), "")</f>
        <v>-83</v>
      </c>
      <c r="J57" s="11">
        <f>IF(AND(F57&lt;&gt;"", H57&lt;&gt;""), WORKDAY(F57, H57, FESTIVOS!A$1:A$55), "")</f>
        <v>46063</v>
      </c>
      <c r="K57" s="10" t="s">
        <v>656</v>
      </c>
      <c r="L57" s="10">
        <f t="shared" ca="1" si="2"/>
        <v>0</v>
      </c>
      <c r="M57" s="10" t="str">
        <f t="shared" ca="1" si="1"/>
        <v>Vencido</v>
      </c>
      <c r="N57" s="10" t="s">
        <v>606</v>
      </c>
      <c r="O57" s="11">
        <v>46036</v>
      </c>
      <c r="P57" s="35">
        <f>IF(OR(O57="", J57=""), "", NETWORKDAYS(J57, O57, FESTIVOS!A56:A110))</f>
        <v>-20</v>
      </c>
    </row>
    <row r="58" spans="1:16" ht="31.5" x14ac:dyDescent="0.25">
      <c r="A58" s="10" t="s">
        <v>18</v>
      </c>
      <c r="B58" s="18" t="s">
        <v>108</v>
      </c>
      <c r="C58" s="18" t="s">
        <v>67</v>
      </c>
      <c r="D58" s="18" t="s">
        <v>54</v>
      </c>
      <c r="E58" s="16">
        <v>57</v>
      </c>
      <c r="F58" s="17">
        <v>46042</v>
      </c>
      <c r="G58" s="10" t="s">
        <v>617</v>
      </c>
      <c r="H58" s="10">
        <f t="shared" si="0"/>
        <v>15</v>
      </c>
      <c r="I58" s="10">
        <f ca="1">IF(AND(F58&lt;&gt;"", J58&lt;&gt;""), NETWORKDAYS(TODAY(), J58-1, FESTIVOS!A$1:A$55), "")</f>
        <v>-83</v>
      </c>
      <c r="J58" s="11">
        <f>IF(AND(F58&lt;&gt;"", H58&lt;&gt;""), WORKDAY(F58, H58, FESTIVOS!A$1:A$55), "")</f>
        <v>46063</v>
      </c>
      <c r="K58" s="10" t="s">
        <v>656</v>
      </c>
      <c r="L58" s="10">
        <f t="shared" ca="1" si="2"/>
        <v>0</v>
      </c>
      <c r="M58" s="10" t="str">
        <f t="shared" ca="1" si="1"/>
        <v>Vencido</v>
      </c>
      <c r="N58" s="10" t="s">
        <v>606</v>
      </c>
      <c r="O58" s="11">
        <v>46036</v>
      </c>
      <c r="P58" s="35">
        <f>IF(OR(O58="", J58=""), "", NETWORKDAYS(J58, O58, FESTIVOS!A57:A111))</f>
        <v>-20</v>
      </c>
    </row>
    <row r="59" spans="1:16" ht="31.5" x14ac:dyDescent="0.25">
      <c r="A59" s="10" t="s">
        <v>18</v>
      </c>
      <c r="B59" s="18" t="s">
        <v>109</v>
      </c>
      <c r="C59" s="18" t="s">
        <v>110</v>
      </c>
      <c r="D59" s="18" t="s">
        <v>55</v>
      </c>
      <c r="E59" s="16">
        <v>58</v>
      </c>
      <c r="F59" s="17">
        <v>46042</v>
      </c>
      <c r="G59" s="10" t="s">
        <v>646</v>
      </c>
      <c r="H59" s="10">
        <f t="shared" si="0"/>
        <v>15</v>
      </c>
      <c r="I59" s="10">
        <f ca="1">IF(AND(F59&lt;&gt;"", J59&lt;&gt;""), NETWORKDAYS(TODAY(), J59-1, FESTIVOS!A$1:A$55), "")</f>
        <v>-83</v>
      </c>
      <c r="J59" s="11">
        <f>IF(AND(F59&lt;&gt;"", H59&lt;&gt;""), WORKDAY(F59, H59, FESTIVOS!A$1:A$55), "")</f>
        <v>46063</v>
      </c>
      <c r="K59" s="10" t="s">
        <v>656</v>
      </c>
      <c r="L59" s="10">
        <f t="shared" ca="1" si="2"/>
        <v>0</v>
      </c>
      <c r="M59" s="10" t="str">
        <f t="shared" ca="1" si="1"/>
        <v>Vencido</v>
      </c>
      <c r="N59" s="10" t="s">
        <v>606</v>
      </c>
      <c r="O59" s="11">
        <v>46036</v>
      </c>
      <c r="P59" s="35">
        <f>IF(OR(O59="", J59=""), "", NETWORKDAYS(J59, O59, FESTIVOS!A58:A112))</f>
        <v>-20</v>
      </c>
    </row>
    <row r="60" spans="1:16" ht="47.25" x14ac:dyDescent="0.25">
      <c r="A60" s="10" t="s">
        <v>18</v>
      </c>
      <c r="B60" s="18" t="s">
        <v>111</v>
      </c>
      <c r="C60" s="18" t="s">
        <v>112</v>
      </c>
      <c r="D60" s="18" t="s">
        <v>113</v>
      </c>
      <c r="E60" s="16">
        <v>59</v>
      </c>
      <c r="F60" s="17">
        <v>46042</v>
      </c>
      <c r="G60" s="10" t="s">
        <v>617</v>
      </c>
      <c r="H60" s="10">
        <f t="shared" si="0"/>
        <v>15</v>
      </c>
      <c r="I60" s="10">
        <f ca="1">IF(AND(F60&lt;&gt;"", J60&lt;&gt;""), NETWORKDAYS(TODAY(), J60-1, FESTIVOS!A$1:A$55), "")</f>
        <v>-83</v>
      </c>
      <c r="J60" s="11">
        <f>IF(AND(F60&lt;&gt;"", H60&lt;&gt;""), WORKDAY(F60, H60, FESTIVOS!A$1:A$55), "")</f>
        <v>46063</v>
      </c>
      <c r="K60" s="10" t="s">
        <v>656</v>
      </c>
      <c r="L60" s="10">
        <f t="shared" ca="1" si="2"/>
        <v>0</v>
      </c>
      <c r="M60" s="10" t="str">
        <f t="shared" ca="1" si="1"/>
        <v>Vencido</v>
      </c>
      <c r="N60" s="10" t="s">
        <v>606</v>
      </c>
      <c r="O60" s="11">
        <v>46036</v>
      </c>
      <c r="P60" s="35">
        <f>IF(OR(O60="", J60=""), "", NETWORKDAYS(J60, O60, FESTIVOS!A59:A113))</f>
        <v>-20</v>
      </c>
    </row>
    <row r="61" spans="1:16" ht="15.75" x14ac:dyDescent="0.25">
      <c r="A61" s="10" t="s">
        <v>18</v>
      </c>
      <c r="B61" s="18" t="s">
        <v>114</v>
      </c>
      <c r="C61" s="18" t="s">
        <v>84</v>
      </c>
      <c r="D61" s="18" t="s">
        <v>39</v>
      </c>
      <c r="E61" s="16">
        <v>60</v>
      </c>
      <c r="F61" s="17">
        <v>46042</v>
      </c>
      <c r="G61" s="10" t="s">
        <v>615</v>
      </c>
      <c r="H61" s="10">
        <f t="shared" si="0"/>
        <v>15</v>
      </c>
      <c r="I61" s="10">
        <f ca="1">IF(AND(F61&lt;&gt;"", J61&lt;&gt;""), NETWORKDAYS(TODAY(), J61-1, FESTIVOS!A$1:A$55), "")</f>
        <v>-83</v>
      </c>
      <c r="J61" s="11">
        <f>IF(AND(F61&lt;&gt;"", H61&lt;&gt;""), WORKDAY(F61, H61, FESTIVOS!A$1:A$55), "")</f>
        <v>46063</v>
      </c>
      <c r="K61" s="10" t="s">
        <v>656</v>
      </c>
      <c r="L61" s="10">
        <f t="shared" ca="1" si="2"/>
        <v>0</v>
      </c>
      <c r="M61" s="10" t="str">
        <f t="shared" ca="1" si="1"/>
        <v>Vencido</v>
      </c>
      <c r="N61" s="10" t="s">
        <v>606</v>
      </c>
      <c r="O61" s="11">
        <v>46036</v>
      </c>
      <c r="P61" s="35">
        <f>IF(OR(O61="", J61=""), "", NETWORKDAYS(J61, O61, FESTIVOS!A60:A114))</f>
        <v>-20</v>
      </c>
    </row>
    <row r="62" spans="1:16" ht="15.75" x14ac:dyDescent="0.25">
      <c r="A62" s="10" t="s">
        <v>18</v>
      </c>
      <c r="B62" s="18" t="s">
        <v>114</v>
      </c>
      <c r="C62" s="18" t="s">
        <v>84</v>
      </c>
      <c r="D62" s="18" t="s">
        <v>39</v>
      </c>
      <c r="E62" s="16">
        <v>61</v>
      </c>
      <c r="F62" s="17">
        <v>46042</v>
      </c>
      <c r="G62" s="10" t="s">
        <v>615</v>
      </c>
      <c r="H62" s="10">
        <f t="shared" si="0"/>
        <v>15</v>
      </c>
      <c r="I62" s="10">
        <f ca="1">IF(AND(F62&lt;&gt;"", J62&lt;&gt;""), NETWORKDAYS(TODAY(), J62-1, FESTIVOS!A$1:A$55), "")</f>
        <v>-83</v>
      </c>
      <c r="J62" s="11">
        <f>IF(AND(F62&lt;&gt;"", H62&lt;&gt;""), WORKDAY(F62, H62, FESTIVOS!A$1:A$55), "")</f>
        <v>46063</v>
      </c>
      <c r="K62" s="10" t="s">
        <v>656</v>
      </c>
      <c r="L62" s="10">
        <f t="shared" ca="1" si="2"/>
        <v>0</v>
      </c>
      <c r="M62" s="10" t="str">
        <f t="shared" ca="1" si="1"/>
        <v>Vencido</v>
      </c>
      <c r="N62" s="10" t="s">
        <v>606</v>
      </c>
      <c r="O62" s="11">
        <v>46036</v>
      </c>
      <c r="P62" s="35">
        <f>IF(OR(O62="", J62=""), "", NETWORKDAYS(J62, O62, FESTIVOS!A61:A115))</f>
        <v>-20</v>
      </c>
    </row>
    <row r="63" spans="1:16" ht="15.75" x14ac:dyDescent="0.25">
      <c r="A63" s="10" t="s">
        <v>18</v>
      </c>
      <c r="B63" s="18" t="s">
        <v>114</v>
      </c>
      <c r="C63" s="18" t="s">
        <v>84</v>
      </c>
      <c r="D63" s="18" t="s">
        <v>39</v>
      </c>
      <c r="E63" s="16">
        <v>62</v>
      </c>
      <c r="F63" s="17">
        <v>46042</v>
      </c>
      <c r="G63" s="10" t="s">
        <v>615</v>
      </c>
      <c r="H63" s="10">
        <f t="shared" si="0"/>
        <v>15</v>
      </c>
      <c r="I63" s="10">
        <f ca="1">IF(AND(F63&lt;&gt;"", J63&lt;&gt;""), NETWORKDAYS(TODAY(), J63-1, FESTIVOS!A$1:A$55), "")</f>
        <v>-83</v>
      </c>
      <c r="J63" s="11">
        <f>IF(AND(F63&lt;&gt;"", H63&lt;&gt;""), WORKDAY(F63, H63, FESTIVOS!A$1:A$55), "")</f>
        <v>46063</v>
      </c>
      <c r="K63" s="10" t="s">
        <v>656</v>
      </c>
      <c r="L63" s="10">
        <f t="shared" ca="1" si="2"/>
        <v>0</v>
      </c>
      <c r="M63" s="10" t="str">
        <f t="shared" ca="1" si="1"/>
        <v>Vencido</v>
      </c>
      <c r="N63" s="10" t="s">
        <v>606</v>
      </c>
      <c r="O63" s="11">
        <v>46036</v>
      </c>
      <c r="P63" s="35">
        <f>IF(OR(O63="", J63=""), "", NETWORKDAYS(J63, O63, FESTIVOS!A62:A116))</f>
        <v>-20</v>
      </c>
    </row>
    <row r="64" spans="1:16" ht="15.75" x14ac:dyDescent="0.25">
      <c r="A64" s="10" t="s">
        <v>18</v>
      </c>
      <c r="B64" s="18" t="s">
        <v>114</v>
      </c>
      <c r="C64" s="18" t="s">
        <v>84</v>
      </c>
      <c r="D64" s="18" t="s">
        <v>39</v>
      </c>
      <c r="E64" s="16">
        <v>63</v>
      </c>
      <c r="F64" s="17">
        <v>46042</v>
      </c>
      <c r="G64" s="10" t="s">
        <v>615</v>
      </c>
      <c r="H64" s="10">
        <f t="shared" si="0"/>
        <v>15</v>
      </c>
      <c r="I64" s="10">
        <f ca="1">IF(AND(F64&lt;&gt;"", J64&lt;&gt;""), NETWORKDAYS(TODAY(), J64-1, FESTIVOS!A$1:A$55), "")</f>
        <v>-83</v>
      </c>
      <c r="J64" s="11">
        <f>IF(AND(F64&lt;&gt;"", H64&lt;&gt;""), WORKDAY(F64, H64, FESTIVOS!A$1:A$55), "")</f>
        <v>46063</v>
      </c>
      <c r="K64" s="10" t="s">
        <v>656</v>
      </c>
      <c r="L64" s="10">
        <f t="shared" ca="1" si="2"/>
        <v>0</v>
      </c>
      <c r="M64" s="10" t="str">
        <f t="shared" ca="1" si="1"/>
        <v>Vencido</v>
      </c>
      <c r="N64" s="10" t="s">
        <v>606</v>
      </c>
      <c r="O64" s="11">
        <v>46036</v>
      </c>
      <c r="P64" s="35">
        <f>IF(OR(O64="", J64=""), "", NETWORKDAYS(J64, O64, FESTIVOS!A63:A117))</f>
        <v>-20</v>
      </c>
    </row>
    <row r="65" spans="1:16" ht="15.75" x14ac:dyDescent="0.25">
      <c r="A65" s="10" t="s">
        <v>18</v>
      </c>
      <c r="B65" s="18" t="s">
        <v>114</v>
      </c>
      <c r="C65" s="18" t="s">
        <v>84</v>
      </c>
      <c r="D65" s="18" t="s">
        <v>39</v>
      </c>
      <c r="E65" s="16">
        <v>64</v>
      </c>
      <c r="F65" s="17">
        <v>46042</v>
      </c>
      <c r="G65" s="10" t="s">
        <v>615</v>
      </c>
      <c r="H65" s="10">
        <f t="shared" si="0"/>
        <v>15</v>
      </c>
      <c r="I65" s="10">
        <f ca="1">IF(AND(F65&lt;&gt;"", J65&lt;&gt;""), NETWORKDAYS(TODAY(), J65-1, FESTIVOS!A$1:A$55), "")</f>
        <v>-83</v>
      </c>
      <c r="J65" s="11">
        <f>IF(AND(F65&lt;&gt;"", H65&lt;&gt;""), WORKDAY(F65, H65, FESTIVOS!A$1:A$55), "")</f>
        <v>46063</v>
      </c>
      <c r="K65" s="10" t="s">
        <v>656</v>
      </c>
      <c r="L65" s="10">
        <f t="shared" ca="1" si="2"/>
        <v>0</v>
      </c>
      <c r="M65" s="10" t="str">
        <f t="shared" ca="1" si="1"/>
        <v>Vencido</v>
      </c>
      <c r="N65" s="10" t="s">
        <v>606</v>
      </c>
      <c r="O65" s="11">
        <v>46036</v>
      </c>
      <c r="P65" s="35">
        <f>IF(OR(O65="", J65=""), "", NETWORKDAYS(J65, O65, FESTIVOS!A64:A118))</f>
        <v>-20</v>
      </c>
    </row>
    <row r="66" spans="1:16" ht="15.75" x14ac:dyDescent="0.25">
      <c r="A66" s="10" t="s">
        <v>18</v>
      </c>
      <c r="B66" s="18" t="s">
        <v>114</v>
      </c>
      <c r="C66" s="18" t="s">
        <v>84</v>
      </c>
      <c r="D66" s="18" t="s">
        <v>39</v>
      </c>
      <c r="E66" s="16">
        <v>65</v>
      </c>
      <c r="F66" s="17">
        <v>46042</v>
      </c>
      <c r="G66" s="10" t="s">
        <v>615</v>
      </c>
      <c r="H66" s="10">
        <f t="shared" ref="H66:H129" si="3">IF(A66="INFORMACIÓN O DOCUMENTOS", 10, IF(A66="CONSULTA", 30, IF(A66="FACTURACIÓN Y COBROS", 15, IF(A66="VINCULACIÓN Y DESVINCULACIÓN", 15, IF(A66="NO ES DE NUESTRA COMPETENCIA", 5, IF(A66="OTRO", 15, ""))))))</f>
        <v>15</v>
      </c>
      <c r="I66" s="10">
        <f ca="1">IF(AND(F66&lt;&gt;"", J66&lt;&gt;""), NETWORKDAYS(TODAY(), J66-1, FESTIVOS!A$1:A$55), "")</f>
        <v>-83</v>
      </c>
      <c r="J66" s="11">
        <f>IF(AND(F66&lt;&gt;"", H66&lt;&gt;""), WORKDAY(F66, H66, FESTIVOS!A$1:A$55), "")</f>
        <v>46063</v>
      </c>
      <c r="K66" s="10" t="s">
        <v>656</v>
      </c>
      <c r="L66" s="10">
        <f t="shared" ref="L66:L129" ca="1" si="4">IF(I66="", "", MAX(0, I66 - (TODAY() - TODAY())))</f>
        <v>0</v>
      </c>
      <c r="M66" s="10" t="str">
        <f t="shared" ref="M66:M129" ca="1" si="5">IF(OR(I66="", H66=""), "", IF(I66&lt;0, "Vencido", IF(I66&gt;(H66/2), "Supere la mitad", "Bajo la mitad")))</f>
        <v>Vencido</v>
      </c>
      <c r="N66" s="10" t="s">
        <v>606</v>
      </c>
      <c r="O66" s="11">
        <v>46036</v>
      </c>
      <c r="P66" s="35">
        <f>IF(OR(O66="", J66=""), "", NETWORKDAYS(J66, O66, FESTIVOS!A65:A119))</f>
        <v>-20</v>
      </c>
    </row>
    <row r="67" spans="1:16" ht="15.75" x14ac:dyDescent="0.25">
      <c r="A67" s="10" t="s">
        <v>18</v>
      </c>
      <c r="B67" s="18" t="s">
        <v>114</v>
      </c>
      <c r="C67" s="18" t="s">
        <v>84</v>
      </c>
      <c r="D67" s="18" t="s">
        <v>39</v>
      </c>
      <c r="E67" s="16">
        <v>66</v>
      </c>
      <c r="F67" s="17">
        <v>46042</v>
      </c>
      <c r="G67" s="10" t="s">
        <v>615</v>
      </c>
      <c r="H67" s="10">
        <f t="shared" si="3"/>
        <v>15</v>
      </c>
      <c r="I67" s="10">
        <f ca="1">IF(AND(F67&lt;&gt;"", J67&lt;&gt;""), NETWORKDAYS(TODAY(), J67-1, FESTIVOS!A$1:A$55), "")</f>
        <v>-83</v>
      </c>
      <c r="J67" s="11">
        <f>IF(AND(F67&lt;&gt;"", H67&lt;&gt;""), WORKDAY(F67, H67, FESTIVOS!A$1:A$55), "")</f>
        <v>46063</v>
      </c>
      <c r="K67" s="10" t="s">
        <v>656</v>
      </c>
      <c r="L67" s="10">
        <f t="shared" ca="1" si="4"/>
        <v>0</v>
      </c>
      <c r="M67" s="10" t="str">
        <f t="shared" ca="1" si="5"/>
        <v>Vencido</v>
      </c>
      <c r="N67" s="10" t="s">
        <v>606</v>
      </c>
      <c r="O67" s="11">
        <v>46036</v>
      </c>
      <c r="P67" s="35">
        <f>IF(OR(O67="", J67=""), "", NETWORKDAYS(J67, O67, FESTIVOS!A66:A120))</f>
        <v>-20</v>
      </c>
    </row>
    <row r="68" spans="1:16" ht="15.75" x14ac:dyDescent="0.25">
      <c r="A68" s="10" t="s">
        <v>18</v>
      </c>
      <c r="B68" s="18" t="s">
        <v>114</v>
      </c>
      <c r="C68" s="18" t="s">
        <v>84</v>
      </c>
      <c r="D68" s="18" t="s">
        <v>39</v>
      </c>
      <c r="E68" s="16">
        <v>67</v>
      </c>
      <c r="F68" s="17">
        <v>46042</v>
      </c>
      <c r="G68" s="10" t="s">
        <v>615</v>
      </c>
      <c r="H68" s="10">
        <f t="shared" si="3"/>
        <v>15</v>
      </c>
      <c r="I68" s="10">
        <f ca="1">IF(AND(F68&lt;&gt;"", J68&lt;&gt;""), NETWORKDAYS(TODAY(), J68-1, FESTIVOS!A$1:A$55), "")</f>
        <v>-83</v>
      </c>
      <c r="J68" s="11">
        <f>IF(AND(F68&lt;&gt;"", H68&lt;&gt;""), WORKDAY(F68, H68, FESTIVOS!A$1:A$55), "")</f>
        <v>46063</v>
      </c>
      <c r="K68" s="10" t="s">
        <v>656</v>
      </c>
      <c r="L68" s="10">
        <f t="shared" ca="1" si="4"/>
        <v>0</v>
      </c>
      <c r="M68" s="10" t="str">
        <f t="shared" ca="1" si="5"/>
        <v>Vencido</v>
      </c>
      <c r="N68" s="10" t="s">
        <v>606</v>
      </c>
      <c r="O68" s="11">
        <v>46036</v>
      </c>
      <c r="P68" s="35">
        <f>IF(OR(O68="", J68=""), "", NETWORKDAYS(J68, O68, FESTIVOS!A67:A121))</f>
        <v>-20</v>
      </c>
    </row>
    <row r="69" spans="1:16" ht="15.75" x14ac:dyDescent="0.25">
      <c r="A69" s="10" t="s">
        <v>18</v>
      </c>
      <c r="B69" s="18" t="s">
        <v>115</v>
      </c>
      <c r="C69" s="18" t="s">
        <v>67</v>
      </c>
      <c r="D69" s="18" t="s">
        <v>116</v>
      </c>
      <c r="E69" s="16">
        <v>68</v>
      </c>
      <c r="F69" s="17">
        <v>46042</v>
      </c>
      <c r="G69" s="10" t="s">
        <v>614</v>
      </c>
      <c r="H69" s="10">
        <f t="shared" si="3"/>
        <v>15</v>
      </c>
      <c r="I69" s="10">
        <f ca="1">IF(AND(F69&lt;&gt;"", J69&lt;&gt;""), NETWORKDAYS(TODAY(), J69-1, FESTIVOS!A$1:A$55), "")</f>
        <v>-83</v>
      </c>
      <c r="J69" s="11">
        <f>IF(AND(F69&lt;&gt;"", H69&lt;&gt;""), WORKDAY(F69, H69, FESTIVOS!A$1:A$55), "")</f>
        <v>46063</v>
      </c>
      <c r="K69" s="10" t="s">
        <v>656</v>
      </c>
      <c r="L69" s="10">
        <f t="shared" ca="1" si="4"/>
        <v>0</v>
      </c>
      <c r="M69" s="10" t="str">
        <f t="shared" ca="1" si="5"/>
        <v>Vencido</v>
      </c>
      <c r="N69" s="10" t="s">
        <v>606</v>
      </c>
      <c r="O69" s="11">
        <v>46036</v>
      </c>
      <c r="P69" s="35">
        <f>IF(OR(O69="", J69=""), "", NETWORKDAYS(J69, O69, FESTIVOS!A68:A122))</f>
        <v>-20</v>
      </c>
    </row>
    <row r="70" spans="1:16" ht="15.75" x14ac:dyDescent="0.25">
      <c r="A70" s="10" t="s">
        <v>18</v>
      </c>
      <c r="B70" s="18" t="s">
        <v>117</v>
      </c>
      <c r="C70" s="18" t="s">
        <v>67</v>
      </c>
      <c r="D70" s="18" t="s">
        <v>118</v>
      </c>
      <c r="E70" s="16">
        <v>69</v>
      </c>
      <c r="F70" s="17">
        <v>46042</v>
      </c>
      <c r="G70" s="10" t="s">
        <v>614</v>
      </c>
      <c r="H70" s="10">
        <f t="shared" si="3"/>
        <v>15</v>
      </c>
      <c r="I70" s="10">
        <f ca="1">IF(AND(F70&lt;&gt;"", J70&lt;&gt;""), NETWORKDAYS(TODAY(), J70-1, FESTIVOS!A$1:A$55), "")</f>
        <v>-83</v>
      </c>
      <c r="J70" s="11">
        <f>IF(AND(F70&lt;&gt;"", H70&lt;&gt;""), WORKDAY(F70, H70, FESTIVOS!A$1:A$55), "")</f>
        <v>46063</v>
      </c>
      <c r="K70" s="10" t="s">
        <v>656</v>
      </c>
      <c r="L70" s="10">
        <f t="shared" ca="1" si="4"/>
        <v>0</v>
      </c>
      <c r="M70" s="10" t="str">
        <f t="shared" ca="1" si="5"/>
        <v>Vencido</v>
      </c>
      <c r="N70" s="10" t="s">
        <v>606</v>
      </c>
      <c r="O70" s="11">
        <v>46036</v>
      </c>
      <c r="P70" s="35">
        <f>IF(OR(O70="", J70=""), "", NETWORKDAYS(J70, O70, FESTIVOS!A69:A123))</f>
        <v>-20</v>
      </c>
    </row>
    <row r="71" spans="1:16" ht="31.5" x14ac:dyDescent="0.25">
      <c r="A71" s="10" t="s">
        <v>18</v>
      </c>
      <c r="B71" s="18" t="s">
        <v>89</v>
      </c>
      <c r="C71" s="18" t="s">
        <v>90</v>
      </c>
      <c r="D71" s="18" t="s">
        <v>119</v>
      </c>
      <c r="E71" s="16">
        <v>70</v>
      </c>
      <c r="F71" s="17">
        <v>46042</v>
      </c>
      <c r="G71" s="10" t="s">
        <v>617</v>
      </c>
      <c r="H71" s="10">
        <f t="shared" si="3"/>
        <v>15</v>
      </c>
      <c r="I71" s="10">
        <f ca="1">IF(AND(F71&lt;&gt;"", J71&lt;&gt;""), NETWORKDAYS(TODAY(), J71-1, FESTIVOS!A$1:A$55), "")</f>
        <v>-83</v>
      </c>
      <c r="J71" s="11">
        <f>IF(AND(F71&lt;&gt;"", H71&lt;&gt;""), WORKDAY(F71, H71, FESTIVOS!A$1:A$55), "")</f>
        <v>46063</v>
      </c>
      <c r="K71" s="10" t="s">
        <v>656</v>
      </c>
      <c r="L71" s="10">
        <f t="shared" ca="1" si="4"/>
        <v>0</v>
      </c>
      <c r="M71" s="10" t="str">
        <f t="shared" ca="1" si="5"/>
        <v>Vencido</v>
      </c>
      <c r="N71" s="10" t="s">
        <v>606</v>
      </c>
      <c r="O71" s="11">
        <v>46036</v>
      </c>
      <c r="P71" s="35">
        <f>IF(OR(O71="", J71=""), "", NETWORKDAYS(J71, O71, FESTIVOS!A70:A124))</f>
        <v>-20</v>
      </c>
    </row>
    <row r="72" spans="1:16" ht="63" x14ac:dyDescent="0.25">
      <c r="A72" s="10" t="s">
        <v>18</v>
      </c>
      <c r="B72" s="18" t="s">
        <v>120</v>
      </c>
      <c r="C72" s="18" t="s">
        <v>88</v>
      </c>
      <c r="D72" s="18" t="s">
        <v>121</v>
      </c>
      <c r="E72" s="16">
        <v>71</v>
      </c>
      <c r="F72" s="17">
        <v>46042</v>
      </c>
      <c r="G72" s="10" t="s">
        <v>615</v>
      </c>
      <c r="H72" s="10">
        <f t="shared" si="3"/>
        <v>15</v>
      </c>
      <c r="I72" s="10">
        <f ca="1">IF(AND(F72&lt;&gt;"", J72&lt;&gt;""), NETWORKDAYS(TODAY(), J72-1, FESTIVOS!A$1:A$55), "")</f>
        <v>-83</v>
      </c>
      <c r="J72" s="11">
        <f>IF(AND(F72&lt;&gt;"", H72&lt;&gt;""), WORKDAY(F72, H72, FESTIVOS!A$1:A$55), "")</f>
        <v>46063</v>
      </c>
      <c r="K72" s="10" t="s">
        <v>656</v>
      </c>
      <c r="L72" s="10">
        <f t="shared" ca="1" si="4"/>
        <v>0</v>
      </c>
      <c r="M72" s="10" t="str">
        <f t="shared" ca="1" si="5"/>
        <v>Vencido</v>
      </c>
      <c r="N72" s="10" t="s">
        <v>606</v>
      </c>
      <c r="O72" s="11">
        <v>46036</v>
      </c>
      <c r="P72" s="35">
        <f>IF(OR(O72="", J72=""), "", NETWORKDAYS(J72, O72, FESTIVOS!A71:A125))</f>
        <v>-20</v>
      </c>
    </row>
    <row r="73" spans="1:16" ht="15.75" x14ac:dyDescent="0.25">
      <c r="A73" s="10" t="s">
        <v>18</v>
      </c>
      <c r="B73" s="18" t="s">
        <v>56</v>
      </c>
      <c r="C73" s="18" t="s">
        <v>84</v>
      </c>
      <c r="D73" s="18" t="s">
        <v>45</v>
      </c>
      <c r="E73" s="16">
        <v>72</v>
      </c>
      <c r="F73" s="17">
        <v>46042</v>
      </c>
      <c r="G73" s="10" t="s">
        <v>615</v>
      </c>
      <c r="H73" s="10">
        <f t="shared" si="3"/>
        <v>15</v>
      </c>
      <c r="I73" s="10">
        <f ca="1">IF(AND(F73&lt;&gt;"", J73&lt;&gt;""), NETWORKDAYS(TODAY(), J73-1, FESTIVOS!A$1:A$55), "")</f>
        <v>-83</v>
      </c>
      <c r="J73" s="11">
        <f>IF(AND(F73&lt;&gt;"", H73&lt;&gt;""), WORKDAY(F73, H73, FESTIVOS!A$1:A$55), "")</f>
        <v>46063</v>
      </c>
      <c r="K73" s="10" t="s">
        <v>656</v>
      </c>
      <c r="L73" s="10">
        <f t="shared" ca="1" si="4"/>
        <v>0</v>
      </c>
      <c r="M73" s="10" t="str">
        <f t="shared" ca="1" si="5"/>
        <v>Vencido</v>
      </c>
      <c r="N73" s="10" t="s">
        <v>606</v>
      </c>
      <c r="O73" s="11">
        <v>46036</v>
      </c>
      <c r="P73" s="35">
        <f>IF(OR(O73="", J73=""), "", NETWORKDAYS(J73, O73, FESTIVOS!A72:A126))</f>
        <v>-20</v>
      </c>
    </row>
    <row r="74" spans="1:16" ht="15.75" x14ac:dyDescent="0.25">
      <c r="A74" s="10" t="s">
        <v>18</v>
      </c>
      <c r="B74" s="18" t="s">
        <v>122</v>
      </c>
      <c r="C74" s="18" t="s">
        <v>67</v>
      </c>
      <c r="D74" s="18" t="s">
        <v>123</v>
      </c>
      <c r="E74" s="16">
        <v>73</v>
      </c>
      <c r="F74" s="17">
        <v>46042</v>
      </c>
      <c r="G74" s="10" t="s">
        <v>615</v>
      </c>
      <c r="H74" s="10">
        <f t="shared" si="3"/>
        <v>15</v>
      </c>
      <c r="I74" s="10">
        <f ca="1">IF(AND(F74&lt;&gt;"", J74&lt;&gt;""), NETWORKDAYS(TODAY(), J74-1, FESTIVOS!A$1:A$55), "")</f>
        <v>-83</v>
      </c>
      <c r="J74" s="11">
        <f>IF(AND(F74&lt;&gt;"", H74&lt;&gt;""), WORKDAY(F74, H74, FESTIVOS!A$1:A$55), "")</f>
        <v>46063</v>
      </c>
      <c r="K74" s="10" t="s">
        <v>656</v>
      </c>
      <c r="L74" s="10">
        <f t="shared" ca="1" si="4"/>
        <v>0</v>
      </c>
      <c r="M74" s="10" t="str">
        <f t="shared" ca="1" si="5"/>
        <v>Vencido</v>
      </c>
      <c r="N74" s="10" t="s">
        <v>606</v>
      </c>
      <c r="O74" s="11">
        <v>46036</v>
      </c>
      <c r="P74" s="35">
        <f>IF(OR(O74="", J74=""), "", NETWORKDAYS(J74, O74, FESTIVOS!A73:A127))</f>
        <v>-20</v>
      </c>
    </row>
    <row r="75" spans="1:16" ht="31.5" x14ac:dyDescent="0.25">
      <c r="A75" s="10" t="s">
        <v>18</v>
      </c>
      <c r="B75" s="18" t="s">
        <v>89</v>
      </c>
      <c r="C75" s="18" t="s">
        <v>90</v>
      </c>
      <c r="D75" s="18" t="s">
        <v>124</v>
      </c>
      <c r="E75" s="16">
        <v>74</v>
      </c>
      <c r="F75" s="17">
        <v>46043</v>
      </c>
      <c r="G75" s="10" t="s">
        <v>617</v>
      </c>
      <c r="H75" s="10">
        <f t="shared" si="3"/>
        <v>15</v>
      </c>
      <c r="I75" s="10">
        <f ca="1">IF(AND(F75&lt;&gt;"", J75&lt;&gt;""), NETWORKDAYS(TODAY(), J75-1, FESTIVOS!A$1:A$55), "")</f>
        <v>-82</v>
      </c>
      <c r="J75" s="11">
        <f>IF(AND(F75&lt;&gt;"", H75&lt;&gt;""), WORKDAY(F75, H75, FESTIVOS!A$1:A$55), "")</f>
        <v>46064</v>
      </c>
      <c r="K75" s="10" t="s">
        <v>656</v>
      </c>
      <c r="L75" s="10">
        <f t="shared" ca="1" si="4"/>
        <v>0</v>
      </c>
      <c r="M75" s="10" t="str">
        <f t="shared" ca="1" si="5"/>
        <v>Vencido</v>
      </c>
      <c r="N75" s="10" t="s">
        <v>606</v>
      </c>
      <c r="O75" s="11">
        <v>46036</v>
      </c>
      <c r="P75" s="35">
        <f>IF(OR(O75="", J75=""), "", NETWORKDAYS(J75, O75, FESTIVOS!A74:A128))</f>
        <v>-21</v>
      </c>
    </row>
    <row r="76" spans="1:16" ht="15.75" x14ac:dyDescent="0.25">
      <c r="A76" s="10" t="s">
        <v>18</v>
      </c>
      <c r="B76" s="21" t="s">
        <v>125</v>
      </c>
      <c r="C76" s="18" t="s">
        <v>67</v>
      </c>
      <c r="D76" s="18" t="s">
        <v>30</v>
      </c>
      <c r="E76" s="16">
        <v>75</v>
      </c>
      <c r="F76" s="17">
        <v>46043</v>
      </c>
      <c r="G76" s="10" t="s">
        <v>615</v>
      </c>
      <c r="H76" s="10">
        <f t="shared" si="3"/>
        <v>15</v>
      </c>
      <c r="I76" s="10">
        <f ca="1">IF(AND(F76&lt;&gt;"", J76&lt;&gt;""), NETWORKDAYS(TODAY(), J76-1, FESTIVOS!A$1:A$55), "")</f>
        <v>-82</v>
      </c>
      <c r="J76" s="11">
        <f>IF(AND(F76&lt;&gt;"", H76&lt;&gt;""), WORKDAY(F76, H76, FESTIVOS!A$1:A$55), "")</f>
        <v>46064</v>
      </c>
      <c r="K76" s="10" t="s">
        <v>656</v>
      </c>
      <c r="L76" s="10">
        <f t="shared" ca="1" si="4"/>
        <v>0</v>
      </c>
      <c r="M76" s="10" t="str">
        <f t="shared" ca="1" si="5"/>
        <v>Vencido</v>
      </c>
      <c r="N76" s="10" t="s">
        <v>606</v>
      </c>
      <c r="O76" s="11">
        <v>46036</v>
      </c>
      <c r="P76" s="35">
        <f>IF(OR(O76="", J76=""), "", NETWORKDAYS(J76, O76, FESTIVOS!A75:A129))</f>
        <v>-21</v>
      </c>
    </row>
    <row r="77" spans="1:16" ht="47.25" x14ac:dyDescent="0.25">
      <c r="A77" s="10" t="s">
        <v>18</v>
      </c>
      <c r="B77" s="18" t="s">
        <v>126</v>
      </c>
      <c r="C77" s="18" t="s">
        <v>67</v>
      </c>
      <c r="D77" s="18" t="s">
        <v>127</v>
      </c>
      <c r="E77" s="16">
        <v>76</v>
      </c>
      <c r="F77" s="17">
        <v>46043</v>
      </c>
      <c r="G77" s="10" t="s">
        <v>615</v>
      </c>
      <c r="H77" s="10">
        <f t="shared" si="3"/>
        <v>15</v>
      </c>
      <c r="I77" s="10">
        <f ca="1">IF(AND(F77&lt;&gt;"", J77&lt;&gt;""), NETWORKDAYS(TODAY(), J77-1, FESTIVOS!A$1:A$55), "")</f>
        <v>-82</v>
      </c>
      <c r="J77" s="11">
        <f>IF(AND(F77&lt;&gt;"", H77&lt;&gt;""), WORKDAY(F77, H77, FESTIVOS!A$1:A$55), "")</f>
        <v>46064</v>
      </c>
      <c r="K77" s="10" t="s">
        <v>656</v>
      </c>
      <c r="L77" s="10">
        <f t="shared" ca="1" si="4"/>
        <v>0</v>
      </c>
      <c r="M77" s="10" t="str">
        <f t="shared" ca="1" si="5"/>
        <v>Vencido</v>
      </c>
      <c r="N77" s="10" t="s">
        <v>606</v>
      </c>
      <c r="O77" s="11">
        <v>46036</v>
      </c>
      <c r="P77" s="35">
        <f>IF(OR(O77="", J77=""), "", NETWORKDAYS(J77, O77, FESTIVOS!A76:A130))</f>
        <v>-21</v>
      </c>
    </row>
    <row r="78" spans="1:16" ht="15.75" x14ac:dyDescent="0.25">
      <c r="A78" s="10" t="s">
        <v>18</v>
      </c>
      <c r="B78" s="18" t="s">
        <v>128</v>
      </c>
      <c r="C78" s="18" t="s">
        <v>67</v>
      </c>
      <c r="D78" s="18" t="s">
        <v>118</v>
      </c>
      <c r="E78" s="16">
        <v>77</v>
      </c>
      <c r="F78" s="17">
        <v>46043</v>
      </c>
      <c r="G78" s="10" t="s">
        <v>614</v>
      </c>
      <c r="H78" s="10">
        <f t="shared" si="3"/>
        <v>15</v>
      </c>
      <c r="I78" s="10">
        <f ca="1">IF(AND(F78&lt;&gt;"", J78&lt;&gt;""), NETWORKDAYS(TODAY(), J78-1, FESTIVOS!A$1:A$55), "")</f>
        <v>-82</v>
      </c>
      <c r="J78" s="11">
        <f>IF(AND(F78&lt;&gt;"", H78&lt;&gt;""), WORKDAY(F78, H78, FESTIVOS!A$1:A$55), "")</f>
        <v>46064</v>
      </c>
      <c r="K78" s="10" t="s">
        <v>656</v>
      </c>
      <c r="L78" s="10">
        <f t="shared" ca="1" si="4"/>
        <v>0</v>
      </c>
      <c r="M78" s="10" t="str">
        <f t="shared" ca="1" si="5"/>
        <v>Vencido</v>
      </c>
      <c r="N78" s="10" t="s">
        <v>606</v>
      </c>
      <c r="O78" s="11">
        <v>46036</v>
      </c>
      <c r="P78" s="35">
        <f>IF(OR(O78="", J78=""), "", NETWORKDAYS(J78, O78, FESTIVOS!A77:A131))</f>
        <v>-21</v>
      </c>
    </row>
    <row r="79" spans="1:16" ht="31.5" x14ac:dyDescent="0.25">
      <c r="A79" s="10" t="s">
        <v>18</v>
      </c>
      <c r="B79" s="18" t="s">
        <v>129</v>
      </c>
      <c r="C79" s="18" t="s">
        <v>67</v>
      </c>
      <c r="D79" s="18" t="s">
        <v>130</v>
      </c>
      <c r="E79" s="16">
        <v>78</v>
      </c>
      <c r="F79" s="17">
        <v>46043</v>
      </c>
      <c r="G79" s="10" t="s">
        <v>614</v>
      </c>
      <c r="H79" s="10">
        <f t="shared" si="3"/>
        <v>15</v>
      </c>
      <c r="I79" s="10">
        <f ca="1">IF(AND(F79&lt;&gt;"", J79&lt;&gt;""), NETWORKDAYS(TODAY(), J79-1, FESTIVOS!A$1:A$55), "")</f>
        <v>-82</v>
      </c>
      <c r="J79" s="11">
        <f>IF(AND(F79&lt;&gt;"", H79&lt;&gt;""), WORKDAY(F79, H79, FESTIVOS!A$1:A$55), "")</f>
        <v>46064</v>
      </c>
      <c r="K79" s="10" t="s">
        <v>656</v>
      </c>
      <c r="L79" s="10">
        <f t="shared" ca="1" si="4"/>
        <v>0</v>
      </c>
      <c r="M79" s="10" t="str">
        <f t="shared" ca="1" si="5"/>
        <v>Vencido</v>
      </c>
      <c r="N79" s="10" t="s">
        <v>606</v>
      </c>
      <c r="O79" s="11">
        <v>46036</v>
      </c>
      <c r="P79" s="35">
        <f>IF(OR(O79="", J79=""), "", NETWORKDAYS(J79, O79, FESTIVOS!A78:A132))</f>
        <v>-21</v>
      </c>
    </row>
    <row r="80" spans="1:16" ht="15.75" x14ac:dyDescent="0.25">
      <c r="A80" s="10" t="s">
        <v>18</v>
      </c>
      <c r="B80" s="18" t="s">
        <v>131</v>
      </c>
      <c r="C80" s="18" t="s">
        <v>67</v>
      </c>
      <c r="D80" s="18" t="s">
        <v>132</v>
      </c>
      <c r="E80" s="16">
        <v>79</v>
      </c>
      <c r="F80" s="17">
        <v>46043</v>
      </c>
      <c r="G80" s="10" t="s">
        <v>615</v>
      </c>
      <c r="H80" s="10">
        <f t="shared" si="3"/>
        <v>15</v>
      </c>
      <c r="I80" s="10">
        <f ca="1">IF(AND(F80&lt;&gt;"", J80&lt;&gt;""), NETWORKDAYS(TODAY(), J80-1, FESTIVOS!A$1:A$55), "")</f>
        <v>-82</v>
      </c>
      <c r="J80" s="11">
        <f>IF(AND(F80&lt;&gt;"", H80&lt;&gt;""), WORKDAY(F80, H80, FESTIVOS!A$1:A$55), "")</f>
        <v>46064</v>
      </c>
      <c r="K80" s="10" t="s">
        <v>656</v>
      </c>
      <c r="L80" s="10">
        <f t="shared" ca="1" si="4"/>
        <v>0</v>
      </c>
      <c r="M80" s="10" t="str">
        <f t="shared" ca="1" si="5"/>
        <v>Vencido</v>
      </c>
      <c r="N80" s="10" t="s">
        <v>606</v>
      </c>
      <c r="O80" s="11">
        <v>46036</v>
      </c>
      <c r="P80" s="35">
        <f>IF(OR(O80="", J80=""), "", NETWORKDAYS(J80, O80, FESTIVOS!A79:A133))</f>
        <v>-21</v>
      </c>
    </row>
    <row r="81" spans="1:16" ht="15.75" x14ac:dyDescent="0.25">
      <c r="A81" s="10" t="s">
        <v>18</v>
      </c>
      <c r="B81" s="18" t="s">
        <v>75</v>
      </c>
      <c r="C81" s="18" t="s">
        <v>76</v>
      </c>
      <c r="D81" s="18" t="s">
        <v>133</v>
      </c>
      <c r="E81" s="16">
        <v>80</v>
      </c>
      <c r="F81" s="17">
        <v>46043</v>
      </c>
      <c r="G81" s="10" t="s">
        <v>615</v>
      </c>
      <c r="H81" s="10">
        <f t="shared" si="3"/>
        <v>15</v>
      </c>
      <c r="I81" s="10">
        <f ca="1">IF(AND(F81&lt;&gt;"", J81&lt;&gt;""), NETWORKDAYS(TODAY(), J81-1, FESTIVOS!A$1:A$55), "")</f>
        <v>-82</v>
      </c>
      <c r="J81" s="11">
        <f>IF(AND(F81&lt;&gt;"", H81&lt;&gt;""), WORKDAY(F81, H81, FESTIVOS!A$1:A$55), "")</f>
        <v>46064</v>
      </c>
      <c r="K81" s="10" t="s">
        <v>656</v>
      </c>
      <c r="L81" s="10">
        <f t="shared" ca="1" si="4"/>
        <v>0</v>
      </c>
      <c r="M81" s="10" t="str">
        <f t="shared" ca="1" si="5"/>
        <v>Vencido</v>
      </c>
      <c r="N81" s="10" t="s">
        <v>606</v>
      </c>
      <c r="O81" s="11">
        <v>46036</v>
      </c>
      <c r="P81" s="35">
        <f>IF(OR(O81="", J81=""), "", NETWORKDAYS(J81, O81, FESTIVOS!A80:A134))</f>
        <v>-21</v>
      </c>
    </row>
    <row r="82" spans="1:16" ht="15.75" x14ac:dyDescent="0.25">
      <c r="A82" s="10" t="s">
        <v>18</v>
      </c>
      <c r="B82" s="18" t="s">
        <v>134</v>
      </c>
      <c r="C82" s="18" t="s">
        <v>67</v>
      </c>
      <c r="D82" s="18" t="s">
        <v>135</v>
      </c>
      <c r="E82" s="16">
        <v>81</v>
      </c>
      <c r="F82" s="17">
        <v>46043</v>
      </c>
      <c r="G82" s="10" t="s">
        <v>615</v>
      </c>
      <c r="H82" s="10">
        <f t="shared" si="3"/>
        <v>15</v>
      </c>
      <c r="I82" s="10">
        <f ca="1">IF(AND(F82&lt;&gt;"", J82&lt;&gt;""), NETWORKDAYS(TODAY(), J82-1, FESTIVOS!A$1:A$55), "")</f>
        <v>-82</v>
      </c>
      <c r="J82" s="11">
        <f>IF(AND(F82&lt;&gt;"", H82&lt;&gt;""), WORKDAY(F82, H82, FESTIVOS!A$1:A$55), "")</f>
        <v>46064</v>
      </c>
      <c r="K82" s="10" t="s">
        <v>656</v>
      </c>
      <c r="L82" s="10">
        <f t="shared" ca="1" si="4"/>
        <v>0</v>
      </c>
      <c r="M82" s="10" t="str">
        <f t="shared" ca="1" si="5"/>
        <v>Vencido</v>
      </c>
      <c r="N82" s="10" t="s">
        <v>606</v>
      </c>
      <c r="O82" s="11">
        <v>46036</v>
      </c>
      <c r="P82" s="35">
        <f>IF(OR(O82="", J82=""), "", NETWORKDAYS(J82, O82, FESTIVOS!A81:A135))</f>
        <v>-21</v>
      </c>
    </row>
    <row r="83" spans="1:16" ht="15.75" x14ac:dyDescent="0.25">
      <c r="A83" s="10" t="s">
        <v>18</v>
      </c>
      <c r="B83" s="18" t="s">
        <v>136</v>
      </c>
      <c r="C83" s="18" t="s">
        <v>67</v>
      </c>
      <c r="D83" s="18" t="s">
        <v>137</v>
      </c>
      <c r="E83" s="16">
        <v>82</v>
      </c>
      <c r="F83" s="17">
        <v>46043</v>
      </c>
      <c r="G83" s="10" t="s">
        <v>615</v>
      </c>
      <c r="H83" s="10">
        <f t="shared" si="3"/>
        <v>15</v>
      </c>
      <c r="I83" s="10">
        <f ca="1">IF(AND(F83&lt;&gt;"", J83&lt;&gt;""), NETWORKDAYS(TODAY(), J83-1, FESTIVOS!A$1:A$55), "")</f>
        <v>-82</v>
      </c>
      <c r="J83" s="11">
        <f>IF(AND(F83&lt;&gt;"", H83&lt;&gt;""), WORKDAY(F83, H83, FESTIVOS!A$1:A$55), "")</f>
        <v>46064</v>
      </c>
      <c r="K83" s="10" t="s">
        <v>656</v>
      </c>
      <c r="L83" s="10">
        <f t="shared" ca="1" si="4"/>
        <v>0</v>
      </c>
      <c r="M83" s="10" t="str">
        <f t="shared" ca="1" si="5"/>
        <v>Vencido</v>
      </c>
      <c r="N83" s="10" t="s">
        <v>606</v>
      </c>
      <c r="O83" s="11">
        <v>46036</v>
      </c>
      <c r="P83" s="35">
        <f>IF(OR(O83="", J83=""), "", NETWORKDAYS(J83, O83, FESTIVOS!A82:A136))</f>
        <v>-21</v>
      </c>
    </row>
    <row r="84" spans="1:16" ht="15.75" x14ac:dyDescent="0.25">
      <c r="A84" s="10" t="s">
        <v>18</v>
      </c>
      <c r="B84" s="18" t="s">
        <v>62</v>
      </c>
      <c r="C84" s="18" t="s">
        <v>67</v>
      </c>
      <c r="D84" s="18" t="s">
        <v>138</v>
      </c>
      <c r="E84" s="16">
        <v>83</v>
      </c>
      <c r="F84" s="17">
        <v>46043</v>
      </c>
      <c r="G84" s="10" t="s">
        <v>615</v>
      </c>
      <c r="H84" s="10">
        <f t="shared" si="3"/>
        <v>15</v>
      </c>
      <c r="I84" s="10">
        <f ca="1">IF(AND(F84&lt;&gt;"", J84&lt;&gt;""), NETWORKDAYS(TODAY(), J84-1, FESTIVOS!A$1:A$55), "")</f>
        <v>-82</v>
      </c>
      <c r="J84" s="11">
        <f>IF(AND(F84&lt;&gt;"", H84&lt;&gt;""), WORKDAY(F84, H84, FESTIVOS!A$1:A$55), "")</f>
        <v>46064</v>
      </c>
      <c r="K84" s="10" t="s">
        <v>656</v>
      </c>
      <c r="L84" s="10">
        <f t="shared" ca="1" si="4"/>
        <v>0</v>
      </c>
      <c r="M84" s="10" t="str">
        <f t="shared" ca="1" si="5"/>
        <v>Vencido</v>
      </c>
      <c r="N84" s="10" t="s">
        <v>606</v>
      </c>
      <c r="O84" s="11">
        <v>46036</v>
      </c>
      <c r="P84" s="35">
        <f>IF(OR(O84="", J84=""), "", NETWORKDAYS(J84, O84, FESTIVOS!A83:A137))</f>
        <v>-21</v>
      </c>
    </row>
    <row r="85" spans="1:16" ht="31.5" x14ac:dyDescent="0.25">
      <c r="A85" s="10" t="s">
        <v>18</v>
      </c>
      <c r="B85" s="18" t="s">
        <v>107</v>
      </c>
      <c r="C85" s="18" t="s">
        <v>67</v>
      </c>
      <c r="D85" s="18" t="s">
        <v>139</v>
      </c>
      <c r="E85" s="16">
        <v>84</v>
      </c>
      <c r="F85" s="17">
        <v>46043</v>
      </c>
      <c r="G85" s="10" t="s">
        <v>614</v>
      </c>
      <c r="H85" s="10">
        <f t="shared" si="3"/>
        <v>15</v>
      </c>
      <c r="I85" s="10">
        <f ca="1">IF(AND(F85&lt;&gt;"", J85&lt;&gt;""), NETWORKDAYS(TODAY(), J85-1, FESTIVOS!A$1:A$55), "")</f>
        <v>-82</v>
      </c>
      <c r="J85" s="11">
        <f>IF(AND(F85&lt;&gt;"", H85&lt;&gt;""), WORKDAY(F85, H85, FESTIVOS!A$1:A$55), "")</f>
        <v>46064</v>
      </c>
      <c r="K85" s="10" t="s">
        <v>656</v>
      </c>
      <c r="L85" s="10">
        <f t="shared" ca="1" si="4"/>
        <v>0</v>
      </c>
      <c r="M85" s="10" t="str">
        <f t="shared" ca="1" si="5"/>
        <v>Vencido</v>
      </c>
      <c r="N85" s="10" t="s">
        <v>606</v>
      </c>
      <c r="O85" s="11">
        <v>46036</v>
      </c>
      <c r="P85" s="35">
        <f>IF(OR(O85="", J85=""), "", NETWORKDAYS(J85, O85, FESTIVOS!A84:A138))</f>
        <v>-21</v>
      </c>
    </row>
    <row r="86" spans="1:16" ht="15.75" x14ac:dyDescent="0.25">
      <c r="A86" s="10" t="s">
        <v>18</v>
      </c>
      <c r="B86" s="18" t="s">
        <v>140</v>
      </c>
      <c r="C86" s="18" t="s">
        <v>67</v>
      </c>
      <c r="D86" s="18" t="s">
        <v>44</v>
      </c>
      <c r="E86" s="16">
        <v>85</v>
      </c>
      <c r="F86" s="17">
        <v>46044</v>
      </c>
      <c r="G86" s="10" t="s">
        <v>615</v>
      </c>
      <c r="H86" s="10">
        <f t="shared" si="3"/>
        <v>15</v>
      </c>
      <c r="I86" s="10">
        <f ca="1">IF(AND(F86&lt;&gt;"", J86&lt;&gt;""), NETWORKDAYS(TODAY(), J86-1, FESTIVOS!A$1:A$55), "")</f>
        <v>-81</v>
      </c>
      <c r="J86" s="11">
        <f>IF(AND(F86&lt;&gt;"", H86&lt;&gt;""), WORKDAY(F86, H86, FESTIVOS!A$1:A$55), "")</f>
        <v>46065</v>
      </c>
      <c r="K86" s="10" t="s">
        <v>656</v>
      </c>
      <c r="L86" s="10">
        <f t="shared" ca="1" si="4"/>
        <v>0</v>
      </c>
      <c r="M86" s="10" t="str">
        <f t="shared" ca="1" si="5"/>
        <v>Vencido</v>
      </c>
      <c r="N86" s="10" t="s">
        <v>606</v>
      </c>
      <c r="O86" s="11">
        <v>46036</v>
      </c>
      <c r="P86" s="35">
        <f>IF(OR(O86="", J86=""), "", NETWORKDAYS(J86, O86, FESTIVOS!A85:A139))</f>
        <v>-22</v>
      </c>
    </row>
    <row r="87" spans="1:16" ht="15.75" x14ac:dyDescent="0.25">
      <c r="A87" s="10" t="s">
        <v>18</v>
      </c>
      <c r="B87" s="18" t="s">
        <v>141</v>
      </c>
      <c r="C87" s="18" t="s">
        <v>67</v>
      </c>
      <c r="D87" s="18" t="s">
        <v>142</v>
      </c>
      <c r="E87" s="16">
        <v>86</v>
      </c>
      <c r="F87" s="17">
        <v>46044</v>
      </c>
      <c r="G87" s="10" t="s">
        <v>615</v>
      </c>
      <c r="H87" s="10">
        <f t="shared" si="3"/>
        <v>15</v>
      </c>
      <c r="I87" s="10">
        <f ca="1">IF(AND(F87&lt;&gt;"", J87&lt;&gt;""), NETWORKDAYS(TODAY(), J87-1, FESTIVOS!A$1:A$55), "")</f>
        <v>-81</v>
      </c>
      <c r="J87" s="11">
        <f>IF(AND(F87&lt;&gt;"", H87&lt;&gt;""), WORKDAY(F87, H87, FESTIVOS!A$1:A$55), "")</f>
        <v>46065</v>
      </c>
      <c r="K87" s="10" t="s">
        <v>656</v>
      </c>
      <c r="L87" s="10">
        <f t="shared" ca="1" si="4"/>
        <v>0</v>
      </c>
      <c r="M87" s="10" t="str">
        <f t="shared" ca="1" si="5"/>
        <v>Vencido</v>
      </c>
      <c r="N87" s="10" t="s">
        <v>606</v>
      </c>
      <c r="O87" s="11">
        <v>46036</v>
      </c>
      <c r="P87" s="35">
        <f>IF(OR(O87="", J87=""), "", NETWORKDAYS(J87, O87, FESTIVOS!A86:A140))</f>
        <v>-22</v>
      </c>
    </row>
    <row r="88" spans="1:16" ht="31.5" x14ac:dyDescent="0.25">
      <c r="A88" s="10" t="s">
        <v>18</v>
      </c>
      <c r="B88" s="18" t="s">
        <v>143</v>
      </c>
      <c r="C88" s="22" t="s">
        <v>67</v>
      </c>
      <c r="D88" s="22" t="s">
        <v>144</v>
      </c>
      <c r="E88" s="16">
        <v>87</v>
      </c>
      <c r="F88" s="17">
        <v>46044</v>
      </c>
      <c r="G88" s="10" t="s">
        <v>615</v>
      </c>
      <c r="H88" s="10">
        <f t="shared" si="3"/>
        <v>15</v>
      </c>
      <c r="I88" s="10">
        <f ca="1">IF(AND(F88&lt;&gt;"", J88&lt;&gt;""), NETWORKDAYS(TODAY(), J88-1, FESTIVOS!A$1:A$55), "")</f>
        <v>-81</v>
      </c>
      <c r="J88" s="11">
        <f>IF(AND(F88&lt;&gt;"", H88&lt;&gt;""), WORKDAY(F88, H88, FESTIVOS!A$1:A$55), "")</f>
        <v>46065</v>
      </c>
      <c r="K88" s="10" t="s">
        <v>656</v>
      </c>
      <c r="L88" s="10">
        <f t="shared" ca="1" si="4"/>
        <v>0</v>
      </c>
      <c r="M88" s="10" t="str">
        <f t="shared" ca="1" si="5"/>
        <v>Vencido</v>
      </c>
      <c r="N88" s="10" t="s">
        <v>606</v>
      </c>
      <c r="O88" s="11">
        <v>46036</v>
      </c>
      <c r="P88" s="35">
        <f>IF(OR(O88="", J88=""), "", NETWORKDAYS(J88, O88, FESTIVOS!A87:A141))</f>
        <v>-22</v>
      </c>
    </row>
    <row r="89" spans="1:16" ht="15.75" x14ac:dyDescent="0.25">
      <c r="A89" s="10" t="s">
        <v>18</v>
      </c>
      <c r="B89" s="16" t="s">
        <v>145</v>
      </c>
      <c r="C89" s="18" t="s">
        <v>67</v>
      </c>
      <c r="D89" s="18" t="s">
        <v>146</v>
      </c>
      <c r="E89" s="16">
        <v>88</v>
      </c>
      <c r="F89" s="17">
        <v>46044</v>
      </c>
      <c r="G89" s="10" t="s">
        <v>615</v>
      </c>
      <c r="H89" s="10">
        <f t="shared" si="3"/>
        <v>15</v>
      </c>
      <c r="I89" s="10">
        <f ca="1">IF(AND(F89&lt;&gt;"", J89&lt;&gt;""), NETWORKDAYS(TODAY(), J89-1, FESTIVOS!A$1:A$55), "")</f>
        <v>-81</v>
      </c>
      <c r="J89" s="11">
        <f>IF(AND(F89&lt;&gt;"", H89&lt;&gt;""), WORKDAY(F89, H89, FESTIVOS!A$1:A$55), "")</f>
        <v>46065</v>
      </c>
      <c r="K89" s="10" t="s">
        <v>656</v>
      </c>
      <c r="L89" s="10">
        <f t="shared" ca="1" si="4"/>
        <v>0</v>
      </c>
      <c r="M89" s="10" t="str">
        <f t="shared" ca="1" si="5"/>
        <v>Vencido</v>
      </c>
      <c r="N89" s="10" t="s">
        <v>606</v>
      </c>
      <c r="O89" s="11">
        <v>46036</v>
      </c>
      <c r="P89" s="35">
        <f>IF(OR(O89="", J89=""), "", NETWORKDAYS(J89, O89, FESTIVOS!A88:A142))</f>
        <v>-22</v>
      </c>
    </row>
    <row r="90" spans="1:16" ht="15.75" x14ac:dyDescent="0.25">
      <c r="A90" s="10" t="s">
        <v>18</v>
      </c>
      <c r="B90" s="18" t="s">
        <v>147</v>
      </c>
      <c r="C90" s="18" t="s">
        <v>67</v>
      </c>
      <c r="D90" s="18" t="s">
        <v>148</v>
      </c>
      <c r="E90" s="16">
        <v>89</v>
      </c>
      <c r="F90" s="17">
        <v>46044</v>
      </c>
      <c r="G90" s="10" t="s">
        <v>614</v>
      </c>
      <c r="H90" s="10">
        <f t="shared" si="3"/>
        <v>15</v>
      </c>
      <c r="I90" s="10">
        <f ca="1">IF(AND(F90&lt;&gt;"", J90&lt;&gt;""), NETWORKDAYS(TODAY(), J90-1, FESTIVOS!A$1:A$55), "")</f>
        <v>-81</v>
      </c>
      <c r="J90" s="11">
        <f>IF(AND(F90&lt;&gt;"", H90&lt;&gt;""), WORKDAY(F90, H90, FESTIVOS!A$1:A$55), "")</f>
        <v>46065</v>
      </c>
      <c r="K90" s="10" t="s">
        <v>656</v>
      </c>
      <c r="L90" s="10">
        <f t="shared" ca="1" si="4"/>
        <v>0</v>
      </c>
      <c r="M90" s="10" t="str">
        <f t="shared" ca="1" si="5"/>
        <v>Vencido</v>
      </c>
      <c r="N90" s="10" t="s">
        <v>606</v>
      </c>
      <c r="O90" s="11">
        <v>46036</v>
      </c>
      <c r="P90" s="35">
        <f>IF(OR(O90="", J90=""), "", NETWORKDAYS(J90, O90, FESTIVOS!A89:A143))</f>
        <v>-22</v>
      </c>
    </row>
    <row r="91" spans="1:16" ht="15.75" x14ac:dyDescent="0.25">
      <c r="A91" s="10" t="s">
        <v>18</v>
      </c>
      <c r="B91" s="18" t="s">
        <v>149</v>
      </c>
      <c r="C91" s="18" t="s">
        <v>67</v>
      </c>
      <c r="D91" s="18" t="s">
        <v>150</v>
      </c>
      <c r="E91" s="16">
        <v>90</v>
      </c>
      <c r="F91" s="17">
        <v>46044</v>
      </c>
      <c r="G91" s="10" t="s">
        <v>615</v>
      </c>
      <c r="H91" s="10">
        <f t="shared" si="3"/>
        <v>15</v>
      </c>
      <c r="I91" s="10">
        <f ca="1">IF(AND(F91&lt;&gt;"", J91&lt;&gt;""), NETWORKDAYS(TODAY(), J91-1, FESTIVOS!A$1:A$55), "")</f>
        <v>-81</v>
      </c>
      <c r="J91" s="11">
        <f>IF(AND(F91&lt;&gt;"", H91&lt;&gt;""), WORKDAY(F91, H91, FESTIVOS!A$1:A$55), "")</f>
        <v>46065</v>
      </c>
      <c r="K91" s="10" t="s">
        <v>656</v>
      </c>
      <c r="L91" s="10">
        <f t="shared" ca="1" si="4"/>
        <v>0</v>
      </c>
      <c r="M91" s="10" t="str">
        <f t="shared" ca="1" si="5"/>
        <v>Vencido</v>
      </c>
      <c r="N91" s="10" t="s">
        <v>606</v>
      </c>
      <c r="O91" s="11">
        <v>46036</v>
      </c>
      <c r="P91" s="35">
        <f>IF(OR(O91="", J91=""), "", NETWORKDAYS(J91, O91, FESTIVOS!A90:A144))</f>
        <v>-22</v>
      </c>
    </row>
    <row r="92" spans="1:16" ht="15.75" x14ac:dyDescent="0.25">
      <c r="A92" s="10" t="s">
        <v>18</v>
      </c>
      <c r="B92" s="18" t="s">
        <v>151</v>
      </c>
      <c r="C92" s="18" t="s">
        <v>67</v>
      </c>
      <c r="D92" s="18" t="s">
        <v>152</v>
      </c>
      <c r="E92" s="16">
        <v>91</v>
      </c>
      <c r="F92" s="17">
        <v>46045</v>
      </c>
      <c r="G92" s="10" t="s">
        <v>614</v>
      </c>
      <c r="H92" s="10">
        <f t="shared" si="3"/>
        <v>15</v>
      </c>
      <c r="I92" s="10">
        <f ca="1">IF(AND(F92&lt;&gt;"", J92&lt;&gt;""), NETWORKDAYS(TODAY(), J92-1, FESTIVOS!A$1:A$55), "")</f>
        <v>-80</v>
      </c>
      <c r="J92" s="11">
        <f>IF(AND(F92&lt;&gt;"", H92&lt;&gt;""), WORKDAY(F92, H92, FESTIVOS!A$1:A$55), "")</f>
        <v>46066</v>
      </c>
      <c r="K92" s="10" t="s">
        <v>656</v>
      </c>
      <c r="L92" s="10">
        <f t="shared" ca="1" si="4"/>
        <v>0</v>
      </c>
      <c r="M92" s="10" t="str">
        <f t="shared" ca="1" si="5"/>
        <v>Vencido</v>
      </c>
      <c r="N92" s="10" t="s">
        <v>606</v>
      </c>
      <c r="O92" s="11">
        <v>46036</v>
      </c>
      <c r="P92" s="35">
        <f>IF(OR(O92="", J92=""), "", NETWORKDAYS(J92, O92, FESTIVOS!A91:A145))</f>
        <v>-23</v>
      </c>
    </row>
    <row r="93" spans="1:16" ht="47.25" x14ac:dyDescent="0.25">
      <c r="A93" s="10" t="s">
        <v>18</v>
      </c>
      <c r="B93" s="18" t="s">
        <v>153</v>
      </c>
      <c r="C93" s="18" t="s">
        <v>154</v>
      </c>
      <c r="D93" s="18" t="s">
        <v>155</v>
      </c>
      <c r="E93" s="16">
        <v>92</v>
      </c>
      <c r="F93" s="17">
        <v>46045</v>
      </c>
      <c r="G93" s="10" t="s">
        <v>617</v>
      </c>
      <c r="H93" s="10">
        <f t="shared" si="3"/>
        <v>15</v>
      </c>
      <c r="I93" s="10">
        <f ca="1">IF(AND(F93&lt;&gt;"", J93&lt;&gt;""), NETWORKDAYS(TODAY(), J93-1, FESTIVOS!A$1:A$55), "")</f>
        <v>-80</v>
      </c>
      <c r="J93" s="11">
        <f>IF(AND(F93&lt;&gt;"", H93&lt;&gt;""), WORKDAY(F93, H93, FESTIVOS!A$1:A$55), "")</f>
        <v>46066</v>
      </c>
      <c r="K93" s="10" t="s">
        <v>656</v>
      </c>
      <c r="L93" s="10">
        <f t="shared" ca="1" si="4"/>
        <v>0</v>
      </c>
      <c r="M93" s="10" t="str">
        <f t="shared" ca="1" si="5"/>
        <v>Vencido</v>
      </c>
      <c r="N93" s="10" t="s">
        <v>606</v>
      </c>
      <c r="O93" s="11">
        <v>46036</v>
      </c>
      <c r="P93" s="35">
        <f>IF(OR(O93="", J93=""), "", NETWORKDAYS(J93, O93, FESTIVOS!A92:A146))</f>
        <v>-23</v>
      </c>
    </row>
    <row r="94" spans="1:16" ht="47.25" x14ac:dyDescent="0.25">
      <c r="A94" s="10" t="s">
        <v>18</v>
      </c>
      <c r="B94" s="18" t="s">
        <v>153</v>
      </c>
      <c r="C94" s="18" t="s">
        <v>154</v>
      </c>
      <c r="D94" s="18" t="s">
        <v>155</v>
      </c>
      <c r="E94" s="16">
        <v>93</v>
      </c>
      <c r="F94" s="17">
        <v>46045</v>
      </c>
      <c r="G94" s="10" t="s">
        <v>617</v>
      </c>
      <c r="H94" s="10">
        <f t="shared" si="3"/>
        <v>15</v>
      </c>
      <c r="I94" s="10">
        <f ca="1">IF(AND(F94&lt;&gt;"", J94&lt;&gt;""), NETWORKDAYS(TODAY(), J94-1, FESTIVOS!A$1:A$55), "")</f>
        <v>-80</v>
      </c>
      <c r="J94" s="11">
        <f>IF(AND(F94&lt;&gt;"", H94&lt;&gt;""), WORKDAY(F94, H94, FESTIVOS!A$1:A$55), "")</f>
        <v>46066</v>
      </c>
      <c r="K94" s="10" t="s">
        <v>656</v>
      </c>
      <c r="L94" s="10">
        <f t="shared" ca="1" si="4"/>
        <v>0</v>
      </c>
      <c r="M94" s="10" t="str">
        <f t="shared" ca="1" si="5"/>
        <v>Vencido</v>
      </c>
      <c r="N94" s="10" t="s">
        <v>606</v>
      </c>
      <c r="O94" s="11">
        <v>46036</v>
      </c>
      <c r="P94" s="35">
        <f>IF(OR(O94="", J94=""), "", NETWORKDAYS(J94, O94, FESTIVOS!A93:A147))</f>
        <v>-23</v>
      </c>
    </row>
    <row r="95" spans="1:16" ht="15.75" x14ac:dyDescent="0.25">
      <c r="A95" s="10" t="s">
        <v>18</v>
      </c>
      <c r="B95" s="18" t="s">
        <v>156</v>
      </c>
      <c r="C95" s="18" t="s">
        <v>67</v>
      </c>
      <c r="D95" s="18" t="s">
        <v>43</v>
      </c>
      <c r="E95" s="16">
        <v>94</v>
      </c>
      <c r="F95" s="17">
        <v>46045</v>
      </c>
      <c r="G95" s="10" t="s">
        <v>615</v>
      </c>
      <c r="H95" s="10">
        <f t="shared" si="3"/>
        <v>15</v>
      </c>
      <c r="I95" s="10">
        <f ca="1">IF(AND(F95&lt;&gt;"", J95&lt;&gt;""), NETWORKDAYS(TODAY(), J95-1, FESTIVOS!A$1:A$55), "")</f>
        <v>-80</v>
      </c>
      <c r="J95" s="11">
        <f>IF(AND(F95&lt;&gt;"", H95&lt;&gt;""), WORKDAY(F95, H95, FESTIVOS!A$1:A$55), "")</f>
        <v>46066</v>
      </c>
      <c r="K95" s="10" t="s">
        <v>656</v>
      </c>
      <c r="L95" s="10">
        <f t="shared" ca="1" si="4"/>
        <v>0</v>
      </c>
      <c r="M95" s="10" t="str">
        <f t="shared" ca="1" si="5"/>
        <v>Vencido</v>
      </c>
      <c r="N95" s="10" t="s">
        <v>606</v>
      </c>
      <c r="O95" s="11">
        <v>46036</v>
      </c>
      <c r="P95" s="35">
        <f>IF(OR(O95="", J95=""), "", NETWORKDAYS(J95, O95, FESTIVOS!A94:A148))</f>
        <v>-23</v>
      </c>
    </row>
    <row r="96" spans="1:16" ht="47.25" x14ac:dyDescent="0.25">
      <c r="A96" s="10" t="s">
        <v>18</v>
      </c>
      <c r="B96" s="18" t="s">
        <v>157</v>
      </c>
      <c r="C96" s="18" t="s">
        <v>67</v>
      </c>
      <c r="D96" s="18" t="s">
        <v>158</v>
      </c>
      <c r="E96" s="16">
        <v>95</v>
      </c>
      <c r="F96" s="17">
        <v>46045</v>
      </c>
      <c r="G96" s="10" t="s">
        <v>617</v>
      </c>
      <c r="H96" s="10">
        <f t="shared" si="3"/>
        <v>15</v>
      </c>
      <c r="I96" s="10">
        <f ca="1">IF(AND(F96&lt;&gt;"", J96&lt;&gt;""), NETWORKDAYS(TODAY(), J96-1, FESTIVOS!A$1:A$55), "")</f>
        <v>-80</v>
      </c>
      <c r="J96" s="11">
        <f>IF(AND(F96&lt;&gt;"", H96&lt;&gt;""), WORKDAY(F96, H96, FESTIVOS!A$1:A$55), "")</f>
        <v>46066</v>
      </c>
      <c r="K96" s="10" t="s">
        <v>656</v>
      </c>
      <c r="L96" s="10">
        <f t="shared" ca="1" si="4"/>
        <v>0</v>
      </c>
      <c r="M96" s="10" t="str">
        <f t="shared" ca="1" si="5"/>
        <v>Vencido</v>
      </c>
      <c r="N96" s="10" t="s">
        <v>606</v>
      </c>
      <c r="O96" s="11">
        <v>46036</v>
      </c>
      <c r="P96" s="35">
        <f>IF(OR(O96="", J96=""), "", NETWORKDAYS(J96, O96, FESTIVOS!A95:A149))</f>
        <v>-23</v>
      </c>
    </row>
    <row r="97" spans="1:16" ht="47.25" x14ac:dyDescent="0.25">
      <c r="A97" s="10" t="s">
        <v>18</v>
      </c>
      <c r="B97" s="18" t="s">
        <v>159</v>
      </c>
      <c r="C97" s="18" t="s">
        <v>67</v>
      </c>
      <c r="D97" s="18" t="s">
        <v>160</v>
      </c>
      <c r="E97" s="16">
        <v>96</v>
      </c>
      <c r="F97" s="17">
        <v>46045</v>
      </c>
      <c r="G97" s="10" t="s">
        <v>615</v>
      </c>
      <c r="H97" s="10">
        <f t="shared" si="3"/>
        <v>15</v>
      </c>
      <c r="I97" s="10">
        <f ca="1">IF(AND(F97&lt;&gt;"", J97&lt;&gt;""), NETWORKDAYS(TODAY(), J97-1, FESTIVOS!A$1:A$55), "")</f>
        <v>-80</v>
      </c>
      <c r="J97" s="11">
        <f>IF(AND(F97&lt;&gt;"", H97&lt;&gt;""), WORKDAY(F97, H97, FESTIVOS!A$1:A$55), "")</f>
        <v>46066</v>
      </c>
      <c r="K97" s="10" t="s">
        <v>656</v>
      </c>
      <c r="L97" s="10">
        <f t="shared" ca="1" si="4"/>
        <v>0</v>
      </c>
      <c r="M97" s="10" t="str">
        <f t="shared" ca="1" si="5"/>
        <v>Vencido</v>
      </c>
      <c r="N97" s="10" t="s">
        <v>606</v>
      </c>
      <c r="O97" s="11">
        <v>46036</v>
      </c>
      <c r="P97" s="35">
        <f>IF(OR(O97="", J97=""), "", NETWORKDAYS(J97, O97, FESTIVOS!A96:A150))</f>
        <v>-23</v>
      </c>
    </row>
    <row r="98" spans="1:16" ht="63" x14ac:dyDescent="0.25">
      <c r="A98" s="10" t="s">
        <v>18</v>
      </c>
      <c r="B98" s="18" t="s">
        <v>161</v>
      </c>
      <c r="C98" s="18" t="s">
        <v>162</v>
      </c>
      <c r="D98" s="18" t="s">
        <v>163</v>
      </c>
      <c r="E98" s="16">
        <v>97</v>
      </c>
      <c r="F98" s="17">
        <v>46045</v>
      </c>
      <c r="G98" s="10" t="s">
        <v>615</v>
      </c>
      <c r="H98" s="10">
        <f t="shared" si="3"/>
        <v>15</v>
      </c>
      <c r="I98" s="10">
        <f ca="1">IF(AND(F98&lt;&gt;"", J98&lt;&gt;""), NETWORKDAYS(TODAY(), J98-1, FESTIVOS!A$1:A$55), "")</f>
        <v>-80</v>
      </c>
      <c r="J98" s="11">
        <f>IF(AND(F98&lt;&gt;"", H98&lt;&gt;""), WORKDAY(F98, H98, FESTIVOS!A$1:A$55), "")</f>
        <v>46066</v>
      </c>
      <c r="K98" s="10" t="s">
        <v>656</v>
      </c>
      <c r="L98" s="10">
        <f t="shared" ca="1" si="4"/>
        <v>0</v>
      </c>
      <c r="M98" s="10" t="str">
        <f t="shared" ca="1" si="5"/>
        <v>Vencido</v>
      </c>
      <c r="N98" s="10" t="s">
        <v>606</v>
      </c>
      <c r="O98" s="11">
        <v>46036</v>
      </c>
      <c r="P98" s="35">
        <f>IF(OR(O98="", J98=""), "", NETWORKDAYS(J98, O98, FESTIVOS!A97:A151))</f>
        <v>-23</v>
      </c>
    </row>
    <row r="99" spans="1:16" ht="31.5" x14ac:dyDescent="0.25">
      <c r="A99" s="10" t="s">
        <v>18</v>
      </c>
      <c r="B99" s="18" t="s">
        <v>164</v>
      </c>
      <c r="C99" s="18" t="s">
        <v>67</v>
      </c>
      <c r="D99" s="18" t="s">
        <v>165</v>
      </c>
      <c r="E99" s="16">
        <v>98</v>
      </c>
      <c r="F99" s="17">
        <v>46048</v>
      </c>
      <c r="G99" s="10" t="s">
        <v>617</v>
      </c>
      <c r="H99" s="10">
        <f t="shared" si="3"/>
        <v>15</v>
      </c>
      <c r="I99" s="10">
        <f ca="1">IF(AND(F99&lt;&gt;"", J99&lt;&gt;""), NETWORKDAYS(TODAY(), J99-1, FESTIVOS!A$1:A$55), "")</f>
        <v>-78</v>
      </c>
      <c r="J99" s="11">
        <f>IF(AND(F99&lt;&gt;"", H99&lt;&gt;""), WORKDAY(F99, H99, FESTIVOS!A$1:A$55), "")</f>
        <v>46069</v>
      </c>
      <c r="K99" s="10" t="s">
        <v>656</v>
      </c>
      <c r="L99" s="10">
        <f t="shared" ca="1" si="4"/>
        <v>0</v>
      </c>
      <c r="M99" s="10" t="str">
        <f t="shared" ca="1" si="5"/>
        <v>Vencido</v>
      </c>
      <c r="N99" s="10" t="s">
        <v>606</v>
      </c>
      <c r="O99" s="11">
        <v>46036</v>
      </c>
      <c r="P99" s="35">
        <f>IF(OR(O99="", J99=""), "", NETWORKDAYS(J99, O99, FESTIVOS!A98:A152))</f>
        <v>-24</v>
      </c>
    </row>
    <row r="100" spans="1:16" ht="15.75" x14ac:dyDescent="0.25">
      <c r="A100" s="10" t="s">
        <v>18</v>
      </c>
      <c r="B100" s="18" t="s">
        <v>166</v>
      </c>
      <c r="C100" s="18" t="s">
        <v>67</v>
      </c>
      <c r="D100" s="18" t="s">
        <v>167</v>
      </c>
      <c r="E100" s="16">
        <v>99</v>
      </c>
      <c r="F100" s="17">
        <v>46048</v>
      </c>
      <c r="G100" s="10" t="s">
        <v>614</v>
      </c>
      <c r="H100" s="10">
        <f t="shared" si="3"/>
        <v>15</v>
      </c>
      <c r="I100" s="10">
        <f ca="1">IF(AND(F100&lt;&gt;"", J100&lt;&gt;""), NETWORKDAYS(TODAY(), J100-1, FESTIVOS!A$1:A$55), "")</f>
        <v>-78</v>
      </c>
      <c r="J100" s="11">
        <f>IF(AND(F100&lt;&gt;"", H100&lt;&gt;""), WORKDAY(F100, H100, FESTIVOS!A$1:A$55), "")</f>
        <v>46069</v>
      </c>
      <c r="K100" s="10" t="s">
        <v>656</v>
      </c>
      <c r="L100" s="10">
        <f t="shared" ca="1" si="4"/>
        <v>0</v>
      </c>
      <c r="M100" s="10" t="str">
        <f t="shared" ca="1" si="5"/>
        <v>Vencido</v>
      </c>
      <c r="N100" s="10" t="s">
        <v>606</v>
      </c>
      <c r="O100" s="11">
        <v>46036</v>
      </c>
      <c r="P100" s="35">
        <f>IF(OR(O100="", J100=""), "", NETWORKDAYS(J100, O100, FESTIVOS!A99:A153))</f>
        <v>-24</v>
      </c>
    </row>
    <row r="101" spans="1:16" ht="31.5" x14ac:dyDescent="0.25">
      <c r="A101" s="10" t="s">
        <v>18</v>
      </c>
      <c r="B101" s="18" t="s">
        <v>62</v>
      </c>
      <c r="C101" s="18" t="s">
        <v>88</v>
      </c>
      <c r="D101" s="18" t="s">
        <v>168</v>
      </c>
      <c r="E101" s="16">
        <v>100</v>
      </c>
      <c r="F101" s="17">
        <v>46048</v>
      </c>
      <c r="G101" s="10" t="s">
        <v>615</v>
      </c>
      <c r="H101" s="10">
        <f t="shared" si="3"/>
        <v>15</v>
      </c>
      <c r="I101" s="10">
        <f ca="1">IF(AND(F101&lt;&gt;"", J101&lt;&gt;""), NETWORKDAYS(TODAY(), J101-1, FESTIVOS!A$1:A$55), "")</f>
        <v>-78</v>
      </c>
      <c r="J101" s="11">
        <f>IF(AND(F101&lt;&gt;"", H101&lt;&gt;""), WORKDAY(F101, H101, FESTIVOS!A$1:A$55), "")</f>
        <v>46069</v>
      </c>
      <c r="K101" s="10" t="s">
        <v>656</v>
      </c>
      <c r="L101" s="10">
        <f t="shared" ca="1" si="4"/>
        <v>0</v>
      </c>
      <c r="M101" s="10" t="str">
        <f t="shared" ca="1" si="5"/>
        <v>Vencido</v>
      </c>
      <c r="N101" s="10" t="s">
        <v>606</v>
      </c>
      <c r="O101" s="11">
        <v>46036</v>
      </c>
      <c r="P101" s="35">
        <f>IF(OR(O101="", J101=""), "", NETWORKDAYS(J101, O101, FESTIVOS!A100:A154))</f>
        <v>-24</v>
      </c>
    </row>
    <row r="102" spans="1:16" ht="47.25" x14ac:dyDescent="0.25">
      <c r="A102" s="10" t="s">
        <v>18</v>
      </c>
      <c r="B102" s="18" t="s">
        <v>77</v>
      </c>
      <c r="C102" s="18" t="s">
        <v>169</v>
      </c>
      <c r="D102" s="18" t="s">
        <v>170</v>
      </c>
      <c r="E102" s="16">
        <v>101</v>
      </c>
      <c r="F102" s="17">
        <v>46048</v>
      </c>
      <c r="G102" s="10" t="s">
        <v>615</v>
      </c>
      <c r="H102" s="10">
        <f t="shared" si="3"/>
        <v>15</v>
      </c>
      <c r="I102" s="10">
        <f ca="1">IF(AND(F102&lt;&gt;"", J102&lt;&gt;""), NETWORKDAYS(TODAY(), J102-1, FESTIVOS!A$1:A$55), "")</f>
        <v>-78</v>
      </c>
      <c r="J102" s="11">
        <f>IF(AND(F102&lt;&gt;"", H102&lt;&gt;""), WORKDAY(F102, H102, FESTIVOS!A$1:A$55), "")</f>
        <v>46069</v>
      </c>
      <c r="K102" s="10" t="s">
        <v>656</v>
      </c>
      <c r="L102" s="10">
        <f t="shared" ca="1" si="4"/>
        <v>0</v>
      </c>
      <c r="M102" s="10" t="str">
        <f t="shared" ca="1" si="5"/>
        <v>Vencido</v>
      </c>
      <c r="N102" s="10" t="s">
        <v>606</v>
      </c>
      <c r="O102" s="11">
        <v>46036</v>
      </c>
      <c r="P102" s="35">
        <f>IF(OR(O102="", J102=""), "", NETWORKDAYS(J102, O102, FESTIVOS!A101:A155))</f>
        <v>-24</v>
      </c>
    </row>
    <row r="103" spans="1:16" ht="31.5" x14ac:dyDescent="0.25">
      <c r="A103" s="10" t="s">
        <v>18</v>
      </c>
      <c r="B103" s="18" t="s">
        <v>171</v>
      </c>
      <c r="C103" s="18" t="s">
        <v>67</v>
      </c>
      <c r="D103" s="18" t="s">
        <v>172</v>
      </c>
      <c r="E103" s="16">
        <v>102</v>
      </c>
      <c r="F103" s="17">
        <v>46048</v>
      </c>
      <c r="G103" s="10" t="s">
        <v>615</v>
      </c>
      <c r="H103" s="10">
        <f t="shared" si="3"/>
        <v>15</v>
      </c>
      <c r="I103" s="10">
        <f ca="1">IF(AND(F103&lt;&gt;"", J103&lt;&gt;""), NETWORKDAYS(TODAY(), J103-1, FESTIVOS!A$1:A$55), "")</f>
        <v>-78</v>
      </c>
      <c r="J103" s="11">
        <f>IF(AND(F103&lt;&gt;"", H103&lt;&gt;""), WORKDAY(F103, H103, FESTIVOS!A$1:A$55), "")</f>
        <v>46069</v>
      </c>
      <c r="K103" s="10" t="s">
        <v>656</v>
      </c>
      <c r="L103" s="10">
        <f t="shared" ca="1" si="4"/>
        <v>0</v>
      </c>
      <c r="M103" s="10" t="str">
        <f t="shared" ca="1" si="5"/>
        <v>Vencido</v>
      </c>
      <c r="N103" s="10" t="s">
        <v>606</v>
      </c>
      <c r="O103" s="11">
        <v>46036</v>
      </c>
      <c r="P103" s="35">
        <f>IF(OR(O103="", J103=""), "", NETWORKDAYS(J103, O103, FESTIVOS!A102:A156))</f>
        <v>-24</v>
      </c>
    </row>
    <row r="104" spans="1:16" ht="47.25" x14ac:dyDescent="0.25">
      <c r="A104" s="10" t="s">
        <v>18</v>
      </c>
      <c r="B104" s="18" t="s">
        <v>77</v>
      </c>
      <c r="C104" s="18" t="s">
        <v>67</v>
      </c>
      <c r="D104" s="18" t="s">
        <v>173</v>
      </c>
      <c r="E104" s="16">
        <v>103</v>
      </c>
      <c r="F104" s="17">
        <v>46048</v>
      </c>
      <c r="G104" s="10" t="s">
        <v>615</v>
      </c>
      <c r="H104" s="10">
        <f t="shared" si="3"/>
        <v>15</v>
      </c>
      <c r="I104" s="10">
        <f ca="1">IF(AND(F104&lt;&gt;"", J104&lt;&gt;""), NETWORKDAYS(TODAY(), J104-1, FESTIVOS!A$1:A$55), "")</f>
        <v>-78</v>
      </c>
      <c r="J104" s="11">
        <f>IF(AND(F104&lt;&gt;"", H104&lt;&gt;""), WORKDAY(F104, H104, FESTIVOS!A$1:A$55), "")</f>
        <v>46069</v>
      </c>
      <c r="K104" s="10" t="s">
        <v>656</v>
      </c>
      <c r="L104" s="10">
        <f t="shared" ca="1" si="4"/>
        <v>0</v>
      </c>
      <c r="M104" s="10" t="str">
        <f t="shared" ca="1" si="5"/>
        <v>Vencido</v>
      </c>
      <c r="N104" s="10" t="s">
        <v>606</v>
      </c>
      <c r="O104" s="11">
        <v>46036</v>
      </c>
      <c r="P104" s="35">
        <f>IF(OR(O104="", J104=""), "", NETWORKDAYS(J104, O104, FESTIVOS!A103:A157))</f>
        <v>-24</v>
      </c>
    </row>
    <row r="105" spans="1:16" ht="15.75" x14ac:dyDescent="0.25">
      <c r="A105" s="10" t="s">
        <v>18</v>
      </c>
      <c r="B105" s="18" t="s">
        <v>174</v>
      </c>
      <c r="C105" s="18" t="s">
        <v>67</v>
      </c>
      <c r="D105" s="18" t="s">
        <v>24</v>
      </c>
      <c r="E105" s="16">
        <v>104</v>
      </c>
      <c r="F105" s="17">
        <v>46049</v>
      </c>
      <c r="G105" s="10" t="s">
        <v>615</v>
      </c>
      <c r="H105" s="10">
        <f t="shared" si="3"/>
        <v>15</v>
      </c>
      <c r="I105" s="10">
        <f ca="1">IF(AND(F105&lt;&gt;"", J105&lt;&gt;""), NETWORKDAYS(TODAY(), J105-1, FESTIVOS!A$1:A$55), "")</f>
        <v>-78</v>
      </c>
      <c r="J105" s="11">
        <f>IF(AND(F105&lt;&gt;"", H105&lt;&gt;""), WORKDAY(F105, H105, FESTIVOS!A$1:A$55), "")</f>
        <v>46070</v>
      </c>
      <c r="K105" s="10" t="s">
        <v>656</v>
      </c>
      <c r="L105" s="10">
        <f t="shared" ca="1" si="4"/>
        <v>0</v>
      </c>
      <c r="M105" s="10" t="str">
        <f t="shared" ca="1" si="5"/>
        <v>Vencido</v>
      </c>
      <c r="N105" s="10" t="s">
        <v>606</v>
      </c>
      <c r="O105" s="11">
        <v>46036</v>
      </c>
      <c r="P105" s="35">
        <f>IF(OR(O105="", J105=""), "", NETWORKDAYS(J105, O105, FESTIVOS!A104:A158))</f>
        <v>-25</v>
      </c>
    </row>
    <row r="106" spans="1:16" ht="47.25" x14ac:dyDescent="0.25">
      <c r="A106" s="10" t="s">
        <v>18</v>
      </c>
      <c r="B106" s="18" t="s">
        <v>175</v>
      </c>
      <c r="C106" s="18" t="s">
        <v>67</v>
      </c>
      <c r="D106" s="18" t="s">
        <v>176</v>
      </c>
      <c r="E106" s="16">
        <v>105</v>
      </c>
      <c r="F106" s="17">
        <v>46049</v>
      </c>
      <c r="G106" s="10" t="s">
        <v>614</v>
      </c>
      <c r="H106" s="10">
        <f t="shared" si="3"/>
        <v>15</v>
      </c>
      <c r="I106" s="10">
        <f ca="1">IF(AND(F106&lt;&gt;"", J106&lt;&gt;""), NETWORKDAYS(TODAY(), J106-1, FESTIVOS!A$1:A$55), "")</f>
        <v>-78</v>
      </c>
      <c r="J106" s="11">
        <f>IF(AND(F106&lt;&gt;"", H106&lt;&gt;""), WORKDAY(F106, H106, FESTIVOS!A$1:A$55), "")</f>
        <v>46070</v>
      </c>
      <c r="K106" s="10" t="s">
        <v>656</v>
      </c>
      <c r="L106" s="10">
        <f t="shared" ca="1" si="4"/>
        <v>0</v>
      </c>
      <c r="M106" s="10" t="str">
        <f t="shared" ca="1" si="5"/>
        <v>Vencido</v>
      </c>
      <c r="N106" s="10" t="s">
        <v>606</v>
      </c>
      <c r="O106" s="11">
        <v>46036</v>
      </c>
      <c r="P106" s="35">
        <f>IF(OR(O106="", J106=""), "", NETWORKDAYS(J106, O106, FESTIVOS!A105:A159))</f>
        <v>-25</v>
      </c>
    </row>
    <row r="107" spans="1:16" ht="15.75" x14ac:dyDescent="0.25">
      <c r="A107" s="10" t="s">
        <v>18</v>
      </c>
      <c r="B107" s="18" t="s">
        <v>83</v>
      </c>
      <c r="C107" s="18" t="s">
        <v>67</v>
      </c>
      <c r="D107" s="18" t="s">
        <v>39</v>
      </c>
      <c r="E107" s="16">
        <v>106</v>
      </c>
      <c r="F107" s="17">
        <v>46049</v>
      </c>
      <c r="G107" s="10" t="s">
        <v>615</v>
      </c>
      <c r="H107" s="10">
        <f t="shared" si="3"/>
        <v>15</v>
      </c>
      <c r="I107" s="10">
        <f ca="1">IF(AND(F107&lt;&gt;"", J107&lt;&gt;""), NETWORKDAYS(TODAY(), J107-1, FESTIVOS!A$1:A$55), "")</f>
        <v>-78</v>
      </c>
      <c r="J107" s="11">
        <f>IF(AND(F107&lt;&gt;"", H107&lt;&gt;""), WORKDAY(F107, H107, FESTIVOS!A$1:A$55), "")</f>
        <v>46070</v>
      </c>
      <c r="K107" s="10" t="s">
        <v>656</v>
      </c>
      <c r="L107" s="10">
        <f t="shared" ca="1" si="4"/>
        <v>0</v>
      </c>
      <c r="M107" s="10" t="str">
        <f t="shared" ca="1" si="5"/>
        <v>Vencido</v>
      </c>
      <c r="N107" s="10" t="s">
        <v>606</v>
      </c>
      <c r="O107" s="11">
        <v>46036</v>
      </c>
      <c r="P107" s="35">
        <f>IF(OR(O107="", J107=""), "", NETWORKDAYS(J107, O107, FESTIVOS!A106:A160))</f>
        <v>-25</v>
      </c>
    </row>
    <row r="108" spans="1:16" ht="15.75" x14ac:dyDescent="0.25">
      <c r="A108" s="10" t="s">
        <v>18</v>
      </c>
      <c r="B108" s="18" t="s">
        <v>83</v>
      </c>
      <c r="C108" s="18" t="s">
        <v>67</v>
      </c>
      <c r="D108" s="18" t="s">
        <v>39</v>
      </c>
      <c r="E108" s="16">
        <v>107</v>
      </c>
      <c r="F108" s="17">
        <v>46049</v>
      </c>
      <c r="G108" s="10" t="s">
        <v>615</v>
      </c>
      <c r="H108" s="10">
        <f t="shared" si="3"/>
        <v>15</v>
      </c>
      <c r="I108" s="10">
        <f ca="1">IF(AND(F108&lt;&gt;"", J108&lt;&gt;""), NETWORKDAYS(TODAY(), J108-1, FESTIVOS!A$1:A$55), "")</f>
        <v>-78</v>
      </c>
      <c r="J108" s="11">
        <f>IF(AND(F108&lt;&gt;"", H108&lt;&gt;""), WORKDAY(F108, H108, FESTIVOS!A$1:A$55), "")</f>
        <v>46070</v>
      </c>
      <c r="K108" s="10" t="s">
        <v>656</v>
      </c>
      <c r="L108" s="10">
        <f t="shared" ca="1" si="4"/>
        <v>0</v>
      </c>
      <c r="M108" s="10" t="str">
        <f t="shared" ca="1" si="5"/>
        <v>Vencido</v>
      </c>
      <c r="N108" s="10" t="s">
        <v>606</v>
      </c>
      <c r="O108" s="11">
        <v>46036</v>
      </c>
      <c r="P108" s="35">
        <f>IF(OR(O108="", J108=""), "", NETWORKDAYS(J108, O108, FESTIVOS!A107:A161))</f>
        <v>-25</v>
      </c>
    </row>
    <row r="109" spans="1:16" ht="15.75" x14ac:dyDescent="0.25">
      <c r="A109" s="10" t="s">
        <v>18</v>
      </c>
      <c r="B109" s="18" t="s">
        <v>83</v>
      </c>
      <c r="C109" s="18" t="s">
        <v>67</v>
      </c>
      <c r="D109" s="18" t="s">
        <v>39</v>
      </c>
      <c r="E109" s="16">
        <v>108</v>
      </c>
      <c r="F109" s="17">
        <v>46049</v>
      </c>
      <c r="G109" s="10" t="s">
        <v>615</v>
      </c>
      <c r="H109" s="10">
        <f t="shared" si="3"/>
        <v>15</v>
      </c>
      <c r="I109" s="10">
        <f ca="1">IF(AND(F109&lt;&gt;"", J109&lt;&gt;""), NETWORKDAYS(TODAY(), J109-1, FESTIVOS!A$1:A$55), "")</f>
        <v>-78</v>
      </c>
      <c r="J109" s="11">
        <f>IF(AND(F109&lt;&gt;"", H109&lt;&gt;""), WORKDAY(F109, H109, FESTIVOS!A$1:A$55), "")</f>
        <v>46070</v>
      </c>
      <c r="K109" s="10" t="s">
        <v>656</v>
      </c>
      <c r="L109" s="10">
        <f t="shared" ca="1" si="4"/>
        <v>0</v>
      </c>
      <c r="M109" s="10" t="str">
        <f t="shared" ca="1" si="5"/>
        <v>Vencido</v>
      </c>
      <c r="N109" s="10" t="s">
        <v>606</v>
      </c>
      <c r="O109" s="11">
        <v>46036</v>
      </c>
      <c r="P109" s="35">
        <f>IF(OR(O109="", J109=""), "", NETWORKDAYS(J109, O109, FESTIVOS!A108:A162))</f>
        <v>-25</v>
      </c>
    </row>
    <row r="110" spans="1:16" ht="15.75" x14ac:dyDescent="0.25">
      <c r="A110" s="10" t="s">
        <v>18</v>
      </c>
      <c r="B110" s="18" t="s">
        <v>83</v>
      </c>
      <c r="C110" s="18" t="s">
        <v>67</v>
      </c>
      <c r="D110" s="18" t="s">
        <v>39</v>
      </c>
      <c r="E110" s="16">
        <v>109</v>
      </c>
      <c r="F110" s="17">
        <v>46049</v>
      </c>
      <c r="G110" s="10" t="s">
        <v>615</v>
      </c>
      <c r="H110" s="10">
        <f t="shared" si="3"/>
        <v>15</v>
      </c>
      <c r="I110" s="10">
        <f ca="1">IF(AND(F110&lt;&gt;"", J110&lt;&gt;""), NETWORKDAYS(TODAY(), J110-1, FESTIVOS!A$1:A$55), "")</f>
        <v>-78</v>
      </c>
      <c r="J110" s="11">
        <f>IF(AND(F110&lt;&gt;"", H110&lt;&gt;""), WORKDAY(F110, H110, FESTIVOS!A$1:A$55), "")</f>
        <v>46070</v>
      </c>
      <c r="K110" s="10" t="s">
        <v>656</v>
      </c>
      <c r="L110" s="10">
        <f t="shared" ca="1" si="4"/>
        <v>0</v>
      </c>
      <c r="M110" s="10" t="str">
        <f t="shared" ca="1" si="5"/>
        <v>Vencido</v>
      </c>
      <c r="N110" s="10" t="s">
        <v>606</v>
      </c>
      <c r="O110" s="11">
        <v>46036</v>
      </c>
      <c r="P110" s="35">
        <f>IF(OR(O110="", J110=""), "", NETWORKDAYS(J110, O110, FESTIVOS!A109:A163))</f>
        <v>-25</v>
      </c>
    </row>
    <row r="111" spans="1:16" ht="15.75" x14ac:dyDescent="0.25">
      <c r="A111" s="10" t="s">
        <v>18</v>
      </c>
      <c r="B111" s="18" t="s">
        <v>83</v>
      </c>
      <c r="C111" s="18" t="s">
        <v>67</v>
      </c>
      <c r="D111" s="18" t="s">
        <v>39</v>
      </c>
      <c r="E111" s="16">
        <v>110</v>
      </c>
      <c r="F111" s="17">
        <v>46049</v>
      </c>
      <c r="G111" s="10" t="s">
        <v>615</v>
      </c>
      <c r="H111" s="10">
        <f t="shared" si="3"/>
        <v>15</v>
      </c>
      <c r="I111" s="10">
        <f ca="1">IF(AND(F111&lt;&gt;"", J111&lt;&gt;""), NETWORKDAYS(TODAY(), J111-1, FESTIVOS!A$1:A$55), "")</f>
        <v>-78</v>
      </c>
      <c r="J111" s="11">
        <f>IF(AND(F111&lt;&gt;"", H111&lt;&gt;""), WORKDAY(F111, H111, FESTIVOS!A$1:A$55), "")</f>
        <v>46070</v>
      </c>
      <c r="K111" s="10" t="s">
        <v>656</v>
      </c>
      <c r="L111" s="10">
        <f t="shared" ca="1" si="4"/>
        <v>0</v>
      </c>
      <c r="M111" s="10" t="str">
        <f t="shared" ca="1" si="5"/>
        <v>Vencido</v>
      </c>
      <c r="N111" s="10" t="s">
        <v>606</v>
      </c>
      <c r="O111" s="11">
        <v>46036</v>
      </c>
      <c r="P111" s="35">
        <f>IF(OR(O111="", J111=""), "", NETWORKDAYS(J111, O111, FESTIVOS!A110:A164))</f>
        <v>-25</v>
      </c>
    </row>
    <row r="112" spans="1:16" ht="15.75" x14ac:dyDescent="0.25">
      <c r="A112" s="10" t="s">
        <v>18</v>
      </c>
      <c r="B112" s="18" t="s">
        <v>83</v>
      </c>
      <c r="C112" s="18" t="s">
        <v>67</v>
      </c>
      <c r="D112" s="18" t="s">
        <v>39</v>
      </c>
      <c r="E112" s="16">
        <v>111</v>
      </c>
      <c r="F112" s="17">
        <v>46049</v>
      </c>
      <c r="G112" s="10" t="s">
        <v>615</v>
      </c>
      <c r="H112" s="10">
        <f t="shared" si="3"/>
        <v>15</v>
      </c>
      <c r="I112" s="10">
        <f ca="1">IF(AND(F112&lt;&gt;"", J112&lt;&gt;""), NETWORKDAYS(TODAY(), J112-1, FESTIVOS!A$1:A$55), "")</f>
        <v>-78</v>
      </c>
      <c r="J112" s="11">
        <f>IF(AND(F112&lt;&gt;"", H112&lt;&gt;""), WORKDAY(F112, H112, FESTIVOS!A$1:A$55), "")</f>
        <v>46070</v>
      </c>
      <c r="K112" s="10" t="s">
        <v>656</v>
      </c>
      <c r="L112" s="10">
        <f t="shared" ca="1" si="4"/>
        <v>0</v>
      </c>
      <c r="M112" s="10" t="str">
        <f t="shared" ca="1" si="5"/>
        <v>Vencido</v>
      </c>
      <c r="N112" s="10" t="s">
        <v>606</v>
      </c>
      <c r="O112" s="11">
        <v>46036</v>
      </c>
      <c r="P112" s="35">
        <f>IF(OR(O112="", J112=""), "", NETWORKDAYS(J112, O112, FESTIVOS!A111:A165))</f>
        <v>-25</v>
      </c>
    </row>
    <row r="113" spans="1:16" ht="15.75" x14ac:dyDescent="0.25">
      <c r="A113" s="10" t="s">
        <v>18</v>
      </c>
      <c r="B113" s="18" t="s">
        <v>83</v>
      </c>
      <c r="C113" s="18" t="s">
        <v>67</v>
      </c>
      <c r="D113" s="18" t="s">
        <v>39</v>
      </c>
      <c r="E113" s="16">
        <v>112</v>
      </c>
      <c r="F113" s="17">
        <v>46049</v>
      </c>
      <c r="G113" s="10" t="s">
        <v>615</v>
      </c>
      <c r="H113" s="10">
        <f t="shared" si="3"/>
        <v>15</v>
      </c>
      <c r="I113" s="10">
        <f ca="1">IF(AND(F113&lt;&gt;"", J113&lt;&gt;""), NETWORKDAYS(TODAY(), J113-1, FESTIVOS!A$1:A$55), "")</f>
        <v>-78</v>
      </c>
      <c r="J113" s="11">
        <f>IF(AND(F113&lt;&gt;"", H113&lt;&gt;""), WORKDAY(F113, H113, FESTIVOS!A$1:A$55), "")</f>
        <v>46070</v>
      </c>
      <c r="K113" s="10" t="s">
        <v>656</v>
      </c>
      <c r="L113" s="10">
        <f t="shared" ca="1" si="4"/>
        <v>0</v>
      </c>
      <c r="M113" s="10" t="str">
        <f t="shared" ca="1" si="5"/>
        <v>Vencido</v>
      </c>
      <c r="N113" s="10" t="s">
        <v>606</v>
      </c>
      <c r="O113" s="11">
        <v>46036</v>
      </c>
      <c r="P113" s="35">
        <f>IF(OR(O113="", J113=""), "", NETWORKDAYS(J113, O113, FESTIVOS!A112:A166))</f>
        <v>-25</v>
      </c>
    </row>
    <row r="114" spans="1:16" ht="15.75" x14ac:dyDescent="0.25">
      <c r="A114" s="10" t="s">
        <v>18</v>
      </c>
      <c r="B114" s="18" t="s">
        <v>83</v>
      </c>
      <c r="C114" s="18" t="s">
        <v>67</v>
      </c>
      <c r="D114" s="18" t="s">
        <v>39</v>
      </c>
      <c r="E114" s="16">
        <v>113</v>
      </c>
      <c r="F114" s="17">
        <v>46049</v>
      </c>
      <c r="G114" s="10" t="s">
        <v>615</v>
      </c>
      <c r="H114" s="10">
        <f t="shared" si="3"/>
        <v>15</v>
      </c>
      <c r="I114" s="10">
        <f ca="1">IF(AND(F114&lt;&gt;"", J114&lt;&gt;""), NETWORKDAYS(TODAY(), J114-1, FESTIVOS!A$1:A$55), "")</f>
        <v>-78</v>
      </c>
      <c r="J114" s="11">
        <f>IF(AND(F114&lt;&gt;"", H114&lt;&gt;""), WORKDAY(F114, H114, FESTIVOS!A$1:A$55), "")</f>
        <v>46070</v>
      </c>
      <c r="K114" s="10" t="s">
        <v>656</v>
      </c>
      <c r="L114" s="10">
        <f t="shared" ca="1" si="4"/>
        <v>0</v>
      </c>
      <c r="M114" s="10" t="str">
        <f t="shared" ca="1" si="5"/>
        <v>Vencido</v>
      </c>
      <c r="N114" s="10" t="s">
        <v>606</v>
      </c>
      <c r="O114" s="11">
        <v>46036</v>
      </c>
      <c r="P114" s="35">
        <f>IF(OR(O114="", J114=""), "", NETWORKDAYS(J114, O114, FESTIVOS!A113:A167))</f>
        <v>-25</v>
      </c>
    </row>
    <row r="115" spans="1:16" ht="15.75" x14ac:dyDescent="0.25">
      <c r="A115" s="10" t="s">
        <v>18</v>
      </c>
      <c r="B115" s="18" t="s">
        <v>83</v>
      </c>
      <c r="C115" s="18" t="s">
        <v>67</v>
      </c>
      <c r="D115" s="18" t="s">
        <v>39</v>
      </c>
      <c r="E115" s="16">
        <v>114</v>
      </c>
      <c r="F115" s="17">
        <v>46049</v>
      </c>
      <c r="G115" s="10" t="s">
        <v>615</v>
      </c>
      <c r="H115" s="10">
        <f t="shared" si="3"/>
        <v>15</v>
      </c>
      <c r="I115" s="10">
        <f ca="1">IF(AND(F115&lt;&gt;"", J115&lt;&gt;""), NETWORKDAYS(TODAY(), J115-1, FESTIVOS!A$1:A$55), "")</f>
        <v>-78</v>
      </c>
      <c r="J115" s="11">
        <f>IF(AND(F115&lt;&gt;"", H115&lt;&gt;""), WORKDAY(F115, H115, FESTIVOS!A$1:A$55), "")</f>
        <v>46070</v>
      </c>
      <c r="K115" s="10" t="s">
        <v>656</v>
      </c>
      <c r="L115" s="10">
        <f t="shared" ca="1" si="4"/>
        <v>0</v>
      </c>
      <c r="M115" s="10" t="str">
        <f t="shared" ca="1" si="5"/>
        <v>Vencido</v>
      </c>
      <c r="N115" s="10" t="s">
        <v>606</v>
      </c>
      <c r="O115" s="11">
        <v>46036</v>
      </c>
      <c r="P115" s="35">
        <f>IF(OR(O115="", J115=""), "", NETWORKDAYS(J115, O115, FESTIVOS!A114:A168))</f>
        <v>-25</v>
      </c>
    </row>
    <row r="116" spans="1:16" ht="15.75" x14ac:dyDescent="0.25">
      <c r="A116" s="10" t="s">
        <v>18</v>
      </c>
      <c r="B116" s="18" t="s">
        <v>83</v>
      </c>
      <c r="C116" s="18" t="s">
        <v>67</v>
      </c>
      <c r="D116" s="18" t="s">
        <v>39</v>
      </c>
      <c r="E116" s="16">
        <v>115</v>
      </c>
      <c r="F116" s="17">
        <v>46049</v>
      </c>
      <c r="G116" s="10" t="s">
        <v>615</v>
      </c>
      <c r="H116" s="10">
        <f t="shared" si="3"/>
        <v>15</v>
      </c>
      <c r="I116" s="10">
        <f ca="1">IF(AND(F116&lt;&gt;"", J116&lt;&gt;""), NETWORKDAYS(TODAY(), J116-1, FESTIVOS!A$1:A$55), "")</f>
        <v>-78</v>
      </c>
      <c r="J116" s="11">
        <f>IF(AND(F116&lt;&gt;"", H116&lt;&gt;""), WORKDAY(F116, H116, FESTIVOS!A$1:A$55), "")</f>
        <v>46070</v>
      </c>
      <c r="K116" s="10" t="s">
        <v>656</v>
      </c>
      <c r="L116" s="10">
        <f t="shared" ca="1" si="4"/>
        <v>0</v>
      </c>
      <c r="M116" s="10" t="str">
        <f t="shared" ca="1" si="5"/>
        <v>Vencido</v>
      </c>
      <c r="N116" s="10" t="s">
        <v>606</v>
      </c>
      <c r="O116" s="11">
        <v>46036</v>
      </c>
      <c r="P116" s="35">
        <f>IF(OR(O116="", J116=""), "", NETWORKDAYS(J116, O116, FESTIVOS!A115:A169))</f>
        <v>-25</v>
      </c>
    </row>
    <row r="117" spans="1:16" ht="47.25" x14ac:dyDescent="0.25">
      <c r="A117" s="10" t="s">
        <v>18</v>
      </c>
      <c r="B117" s="18" t="s">
        <v>177</v>
      </c>
      <c r="C117" s="18" t="s">
        <v>67</v>
      </c>
      <c r="D117" s="18" t="s">
        <v>178</v>
      </c>
      <c r="E117" s="16">
        <v>116</v>
      </c>
      <c r="F117" s="17">
        <v>46049</v>
      </c>
      <c r="G117" s="10" t="s">
        <v>615</v>
      </c>
      <c r="H117" s="10">
        <f t="shared" si="3"/>
        <v>15</v>
      </c>
      <c r="I117" s="10">
        <f ca="1">IF(AND(F117&lt;&gt;"", J117&lt;&gt;""), NETWORKDAYS(TODAY(), J117-1, FESTIVOS!A$1:A$55), "")</f>
        <v>-78</v>
      </c>
      <c r="J117" s="11">
        <f>IF(AND(F117&lt;&gt;"", H117&lt;&gt;""), WORKDAY(F117, H117, FESTIVOS!A$1:A$55), "")</f>
        <v>46070</v>
      </c>
      <c r="K117" s="10" t="s">
        <v>656</v>
      </c>
      <c r="L117" s="10">
        <f t="shared" ca="1" si="4"/>
        <v>0</v>
      </c>
      <c r="M117" s="10" t="str">
        <f t="shared" ca="1" si="5"/>
        <v>Vencido</v>
      </c>
      <c r="N117" s="10" t="s">
        <v>606</v>
      </c>
      <c r="O117" s="11">
        <v>46036</v>
      </c>
      <c r="P117" s="35">
        <f>IF(OR(O117="", J117=""), "", NETWORKDAYS(J117, O117, FESTIVOS!A116:A170))</f>
        <v>-25</v>
      </c>
    </row>
    <row r="118" spans="1:16" ht="15.75" x14ac:dyDescent="0.25">
      <c r="A118" s="10" t="s">
        <v>18</v>
      </c>
      <c r="B118" s="18" t="s">
        <v>179</v>
      </c>
      <c r="C118" s="18" t="s">
        <v>67</v>
      </c>
      <c r="D118" s="18" t="s">
        <v>180</v>
      </c>
      <c r="E118" s="16">
        <v>117</v>
      </c>
      <c r="F118" s="17">
        <v>46049</v>
      </c>
      <c r="G118" s="10" t="s">
        <v>615</v>
      </c>
      <c r="H118" s="10">
        <f t="shared" si="3"/>
        <v>15</v>
      </c>
      <c r="I118" s="10">
        <f ca="1">IF(AND(F118&lt;&gt;"", J118&lt;&gt;""), NETWORKDAYS(TODAY(), J118-1, FESTIVOS!A$1:A$55), "")</f>
        <v>-78</v>
      </c>
      <c r="J118" s="11">
        <f>IF(AND(F118&lt;&gt;"", H118&lt;&gt;""), WORKDAY(F118, H118, FESTIVOS!A$1:A$55), "")</f>
        <v>46070</v>
      </c>
      <c r="K118" s="10" t="s">
        <v>656</v>
      </c>
      <c r="L118" s="10">
        <f t="shared" ca="1" si="4"/>
        <v>0</v>
      </c>
      <c r="M118" s="10" t="str">
        <f t="shared" ca="1" si="5"/>
        <v>Vencido</v>
      </c>
      <c r="N118" s="10" t="s">
        <v>606</v>
      </c>
      <c r="O118" s="11">
        <v>46036</v>
      </c>
      <c r="P118" s="35">
        <f>IF(OR(O118="", J118=""), "", NETWORKDAYS(J118, O118, FESTIVOS!A117:A171))</f>
        <v>-25</v>
      </c>
    </row>
    <row r="119" spans="1:16" ht="15.75" x14ac:dyDescent="0.25">
      <c r="A119" s="10" t="s">
        <v>18</v>
      </c>
      <c r="B119" s="18" t="s">
        <v>181</v>
      </c>
      <c r="C119" s="18" t="s">
        <v>67</v>
      </c>
      <c r="D119" s="18" t="s">
        <v>21</v>
      </c>
      <c r="E119" s="16">
        <v>118</v>
      </c>
      <c r="F119" s="17">
        <v>46049</v>
      </c>
      <c r="G119" s="10" t="s">
        <v>615</v>
      </c>
      <c r="H119" s="10">
        <f t="shared" si="3"/>
        <v>15</v>
      </c>
      <c r="I119" s="10">
        <f ca="1">IF(AND(F119&lt;&gt;"", J119&lt;&gt;""), NETWORKDAYS(TODAY(), J119-1, FESTIVOS!A$1:A$55), "")</f>
        <v>-78</v>
      </c>
      <c r="J119" s="11">
        <f>IF(AND(F119&lt;&gt;"", H119&lt;&gt;""), WORKDAY(F119, H119, FESTIVOS!A$1:A$55), "")</f>
        <v>46070</v>
      </c>
      <c r="K119" s="10" t="s">
        <v>656</v>
      </c>
      <c r="L119" s="10">
        <f t="shared" ca="1" si="4"/>
        <v>0</v>
      </c>
      <c r="M119" s="10" t="str">
        <f t="shared" ca="1" si="5"/>
        <v>Vencido</v>
      </c>
      <c r="N119" s="10" t="s">
        <v>606</v>
      </c>
      <c r="O119" s="11">
        <v>46036</v>
      </c>
      <c r="P119" s="35">
        <f>IF(OR(O119="", J119=""), "", NETWORKDAYS(J119, O119, FESTIVOS!A118:A172))</f>
        <v>-25</v>
      </c>
    </row>
    <row r="120" spans="1:16" ht="31.5" x14ac:dyDescent="0.25">
      <c r="A120" s="10" t="s">
        <v>18</v>
      </c>
      <c r="B120" s="18" t="s">
        <v>182</v>
      </c>
      <c r="C120" s="18" t="s">
        <v>67</v>
      </c>
      <c r="D120" s="18" t="s">
        <v>183</v>
      </c>
      <c r="E120" s="16">
        <v>119</v>
      </c>
      <c r="F120" s="17">
        <v>46049</v>
      </c>
      <c r="G120" s="10" t="s">
        <v>615</v>
      </c>
      <c r="H120" s="10">
        <f t="shared" si="3"/>
        <v>15</v>
      </c>
      <c r="I120" s="10">
        <f ca="1">IF(AND(F120&lt;&gt;"", J120&lt;&gt;""), NETWORKDAYS(TODAY(), J120-1, FESTIVOS!A$1:A$55), "")</f>
        <v>-78</v>
      </c>
      <c r="J120" s="11">
        <f>IF(AND(F120&lt;&gt;"", H120&lt;&gt;""), WORKDAY(F120, H120, FESTIVOS!A$1:A$55), "")</f>
        <v>46070</v>
      </c>
      <c r="K120" s="10" t="s">
        <v>656</v>
      </c>
      <c r="L120" s="10">
        <f t="shared" ca="1" si="4"/>
        <v>0</v>
      </c>
      <c r="M120" s="10" t="str">
        <f t="shared" ca="1" si="5"/>
        <v>Vencido</v>
      </c>
      <c r="N120" s="10" t="s">
        <v>606</v>
      </c>
      <c r="O120" s="11">
        <v>46036</v>
      </c>
      <c r="P120" s="35">
        <f>IF(OR(O120="", J120=""), "", NETWORKDAYS(J120, O120, FESTIVOS!A119:A173))</f>
        <v>-25</v>
      </c>
    </row>
    <row r="121" spans="1:16" ht="15.75" x14ac:dyDescent="0.25">
      <c r="A121" s="10" t="s">
        <v>18</v>
      </c>
      <c r="B121" s="18" t="s">
        <v>131</v>
      </c>
      <c r="C121" s="18" t="s">
        <v>67</v>
      </c>
      <c r="D121" s="18" t="s">
        <v>44</v>
      </c>
      <c r="E121" s="16">
        <v>120</v>
      </c>
      <c r="F121" s="17">
        <v>46049</v>
      </c>
      <c r="G121" s="10" t="s">
        <v>615</v>
      </c>
      <c r="H121" s="10">
        <f t="shared" si="3"/>
        <v>15</v>
      </c>
      <c r="I121" s="10">
        <f ca="1">IF(AND(F121&lt;&gt;"", J121&lt;&gt;""), NETWORKDAYS(TODAY(), J121-1, FESTIVOS!A$1:A$55), "")</f>
        <v>-78</v>
      </c>
      <c r="J121" s="11">
        <f>IF(AND(F121&lt;&gt;"", H121&lt;&gt;""), WORKDAY(F121, H121, FESTIVOS!A$1:A$55), "")</f>
        <v>46070</v>
      </c>
      <c r="K121" s="10" t="s">
        <v>656</v>
      </c>
      <c r="L121" s="10">
        <f t="shared" ca="1" si="4"/>
        <v>0</v>
      </c>
      <c r="M121" s="10" t="str">
        <f t="shared" ca="1" si="5"/>
        <v>Vencido</v>
      </c>
      <c r="N121" s="10" t="s">
        <v>606</v>
      </c>
      <c r="O121" s="11">
        <v>46036</v>
      </c>
      <c r="P121" s="35">
        <f>IF(OR(O121="", J121=""), "", NETWORKDAYS(J121, O121, FESTIVOS!A120:A174))</f>
        <v>-25</v>
      </c>
    </row>
    <row r="122" spans="1:16" ht="31.5" x14ac:dyDescent="0.25">
      <c r="A122" s="10" t="s">
        <v>18</v>
      </c>
      <c r="B122" s="18" t="s">
        <v>184</v>
      </c>
      <c r="C122" s="18" t="s">
        <v>67</v>
      </c>
      <c r="D122" s="23" t="s">
        <v>185</v>
      </c>
      <c r="E122" s="16">
        <v>121</v>
      </c>
      <c r="F122" s="17">
        <v>46049</v>
      </c>
      <c r="G122" s="10" t="s">
        <v>615</v>
      </c>
      <c r="H122" s="10">
        <f t="shared" si="3"/>
        <v>15</v>
      </c>
      <c r="I122" s="10">
        <f ca="1">IF(AND(F122&lt;&gt;"", J122&lt;&gt;""), NETWORKDAYS(TODAY(), J122-1, FESTIVOS!A$1:A$55), "")</f>
        <v>-78</v>
      </c>
      <c r="J122" s="11">
        <f>IF(AND(F122&lt;&gt;"", H122&lt;&gt;""), WORKDAY(F122, H122, FESTIVOS!A$1:A$55), "")</f>
        <v>46070</v>
      </c>
      <c r="K122" s="10" t="s">
        <v>656</v>
      </c>
      <c r="L122" s="10">
        <f t="shared" ca="1" si="4"/>
        <v>0</v>
      </c>
      <c r="M122" s="10" t="str">
        <f t="shared" ca="1" si="5"/>
        <v>Vencido</v>
      </c>
      <c r="N122" s="10" t="s">
        <v>606</v>
      </c>
      <c r="O122" s="11">
        <v>46036</v>
      </c>
      <c r="P122" s="35">
        <f>IF(OR(O122="", J122=""), "", NETWORKDAYS(J122, O122, FESTIVOS!A121:A175))</f>
        <v>-25</v>
      </c>
    </row>
    <row r="123" spans="1:16" ht="31.5" x14ac:dyDescent="0.25">
      <c r="A123" s="10" t="s">
        <v>18</v>
      </c>
      <c r="B123" s="18" t="s">
        <v>186</v>
      </c>
      <c r="C123" s="18" t="s">
        <v>67</v>
      </c>
      <c r="D123" s="18" t="s">
        <v>185</v>
      </c>
      <c r="E123" s="16">
        <v>122</v>
      </c>
      <c r="F123" s="17">
        <v>46049</v>
      </c>
      <c r="G123" s="10" t="s">
        <v>615</v>
      </c>
      <c r="H123" s="10">
        <f t="shared" si="3"/>
        <v>15</v>
      </c>
      <c r="I123" s="10">
        <f ca="1">IF(AND(F123&lt;&gt;"", J123&lt;&gt;""), NETWORKDAYS(TODAY(), J123-1, FESTIVOS!A$1:A$55), "")</f>
        <v>-78</v>
      </c>
      <c r="J123" s="11">
        <f>IF(AND(F123&lt;&gt;"", H123&lt;&gt;""), WORKDAY(F123, H123, FESTIVOS!A$1:A$55), "")</f>
        <v>46070</v>
      </c>
      <c r="K123" s="10" t="s">
        <v>656</v>
      </c>
      <c r="L123" s="10">
        <f t="shared" ca="1" si="4"/>
        <v>0</v>
      </c>
      <c r="M123" s="10" t="str">
        <f t="shared" ca="1" si="5"/>
        <v>Vencido</v>
      </c>
      <c r="N123" s="10" t="s">
        <v>606</v>
      </c>
      <c r="O123" s="11">
        <v>46036</v>
      </c>
      <c r="P123" s="35">
        <f>IF(OR(O123="", J123=""), "", NETWORKDAYS(J123, O123, FESTIVOS!A122:A176))</f>
        <v>-25</v>
      </c>
    </row>
    <row r="124" spans="1:16" ht="31.5" x14ac:dyDescent="0.25">
      <c r="A124" s="10" t="s">
        <v>18</v>
      </c>
      <c r="B124" s="18" t="s">
        <v>187</v>
      </c>
      <c r="C124" s="18" t="s">
        <v>67</v>
      </c>
      <c r="D124" s="18" t="s">
        <v>188</v>
      </c>
      <c r="E124" s="16">
        <v>123</v>
      </c>
      <c r="F124" s="17">
        <v>46050</v>
      </c>
      <c r="G124" s="10" t="s">
        <v>615</v>
      </c>
      <c r="H124" s="10">
        <f t="shared" si="3"/>
        <v>15</v>
      </c>
      <c r="I124" s="10">
        <f ca="1">IF(AND(F124&lt;&gt;"", J124&lt;&gt;""), NETWORKDAYS(TODAY(), J124-1, FESTIVOS!A$1:A$55), "")</f>
        <v>-77</v>
      </c>
      <c r="J124" s="11">
        <f>IF(AND(F124&lt;&gt;"", H124&lt;&gt;""), WORKDAY(F124, H124, FESTIVOS!A$1:A$55), "")</f>
        <v>46071</v>
      </c>
      <c r="K124" s="10" t="s">
        <v>656</v>
      </c>
      <c r="L124" s="10">
        <f t="shared" ca="1" si="4"/>
        <v>0</v>
      </c>
      <c r="M124" s="10" t="str">
        <f t="shared" ca="1" si="5"/>
        <v>Vencido</v>
      </c>
      <c r="N124" s="10" t="s">
        <v>606</v>
      </c>
      <c r="O124" s="11">
        <v>46036</v>
      </c>
      <c r="P124" s="35">
        <f>IF(OR(O124="", J124=""), "", NETWORKDAYS(J124, O124, FESTIVOS!A123:A177))</f>
        <v>-26</v>
      </c>
    </row>
    <row r="125" spans="1:16" ht="15.75" x14ac:dyDescent="0.25">
      <c r="A125" s="10" t="s">
        <v>18</v>
      </c>
      <c r="B125" s="18" t="s">
        <v>189</v>
      </c>
      <c r="C125" s="18" t="s">
        <v>67</v>
      </c>
      <c r="D125" s="18" t="s">
        <v>190</v>
      </c>
      <c r="E125" s="16">
        <v>124</v>
      </c>
      <c r="F125" s="17">
        <v>46050</v>
      </c>
      <c r="G125" s="10" t="s">
        <v>614</v>
      </c>
      <c r="H125" s="10">
        <f t="shared" si="3"/>
        <v>15</v>
      </c>
      <c r="I125" s="10">
        <f ca="1">IF(AND(F125&lt;&gt;"", J125&lt;&gt;""), NETWORKDAYS(TODAY(), J125-1, FESTIVOS!A$1:A$55), "")</f>
        <v>-77</v>
      </c>
      <c r="J125" s="11">
        <f>IF(AND(F125&lt;&gt;"", H125&lt;&gt;""), WORKDAY(F125, H125, FESTIVOS!A$1:A$55), "")</f>
        <v>46071</v>
      </c>
      <c r="K125" s="10" t="s">
        <v>656</v>
      </c>
      <c r="L125" s="10">
        <f t="shared" ca="1" si="4"/>
        <v>0</v>
      </c>
      <c r="M125" s="10" t="str">
        <f t="shared" ca="1" si="5"/>
        <v>Vencido</v>
      </c>
      <c r="N125" s="10" t="s">
        <v>606</v>
      </c>
      <c r="O125" s="11">
        <v>46036</v>
      </c>
      <c r="P125" s="35">
        <f>IF(OR(O125="", J125=""), "", NETWORKDAYS(J125, O125, FESTIVOS!A124:A178))</f>
        <v>-26</v>
      </c>
    </row>
    <row r="126" spans="1:16" ht="15.75" x14ac:dyDescent="0.25">
      <c r="A126" s="10" t="s">
        <v>18</v>
      </c>
      <c r="B126" s="18" t="s">
        <v>1031</v>
      </c>
      <c r="C126" s="18" t="s">
        <v>67</v>
      </c>
      <c r="D126" s="18" t="s">
        <v>1032</v>
      </c>
      <c r="E126" s="16">
        <v>125</v>
      </c>
      <c r="F126" s="17">
        <v>46051</v>
      </c>
      <c r="G126" s="10" t="s">
        <v>615</v>
      </c>
      <c r="H126" s="10">
        <f t="shared" si="3"/>
        <v>15</v>
      </c>
      <c r="I126" s="10">
        <f ca="1">IF(AND(F126&lt;&gt;"", J126&lt;&gt;""), NETWORKDAYS(TODAY(), J126-1, FESTIVOS!A$1:A$55), "")</f>
        <v>-76</v>
      </c>
      <c r="J126" s="11">
        <f>IF(AND(F126&lt;&gt;"", H126&lt;&gt;""), WORKDAY(F126, H126, FESTIVOS!A$1:A$55), "")</f>
        <v>46072</v>
      </c>
      <c r="K126" s="10" t="s">
        <v>656</v>
      </c>
      <c r="L126" s="10">
        <f t="shared" ca="1" si="4"/>
        <v>0</v>
      </c>
      <c r="M126" s="10" t="str">
        <f t="shared" ca="1" si="5"/>
        <v>Vencido</v>
      </c>
      <c r="N126" s="10" t="s">
        <v>1035</v>
      </c>
      <c r="O126" s="11">
        <v>46062</v>
      </c>
      <c r="P126" s="35">
        <f>IF(OR(O126="", J126=""), "", NETWORKDAYS(J126, O126, FESTIVOS!A125:A179))</f>
        <v>-9</v>
      </c>
    </row>
    <row r="127" spans="1:16" ht="31.5" x14ac:dyDescent="0.25">
      <c r="A127" s="10" t="s">
        <v>18</v>
      </c>
      <c r="B127" s="18" t="s">
        <v>191</v>
      </c>
      <c r="C127" s="18" t="s">
        <v>67</v>
      </c>
      <c r="D127" s="18" t="s">
        <v>192</v>
      </c>
      <c r="E127" s="16">
        <v>126</v>
      </c>
      <c r="F127" s="17">
        <v>46051</v>
      </c>
      <c r="G127" s="10" t="s">
        <v>615</v>
      </c>
      <c r="H127" s="10">
        <f t="shared" si="3"/>
        <v>15</v>
      </c>
      <c r="I127" s="10">
        <f ca="1">IF(AND(F127&lt;&gt;"", J127&lt;&gt;""), NETWORKDAYS(TODAY(), J127-1, FESTIVOS!A$1:A$55), "")</f>
        <v>-76</v>
      </c>
      <c r="J127" s="11">
        <f>IF(AND(F127&lt;&gt;"", H127&lt;&gt;""), WORKDAY(F127, H127, FESTIVOS!A$1:A$55), "")</f>
        <v>46072</v>
      </c>
      <c r="K127" s="10" t="s">
        <v>656</v>
      </c>
      <c r="L127" s="10">
        <f t="shared" ca="1" si="4"/>
        <v>0</v>
      </c>
      <c r="M127" s="10" t="str">
        <f t="shared" ca="1" si="5"/>
        <v>Vencido</v>
      </c>
      <c r="N127" s="10" t="s">
        <v>606</v>
      </c>
      <c r="O127" s="11">
        <v>46036</v>
      </c>
      <c r="P127" s="35">
        <f>IF(OR(O127="", J127=""), "", NETWORKDAYS(J127, O127, FESTIVOS!A126:A180))</f>
        <v>-27</v>
      </c>
    </row>
    <row r="128" spans="1:16" ht="31.5" x14ac:dyDescent="0.25">
      <c r="A128" s="10" t="s">
        <v>18</v>
      </c>
      <c r="B128" s="18" t="s">
        <v>193</v>
      </c>
      <c r="C128" s="18" t="s">
        <v>67</v>
      </c>
      <c r="D128" s="18" t="s">
        <v>192</v>
      </c>
      <c r="E128" s="16">
        <v>127</v>
      </c>
      <c r="F128" s="17">
        <v>46051</v>
      </c>
      <c r="G128" s="10" t="s">
        <v>615</v>
      </c>
      <c r="H128" s="10">
        <f t="shared" si="3"/>
        <v>15</v>
      </c>
      <c r="I128" s="10">
        <f ca="1">IF(AND(F128&lt;&gt;"", J128&lt;&gt;""), NETWORKDAYS(TODAY(), J128-1, FESTIVOS!A$1:A$55), "")</f>
        <v>-76</v>
      </c>
      <c r="J128" s="11">
        <f>IF(AND(F128&lt;&gt;"", H128&lt;&gt;""), WORKDAY(F128, H128, FESTIVOS!A$1:A$55), "")</f>
        <v>46072</v>
      </c>
      <c r="K128" s="10" t="s">
        <v>656</v>
      </c>
      <c r="L128" s="10">
        <f t="shared" ca="1" si="4"/>
        <v>0</v>
      </c>
      <c r="M128" s="10" t="str">
        <f t="shared" ca="1" si="5"/>
        <v>Vencido</v>
      </c>
      <c r="N128" s="10" t="s">
        <v>606</v>
      </c>
      <c r="O128" s="11">
        <v>46036</v>
      </c>
      <c r="P128" s="35">
        <f>IF(OR(O128="", J128=""), "", NETWORKDAYS(J128, O128, FESTIVOS!A127:A181))</f>
        <v>-27</v>
      </c>
    </row>
    <row r="129" spans="1:16" ht="31.5" x14ac:dyDescent="0.25">
      <c r="A129" s="10" t="s">
        <v>18</v>
      </c>
      <c r="B129" s="18" t="s">
        <v>194</v>
      </c>
      <c r="C129" s="18" t="s">
        <v>67</v>
      </c>
      <c r="D129" s="18" t="s">
        <v>192</v>
      </c>
      <c r="E129" s="16">
        <v>128</v>
      </c>
      <c r="F129" s="17">
        <v>46051</v>
      </c>
      <c r="G129" s="10" t="s">
        <v>615</v>
      </c>
      <c r="H129" s="10">
        <f t="shared" si="3"/>
        <v>15</v>
      </c>
      <c r="I129" s="10">
        <f ca="1">IF(AND(F129&lt;&gt;"", J129&lt;&gt;""), NETWORKDAYS(TODAY(), J129-1, FESTIVOS!A$1:A$55), "")</f>
        <v>-76</v>
      </c>
      <c r="J129" s="11">
        <f>IF(AND(F129&lt;&gt;"", H129&lt;&gt;""), WORKDAY(F129, H129, FESTIVOS!A$1:A$55), "")</f>
        <v>46072</v>
      </c>
      <c r="K129" s="10" t="s">
        <v>656</v>
      </c>
      <c r="L129" s="10">
        <f t="shared" ca="1" si="4"/>
        <v>0</v>
      </c>
      <c r="M129" s="10" t="str">
        <f t="shared" ca="1" si="5"/>
        <v>Vencido</v>
      </c>
      <c r="N129" s="10" t="s">
        <v>606</v>
      </c>
      <c r="O129" s="11">
        <v>46036</v>
      </c>
      <c r="P129" s="35">
        <f>IF(OR(O129="", J129=""), "", NETWORKDAYS(J129, O129, FESTIVOS!A128:A182))</f>
        <v>-27</v>
      </c>
    </row>
    <row r="130" spans="1:16" ht="47.25" x14ac:dyDescent="0.25">
      <c r="A130" s="10" t="s">
        <v>18</v>
      </c>
      <c r="B130" s="18" t="s">
        <v>111</v>
      </c>
      <c r="C130" s="18" t="s">
        <v>67</v>
      </c>
      <c r="D130" s="18" t="s">
        <v>195</v>
      </c>
      <c r="E130" s="16">
        <v>129</v>
      </c>
      <c r="F130" s="17">
        <v>46051</v>
      </c>
      <c r="G130" s="10" t="s">
        <v>617</v>
      </c>
      <c r="H130" s="10">
        <f t="shared" ref="H130:H193" si="6">IF(A130="INFORMACIÓN O DOCUMENTOS", 10, IF(A130="CONSULTA", 30, IF(A130="FACTURACIÓN Y COBROS", 15, IF(A130="VINCULACIÓN Y DESVINCULACIÓN", 15, IF(A130="NO ES DE NUESTRA COMPETENCIA", 5, IF(A130="OTRO", 15, ""))))))</f>
        <v>15</v>
      </c>
      <c r="I130" s="10">
        <f ca="1">IF(AND(F130&lt;&gt;"", J130&lt;&gt;""), NETWORKDAYS(TODAY(), J130-1, FESTIVOS!A$1:A$55), "")</f>
        <v>-76</v>
      </c>
      <c r="J130" s="11">
        <f>IF(AND(F130&lt;&gt;"", H130&lt;&gt;""), WORKDAY(F130, H130, FESTIVOS!A$1:A$55), "")</f>
        <v>46072</v>
      </c>
      <c r="K130" s="10" t="s">
        <v>656</v>
      </c>
      <c r="L130" s="10">
        <f t="shared" ref="L130:L193" ca="1" si="7">IF(I130="", "", MAX(0, I130 - (TODAY() - TODAY())))</f>
        <v>0</v>
      </c>
      <c r="M130" s="10" t="str">
        <f t="shared" ref="M130:M193" ca="1" si="8">IF(OR(I130="", H130=""), "", IF(I130&lt;0, "Vencido", IF(I130&gt;(H130/2), "Supere la mitad", "Bajo la mitad")))</f>
        <v>Vencido</v>
      </c>
      <c r="N130" s="10" t="s">
        <v>606</v>
      </c>
      <c r="O130" s="11">
        <v>46036</v>
      </c>
      <c r="P130" s="35">
        <f>IF(OR(O130="", J130=""), "", NETWORKDAYS(J130, O130, FESTIVOS!A129:A183))</f>
        <v>-27</v>
      </c>
    </row>
    <row r="131" spans="1:16" ht="31.5" x14ac:dyDescent="0.25">
      <c r="A131" s="10" t="s">
        <v>18</v>
      </c>
      <c r="B131" s="24" t="s">
        <v>196</v>
      </c>
      <c r="C131" s="18" t="s">
        <v>74</v>
      </c>
      <c r="D131" s="18" t="s">
        <v>197</v>
      </c>
      <c r="E131" s="16">
        <v>130</v>
      </c>
      <c r="F131" s="17">
        <v>46051</v>
      </c>
      <c r="G131" s="10" t="s">
        <v>657</v>
      </c>
      <c r="H131" s="10">
        <f t="shared" si="6"/>
        <v>15</v>
      </c>
      <c r="I131" s="10">
        <f ca="1">IF(AND(F131&lt;&gt;"", J131&lt;&gt;""), NETWORKDAYS(TODAY(), J131-1, FESTIVOS!A$1:A$55), "")</f>
        <v>-76</v>
      </c>
      <c r="J131" s="11">
        <f>IF(AND(F131&lt;&gt;"", H131&lt;&gt;""), WORKDAY(F131, H131, FESTIVOS!A$1:A$55), "")</f>
        <v>46072</v>
      </c>
      <c r="K131" s="10" t="s">
        <v>656</v>
      </c>
      <c r="L131" s="10">
        <f t="shared" ca="1" si="7"/>
        <v>0</v>
      </c>
      <c r="M131" s="10" t="str">
        <f t="shared" ca="1" si="8"/>
        <v>Vencido</v>
      </c>
      <c r="N131" s="10" t="s">
        <v>606</v>
      </c>
      <c r="O131" s="11">
        <v>46036</v>
      </c>
      <c r="P131" s="35">
        <f>IF(OR(O131="", J131=""), "", NETWORKDAYS(J131, O131, FESTIVOS!A130:A184))</f>
        <v>-27</v>
      </c>
    </row>
    <row r="132" spans="1:16" ht="15.75" x14ac:dyDescent="0.25">
      <c r="A132" s="10" t="s">
        <v>18</v>
      </c>
      <c r="B132" s="18" t="s">
        <v>198</v>
      </c>
      <c r="C132" s="18" t="s">
        <v>67</v>
      </c>
      <c r="D132" s="18" t="s">
        <v>199</v>
      </c>
      <c r="E132" s="16">
        <v>131</v>
      </c>
      <c r="F132" s="17">
        <v>46051</v>
      </c>
      <c r="G132" s="10" t="s">
        <v>615</v>
      </c>
      <c r="H132" s="10">
        <f t="shared" si="6"/>
        <v>15</v>
      </c>
      <c r="I132" s="10">
        <f ca="1">IF(AND(F132&lt;&gt;"", J132&lt;&gt;""), NETWORKDAYS(TODAY(), J132-1, FESTIVOS!A$1:A$55), "")</f>
        <v>-76</v>
      </c>
      <c r="J132" s="11">
        <f>IF(AND(F132&lt;&gt;"", H132&lt;&gt;""), WORKDAY(F132, H132, FESTIVOS!A$1:A$55), "")</f>
        <v>46072</v>
      </c>
      <c r="K132" s="10" t="s">
        <v>656</v>
      </c>
      <c r="L132" s="10">
        <f t="shared" ca="1" si="7"/>
        <v>0</v>
      </c>
      <c r="M132" s="10" t="str">
        <f t="shared" ca="1" si="8"/>
        <v>Vencido</v>
      </c>
      <c r="N132" s="10" t="s">
        <v>606</v>
      </c>
      <c r="O132" s="11">
        <v>46036</v>
      </c>
      <c r="P132" s="35">
        <f>IF(OR(O132="", J132=""), "", NETWORKDAYS(J132, O132, FESTIVOS!A131:A185))</f>
        <v>-27</v>
      </c>
    </row>
    <row r="133" spans="1:16" ht="15.75" x14ac:dyDescent="0.25">
      <c r="A133" s="10" t="s">
        <v>18</v>
      </c>
      <c r="B133" s="18" t="s">
        <v>200</v>
      </c>
      <c r="C133" s="18" t="s">
        <v>67</v>
      </c>
      <c r="D133" s="18" t="s">
        <v>51</v>
      </c>
      <c r="E133" s="16">
        <v>132</v>
      </c>
      <c r="F133" s="17">
        <v>46051</v>
      </c>
      <c r="G133" s="10" t="s">
        <v>615</v>
      </c>
      <c r="H133" s="10">
        <f t="shared" si="6"/>
        <v>15</v>
      </c>
      <c r="I133" s="10">
        <f ca="1">IF(AND(F133&lt;&gt;"", J133&lt;&gt;""), NETWORKDAYS(TODAY(), J133-1, FESTIVOS!A$1:A$55), "")</f>
        <v>-76</v>
      </c>
      <c r="J133" s="11">
        <f>IF(AND(F133&lt;&gt;"", H133&lt;&gt;""), WORKDAY(F133, H133, FESTIVOS!A$1:A$55), "")</f>
        <v>46072</v>
      </c>
      <c r="K133" s="10" t="s">
        <v>656</v>
      </c>
      <c r="L133" s="10">
        <f t="shared" ca="1" si="7"/>
        <v>0</v>
      </c>
      <c r="M133" s="10" t="str">
        <f t="shared" ca="1" si="8"/>
        <v>Vencido</v>
      </c>
      <c r="N133" s="10" t="s">
        <v>606</v>
      </c>
      <c r="O133" s="11">
        <v>46036</v>
      </c>
      <c r="P133" s="35">
        <f>IF(OR(O133="", J133=""), "", NETWORKDAYS(J133, O133, FESTIVOS!A132:A186))</f>
        <v>-27</v>
      </c>
    </row>
    <row r="134" spans="1:16" ht="15.75" x14ac:dyDescent="0.25">
      <c r="A134" s="10" t="s">
        <v>18</v>
      </c>
      <c r="B134" s="18" t="s">
        <v>201</v>
      </c>
      <c r="C134" s="18" t="s">
        <v>67</v>
      </c>
      <c r="D134" s="18" t="s">
        <v>202</v>
      </c>
      <c r="E134" s="16">
        <v>133</v>
      </c>
      <c r="F134" s="17">
        <v>46051</v>
      </c>
      <c r="G134" s="10" t="s">
        <v>614</v>
      </c>
      <c r="H134" s="10">
        <f t="shared" si="6"/>
        <v>15</v>
      </c>
      <c r="I134" s="10">
        <f ca="1">IF(AND(F134&lt;&gt;"", J134&lt;&gt;""), NETWORKDAYS(TODAY(), J134-1, FESTIVOS!A$1:A$55), "")</f>
        <v>-76</v>
      </c>
      <c r="J134" s="11">
        <f>IF(AND(F134&lt;&gt;"", H134&lt;&gt;""), WORKDAY(F134, H134, FESTIVOS!A$1:A$55), "")</f>
        <v>46072</v>
      </c>
      <c r="K134" s="10" t="s">
        <v>656</v>
      </c>
      <c r="L134" s="10">
        <f t="shared" ca="1" si="7"/>
        <v>0</v>
      </c>
      <c r="M134" s="10" t="str">
        <f t="shared" ca="1" si="8"/>
        <v>Vencido</v>
      </c>
      <c r="N134" s="10" t="s">
        <v>606</v>
      </c>
      <c r="O134" s="11">
        <v>46036</v>
      </c>
      <c r="P134" s="35">
        <f>IF(OR(O134="", J134=""), "", NETWORKDAYS(J134, O134, FESTIVOS!A133:A187))</f>
        <v>-27</v>
      </c>
    </row>
    <row r="135" spans="1:16" ht="15.75" x14ac:dyDescent="0.25">
      <c r="A135" s="10" t="s">
        <v>18</v>
      </c>
      <c r="B135" s="18" t="s">
        <v>203</v>
      </c>
      <c r="C135" s="18" t="s">
        <v>67</v>
      </c>
      <c r="D135" s="18" t="s">
        <v>204</v>
      </c>
      <c r="E135" s="16">
        <v>134</v>
      </c>
      <c r="F135" s="17">
        <v>46051</v>
      </c>
      <c r="G135" s="10" t="s">
        <v>615</v>
      </c>
      <c r="H135" s="10">
        <f t="shared" si="6"/>
        <v>15</v>
      </c>
      <c r="I135" s="10">
        <f ca="1">IF(AND(F135&lt;&gt;"", J135&lt;&gt;""), NETWORKDAYS(TODAY(), J135-1, FESTIVOS!A$1:A$55), "")</f>
        <v>-76</v>
      </c>
      <c r="J135" s="11">
        <f>IF(AND(F135&lt;&gt;"", H135&lt;&gt;""), WORKDAY(F135, H135, FESTIVOS!A$1:A$55), "")</f>
        <v>46072</v>
      </c>
      <c r="K135" s="10" t="s">
        <v>656</v>
      </c>
      <c r="L135" s="10">
        <f t="shared" ca="1" si="7"/>
        <v>0</v>
      </c>
      <c r="M135" s="10" t="str">
        <f t="shared" ca="1" si="8"/>
        <v>Vencido</v>
      </c>
      <c r="N135" s="10" t="s">
        <v>606</v>
      </c>
      <c r="O135" s="11">
        <v>46036</v>
      </c>
      <c r="P135" s="35">
        <f>IF(OR(O135="", J135=""), "", NETWORKDAYS(J135, O135, FESTIVOS!A134:A188))</f>
        <v>-27</v>
      </c>
    </row>
    <row r="136" spans="1:16" ht="126" x14ac:dyDescent="0.25">
      <c r="A136" s="10" t="s">
        <v>18</v>
      </c>
      <c r="B136" s="18" t="s">
        <v>111</v>
      </c>
      <c r="C136" s="18" t="s">
        <v>67</v>
      </c>
      <c r="D136" s="18" t="s">
        <v>205</v>
      </c>
      <c r="E136" s="16">
        <v>135</v>
      </c>
      <c r="F136" s="17">
        <v>46052</v>
      </c>
      <c r="G136" s="10" t="s">
        <v>617</v>
      </c>
      <c r="H136" s="10">
        <f t="shared" si="6"/>
        <v>15</v>
      </c>
      <c r="I136" s="10">
        <f ca="1">IF(AND(F136&lt;&gt;"", J136&lt;&gt;""), NETWORKDAYS(TODAY(), J136-1, FESTIVOS!A$1:A$55), "")</f>
        <v>-75</v>
      </c>
      <c r="J136" s="11">
        <f>IF(AND(F136&lt;&gt;"", H136&lt;&gt;""), WORKDAY(F136, H136, FESTIVOS!A$1:A$55), "")</f>
        <v>46073</v>
      </c>
      <c r="K136" s="10" t="s">
        <v>656</v>
      </c>
      <c r="L136" s="10">
        <f t="shared" ca="1" si="7"/>
        <v>0</v>
      </c>
      <c r="M136" s="10" t="str">
        <f t="shared" ca="1" si="8"/>
        <v>Vencido</v>
      </c>
      <c r="N136" s="10" t="s">
        <v>606</v>
      </c>
      <c r="O136" s="11">
        <v>46036</v>
      </c>
      <c r="P136" s="35">
        <f>IF(OR(O136="", J136=""), "", NETWORKDAYS(J136, O136, FESTIVOS!A135:A189))</f>
        <v>-28</v>
      </c>
    </row>
    <row r="137" spans="1:16" ht="15.75" x14ac:dyDescent="0.25">
      <c r="A137" s="10" t="s">
        <v>18</v>
      </c>
      <c r="B137" s="18" t="s">
        <v>206</v>
      </c>
      <c r="C137" s="18" t="s">
        <v>67</v>
      </c>
      <c r="D137" s="18" t="s">
        <v>207</v>
      </c>
      <c r="E137" s="16">
        <v>136</v>
      </c>
      <c r="F137" s="17">
        <v>46052</v>
      </c>
      <c r="G137" s="10" t="s">
        <v>615</v>
      </c>
      <c r="H137" s="10">
        <f t="shared" si="6"/>
        <v>15</v>
      </c>
      <c r="I137" s="10">
        <f ca="1">IF(AND(F137&lt;&gt;"", J137&lt;&gt;""), NETWORKDAYS(TODAY(), J137-1, FESTIVOS!A$1:A$55), "")</f>
        <v>-75</v>
      </c>
      <c r="J137" s="11">
        <f>IF(AND(F137&lt;&gt;"", H137&lt;&gt;""), WORKDAY(F137, H137, FESTIVOS!A$1:A$55), "")</f>
        <v>46073</v>
      </c>
      <c r="K137" s="10" t="s">
        <v>656</v>
      </c>
      <c r="L137" s="10">
        <f t="shared" ca="1" si="7"/>
        <v>0</v>
      </c>
      <c r="M137" s="10" t="str">
        <f t="shared" ca="1" si="8"/>
        <v>Vencido</v>
      </c>
      <c r="N137" s="10" t="s">
        <v>606</v>
      </c>
      <c r="O137" s="11">
        <v>46036</v>
      </c>
      <c r="P137" s="35">
        <f>IF(OR(O137="", J137=""), "", NETWORKDAYS(J137, O137, FESTIVOS!A136:A190))</f>
        <v>-28</v>
      </c>
    </row>
    <row r="138" spans="1:16" ht="15.75" x14ac:dyDescent="0.25">
      <c r="A138" s="10" t="s">
        <v>18</v>
      </c>
      <c r="B138" s="18" t="s">
        <v>208</v>
      </c>
      <c r="C138" s="18" t="s">
        <v>67</v>
      </c>
      <c r="D138" s="18" t="s">
        <v>118</v>
      </c>
      <c r="E138" s="16">
        <v>137</v>
      </c>
      <c r="F138" s="17">
        <v>46052</v>
      </c>
      <c r="G138" s="10" t="s">
        <v>614</v>
      </c>
      <c r="H138" s="10">
        <f t="shared" si="6"/>
        <v>15</v>
      </c>
      <c r="I138" s="10">
        <f ca="1">IF(AND(F138&lt;&gt;"", J138&lt;&gt;""), NETWORKDAYS(TODAY(), J138-1, FESTIVOS!A$1:A$55), "")</f>
        <v>-75</v>
      </c>
      <c r="J138" s="11">
        <f>IF(AND(F138&lt;&gt;"", H138&lt;&gt;""), WORKDAY(F138, H138, FESTIVOS!A$1:A$55), "")</f>
        <v>46073</v>
      </c>
      <c r="K138" s="10" t="s">
        <v>656</v>
      </c>
      <c r="L138" s="10">
        <f t="shared" ca="1" si="7"/>
        <v>0</v>
      </c>
      <c r="M138" s="10" t="str">
        <f t="shared" ca="1" si="8"/>
        <v>Vencido</v>
      </c>
      <c r="N138" s="10" t="s">
        <v>606</v>
      </c>
      <c r="O138" s="11">
        <v>46036</v>
      </c>
      <c r="P138" s="35">
        <f>IF(OR(O138="", J138=""), "", NETWORKDAYS(J138, O138, FESTIVOS!A137:A191))</f>
        <v>-28</v>
      </c>
    </row>
    <row r="139" spans="1:16" ht="47.25" x14ac:dyDescent="0.25">
      <c r="A139" s="10" t="s">
        <v>18</v>
      </c>
      <c r="B139" s="18" t="s">
        <v>209</v>
      </c>
      <c r="C139" s="18" t="s">
        <v>67</v>
      </c>
      <c r="D139" s="18" t="s">
        <v>210</v>
      </c>
      <c r="E139" s="16">
        <v>138</v>
      </c>
      <c r="F139" s="17">
        <v>46052</v>
      </c>
      <c r="G139" s="10" t="s">
        <v>615</v>
      </c>
      <c r="H139" s="10">
        <f t="shared" si="6"/>
        <v>15</v>
      </c>
      <c r="I139" s="10">
        <f ca="1">IF(AND(F139&lt;&gt;"", J139&lt;&gt;""), NETWORKDAYS(TODAY(), J139-1, FESTIVOS!A$1:A$55), "")</f>
        <v>-75</v>
      </c>
      <c r="J139" s="11">
        <f>IF(AND(F139&lt;&gt;"", H139&lt;&gt;""), WORKDAY(F139, H139, FESTIVOS!A$1:A$55), "")</f>
        <v>46073</v>
      </c>
      <c r="K139" s="10" t="s">
        <v>656</v>
      </c>
      <c r="L139" s="10">
        <f t="shared" ca="1" si="7"/>
        <v>0</v>
      </c>
      <c r="M139" s="10" t="str">
        <f t="shared" ca="1" si="8"/>
        <v>Vencido</v>
      </c>
      <c r="N139" s="10" t="s">
        <v>606</v>
      </c>
      <c r="O139" s="11">
        <v>46036</v>
      </c>
      <c r="P139" s="35">
        <f>IF(OR(O139="", J139=""), "", NETWORKDAYS(J139, O139, FESTIVOS!A138:A192))</f>
        <v>-28</v>
      </c>
    </row>
    <row r="140" spans="1:16" ht="31.5" x14ac:dyDescent="0.25">
      <c r="A140" s="10" t="s">
        <v>18</v>
      </c>
      <c r="B140" s="18" t="s">
        <v>211</v>
      </c>
      <c r="C140" s="18" t="s">
        <v>67</v>
      </c>
      <c r="D140" s="18" t="s">
        <v>212</v>
      </c>
      <c r="E140" s="16">
        <v>139</v>
      </c>
      <c r="F140" s="17">
        <v>46052</v>
      </c>
      <c r="G140" s="10" t="s">
        <v>615</v>
      </c>
      <c r="H140" s="10">
        <f t="shared" si="6"/>
        <v>15</v>
      </c>
      <c r="I140" s="10">
        <f ca="1">IF(AND(F140&lt;&gt;"", J140&lt;&gt;""), NETWORKDAYS(TODAY(), J140-1, FESTIVOS!A$1:A$55), "")</f>
        <v>-75</v>
      </c>
      <c r="J140" s="11">
        <f>IF(AND(F140&lt;&gt;"", H140&lt;&gt;""), WORKDAY(F140, H140, FESTIVOS!A$1:A$55), "")</f>
        <v>46073</v>
      </c>
      <c r="K140" s="10" t="s">
        <v>656</v>
      </c>
      <c r="L140" s="10">
        <f t="shared" ca="1" si="7"/>
        <v>0</v>
      </c>
      <c r="M140" s="10" t="str">
        <f t="shared" ca="1" si="8"/>
        <v>Vencido</v>
      </c>
      <c r="N140" s="10" t="s">
        <v>606</v>
      </c>
      <c r="O140" s="11">
        <v>46036</v>
      </c>
      <c r="P140" s="35">
        <f>IF(OR(O140="", J140=""), "", NETWORKDAYS(J140, O140, FESTIVOS!A139:A193))</f>
        <v>-28</v>
      </c>
    </row>
    <row r="141" spans="1:16" ht="15.75" x14ac:dyDescent="0.25">
      <c r="A141" s="10" t="s">
        <v>18</v>
      </c>
      <c r="B141" s="18" t="s">
        <v>213</v>
      </c>
      <c r="C141" s="18" t="s">
        <v>67</v>
      </c>
      <c r="D141" s="18" t="s">
        <v>30</v>
      </c>
      <c r="E141" s="16">
        <v>140</v>
      </c>
      <c r="F141" s="17">
        <v>46055</v>
      </c>
      <c r="G141" s="10" t="s">
        <v>615</v>
      </c>
      <c r="H141" s="10">
        <f t="shared" si="6"/>
        <v>15</v>
      </c>
      <c r="I141" s="10">
        <f ca="1">IF(AND(F141&lt;&gt;"", J141&lt;&gt;""), NETWORKDAYS(TODAY(), J141-1, FESTIVOS!A$1:A$55), "")</f>
        <v>-73</v>
      </c>
      <c r="J141" s="11">
        <f>IF(AND(F141&lt;&gt;"", H141&lt;&gt;""), WORKDAY(F141, H141, FESTIVOS!A$1:A$55), "")</f>
        <v>46076</v>
      </c>
      <c r="K141" s="10" t="s">
        <v>656</v>
      </c>
      <c r="L141" s="10">
        <f t="shared" ca="1" si="7"/>
        <v>0</v>
      </c>
      <c r="M141" s="10" t="str">
        <f t="shared" ca="1" si="8"/>
        <v>Vencido</v>
      </c>
      <c r="N141" s="10" t="s">
        <v>606</v>
      </c>
      <c r="O141" s="11">
        <v>46036</v>
      </c>
      <c r="P141" s="35">
        <f>IF(OR(O141="", J141=""), "", NETWORKDAYS(J141, O141, FESTIVOS!A140:A194))</f>
        <v>-29</v>
      </c>
    </row>
    <row r="142" spans="1:16" ht="31.5" x14ac:dyDescent="0.25">
      <c r="A142" s="10" t="s">
        <v>18</v>
      </c>
      <c r="B142" s="18" t="s">
        <v>214</v>
      </c>
      <c r="C142" s="18" t="s">
        <v>67</v>
      </c>
      <c r="D142" s="18" t="s">
        <v>215</v>
      </c>
      <c r="E142" s="16">
        <v>141</v>
      </c>
      <c r="F142" s="17">
        <v>46055</v>
      </c>
      <c r="G142" s="10" t="s">
        <v>615</v>
      </c>
      <c r="H142" s="10">
        <f t="shared" si="6"/>
        <v>15</v>
      </c>
      <c r="I142" s="10">
        <f ca="1">IF(AND(F142&lt;&gt;"", J142&lt;&gt;""), NETWORKDAYS(TODAY(), J142-1, FESTIVOS!A$1:A$55), "")</f>
        <v>-73</v>
      </c>
      <c r="J142" s="11">
        <f>IF(AND(F142&lt;&gt;"", H142&lt;&gt;""), WORKDAY(F142, H142, FESTIVOS!A$1:A$55), "")</f>
        <v>46076</v>
      </c>
      <c r="K142" s="10" t="s">
        <v>656</v>
      </c>
      <c r="L142" s="10">
        <f t="shared" ca="1" si="7"/>
        <v>0</v>
      </c>
      <c r="M142" s="10" t="str">
        <f t="shared" ca="1" si="8"/>
        <v>Vencido</v>
      </c>
      <c r="N142" s="10" t="s">
        <v>606</v>
      </c>
      <c r="O142" s="11">
        <v>46036</v>
      </c>
      <c r="P142" s="35">
        <f>IF(OR(O142="", J142=""), "", NETWORKDAYS(J142, O142, FESTIVOS!A141:A195))</f>
        <v>-29</v>
      </c>
    </row>
    <row r="143" spans="1:16" ht="15.75" x14ac:dyDescent="0.25">
      <c r="A143" s="10" t="s">
        <v>18</v>
      </c>
      <c r="B143" s="18" t="s">
        <v>216</v>
      </c>
      <c r="C143" s="18" t="s">
        <v>67</v>
      </c>
      <c r="D143" s="18" t="s">
        <v>217</v>
      </c>
      <c r="E143" s="16">
        <v>142</v>
      </c>
      <c r="F143" s="17">
        <v>46055</v>
      </c>
      <c r="G143" s="10" t="s">
        <v>615</v>
      </c>
      <c r="H143" s="10">
        <f t="shared" si="6"/>
        <v>15</v>
      </c>
      <c r="I143" s="10">
        <f ca="1">IF(AND(F143&lt;&gt;"", J143&lt;&gt;""), NETWORKDAYS(TODAY(), J143-1, FESTIVOS!A$1:A$55), "")</f>
        <v>-73</v>
      </c>
      <c r="J143" s="11">
        <f>IF(AND(F143&lt;&gt;"", H143&lt;&gt;""), WORKDAY(F143, H143, FESTIVOS!A$1:A$55), "")</f>
        <v>46076</v>
      </c>
      <c r="K143" s="10" t="s">
        <v>656</v>
      </c>
      <c r="L143" s="10">
        <f t="shared" ca="1" si="7"/>
        <v>0</v>
      </c>
      <c r="M143" s="10" t="str">
        <f t="shared" ca="1" si="8"/>
        <v>Vencido</v>
      </c>
      <c r="N143" s="10" t="s">
        <v>606</v>
      </c>
      <c r="O143" s="11">
        <v>46036</v>
      </c>
      <c r="P143" s="35">
        <f>IF(OR(O143="", J143=""), "", NETWORKDAYS(J143, O143, FESTIVOS!A142:A196))</f>
        <v>-29</v>
      </c>
    </row>
    <row r="144" spans="1:16" ht="15.75" x14ac:dyDescent="0.25">
      <c r="A144" s="10" t="s">
        <v>18</v>
      </c>
      <c r="B144" s="18" t="s">
        <v>114</v>
      </c>
      <c r="C144" s="18" t="s">
        <v>84</v>
      </c>
      <c r="D144" s="18" t="s">
        <v>39</v>
      </c>
      <c r="E144" s="16">
        <v>143</v>
      </c>
      <c r="F144" s="17">
        <v>46055</v>
      </c>
      <c r="G144" s="10" t="s">
        <v>615</v>
      </c>
      <c r="H144" s="10">
        <f t="shared" si="6"/>
        <v>15</v>
      </c>
      <c r="I144" s="10">
        <f ca="1">IF(AND(F144&lt;&gt;"", J144&lt;&gt;""), NETWORKDAYS(TODAY(), J144-1, FESTIVOS!A$1:A$55), "")</f>
        <v>-73</v>
      </c>
      <c r="J144" s="11">
        <f>IF(AND(F144&lt;&gt;"", H144&lt;&gt;""), WORKDAY(F144, H144, FESTIVOS!A$1:A$55), "")</f>
        <v>46076</v>
      </c>
      <c r="K144" s="10" t="s">
        <v>656</v>
      </c>
      <c r="L144" s="10">
        <f t="shared" ca="1" si="7"/>
        <v>0</v>
      </c>
      <c r="M144" s="10" t="str">
        <f t="shared" ca="1" si="8"/>
        <v>Vencido</v>
      </c>
      <c r="N144" s="10" t="s">
        <v>606</v>
      </c>
      <c r="O144" s="11">
        <v>46036</v>
      </c>
      <c r="P144" s="35">
        <f>IF(OR(O144="", J144=""), "", NETWORKDAYS(J144, O144, FESTIVOS!A143:A197))</f>
        <v>-29</v>
      </c>
    </row>
    <row r="145" spans="1:16" ht="15.75" x14ac:dyDescent="0.25">
      <c r="A145" s="10" t="s">
        <v>18</v>
      </c>
      <c r="B145" s="18" t="s">
        <v>114</v>
      </c>
      <c r="C145" s="18" t="s">
        <v>84</v>
      </c>
      <c r="D145" s="18" t="s">
        <v>39</v>
      </c>
      <c r="E145" s="16">
        <v>144</v>
      </c>
      <c r="F145" s="17">
        <v>46055</v>
      </c>
      <c r="G145" s="10" t="s">
        <v>615</v>
      </c>
      <c r="H145" s="10">
        <f t="shared" si="6"/>
        <v>15</v>
      </c>
      <c r="I145" s="10">
        <f ca="1">IF(AND(F145&lt;&gt;"", J145&lt;&gt;""), NETWORKDAYS(TODAY(), J145-1, FESTIVOS!A$1:A$55), "")</f>
        <v>-73</v>
      </c>
      <c r="J145" s="11">
        <f>IF(AND(F145&lt;&gt;"", H145&lt;&gt;""), WORKDAY(F145, H145, FESTIVOS!A$1:A$55), "")</f>
        <v>46076</v>
      </c>
      <c r="K145" s="10" t="s">
        <v>656</v>
      </c>
      <c r="L145" s="10">
        <f t="shared" ca="1" si="7"/>
        <v>0</v>
      </c>
      <c r="M145" s="10" t="str">
        <f t="shared" ca="1" si="8"/>
        <v>Vencido</v>
      </c>
      <c r="N145" s="10" t="s">
        <v>606</v>
      </c>
      <c r="O145" s="11">
        <v>46036</v>
      </c>
      <c r="P145" s="35">
        <f>IF(OR(O145="", J145=""), "", NETWORKDAYS(J145, O145, FESTIVOS!A144:A198))</f>
        <v>-29</v>
      </c>
    </row>
    <row r="146" spans="1:16" ht="63" x14ac:dyDescent="0.25">
      <c r="A146" s="10" t="s">
        <v>18</v>
      </c>
      <c r="B146" s="18" t="s">
        <v>218</v>
      </c>
      <c r="C146" s="18" t="s">
        <v>88</v>
      </c>
      <c r="D146" s="18" t="s">
        <v>219</v>
      </c>
      <c r="E146" s="16">
        <v>145</v>
      </c>
      <c r="F146" s="17">
        <v>46055</v>
      </c>
      <c r="G146" s="10" t="s">
        <v>615</v>
      </c>
      <c r="H146" s="10">
        <f t="shared" si="6"/>
        <v>15</v>
      </c>
      <c r="I146" s="10">
        <f ca="1">IF(AND(F146&lt;&gt;"", J146&lt;&gt;""), NETWORKDAYS(TODAY(), J146-1, FESTIVOS!A$1:A$55), "")</f>
        <v>-73</v>
      </c>
      <c r="J146" s="11">
        <f>IF(AND(F146&lt;&gt;"", H146&lt;&gt;""), WORKDAY(F146, H146, FESTIVOS!A$1:A$55), "")</f>
        <v>46076</v>
      </c>
      <c r="K146" s="10" t="s">
        <v>656</v>
      </c>
      <c r="L146" s="10">
        <f t="shared" ca="1" si="7"/>
        <v>0</v>
      </c>
      <c r="M146" s="10" t="str">
        <f t="shared" ca="1" si="8"/>
        <v>Vencido</v>
      </c>
      <c r="N146" s="10" t="s">
        <v>606</v>
      </c>
      <c r="O146" s="11">
        <v>46036</v>
      </c>
      <c r="P146" s="35">
        <f>IF(OR(O146="", J146=""), "", NETWORKDAYS(J146, O146, FESTIVOS!A145:A199))</f>
        <v>-29</v>
      </c>
    </row>
    <row r="147" spans="1:16" ht="15.75" x14ac:dyDescent="0.25">
      <c r="A147" s="10" t="s">
        <v>18</v>
      </c>
      <c r="B147" s="18" t="s">
        <v>220</v>
      </c>
      <c r="C147" s="18" t="s">
        <v>67</v>
      </c>
      <c r="D147" s="18" t="s">
        <v>30</v>
      </c>
      <c r="E147" s="16">
        <v>146</v>
      </c>
      <c r="F147" s="17">
        <v>46055</v>
      </c>
      <c r="G147" s="10" t="s">
        <v>615</v>
      </c>
      <c r="H147" s="10">
        <f t="shared" si="6"/>
        <v>15</v>
      </c>
      <c r="I147" s="10">
        <f ca="1">IF(AND(F147&lt;&gt;"", J147&lt;&gt;""), NETWORKDAYS(TODAY(), J147-1, FESTIVOS!A$1:A$55), "")</f>
        <v>-73</v>
      </c>
      <c r="J147" s="11">
        <f>IF(AND(F147&lt;&gt;"", H147&lt;&gt;""), WORKDAY(F147, H147, FESTIVOS!A$1:A$55), "")</f>
        <v>46076</v>
      </c>
      <c r="K147" s="10" t="s">
        <v>656</v>
      </c>
      <c r="L147" s="10">
        <f t="shared" ca="1" si="7"/>
        <v>0</v>
      </c>
      <c r="M147" s="10" t="str">
        <f t="shared" ca="1" si="8"/>
        <v>Vencido</v>
      </c>
      <c r="N147" s="10" t="s">
        <v>606</v>
      </c>
      <c r="O147" s="11">
        <v>46036</v>
      </c>
      <c r="P147" s="35">
        <f>IF(OR(O147="", J147=""), "", NETWORKDAYS(J147, O147, FESTIVOS!A146:A200))</f>
        <v>-29</v>
      </c>
    </row>
    <row r="148" spans="1:16" ht="110.25" x14ac:dyDescent="0.25">
      <c r="A148" s="10" t="s">
        <v>18</v>
      </c>
      <c r="B148" s="18" t="s">
        <v>218</v>
      </c>
      <c r="C148" s="18" t="s">
        <v>88</v>
      </c>
      <c r="D148" s="18" t="s">
        <v>221</v>
      </c>
      <c r="E148" s="16">
        <v>147</v>
      </c>
      <c r="F148" s="17">
        <v>46055</v>
      </c>
      <c r="G148" s="10" t="s">
        <v>614</v>
      </c>
      <c r="H148" s="10">
        <f t="shared" si="6"/>
        <v>15</v>
      </c>
      <c r="I148" s="10">
        <f ca="1">IF(AND(F148&lt;&gt;"", J148&lt;&gt;""), NETWORKDAYS(TODAY(), J148-1, FESTIVOS!A$1:A$55), "")</f>
        <v>-73</v>
      </c>
      <c r="J148" s="11">
        <f>IF(AND(F148&lt;&gt;"", H148&lt;&gt;""), WORKDAY(F148, H148, FESTIVOS!A$1:A$55), "")</f>
        <v>46076</v>
      </c>
      <c r="K148" s="10" t="s">
        <v>656</v>
      </c>
      <c r="L148" s="10">
        <f t="shared" ca="1" si="7"/>
        <v>0</v>
      </c>
      <c r="M148" s="10" t="str">
        <f t="shared" ca="1" si="8"/>
        <v>Vencido</v>
      </c>
      <c r="N148" s="10" t="s">
        <v>606</v>
      </c>
      <c r="O148" s="11">
        <v>46036</v>
      </c>
      <c r="P148" s="35">
        <f>IF(OR(O148="", J148=""), "", NETWORKDAYS(J148, O148, FESTIVOS!A147:A201))</f>
        <v>-29</v>
      </c>
    </row>
    <row r="149" spans="1:16" ht="15.75" x14ac:dyDescent="0.25">
      <c r="A149" s="10" t="s">
        <v>18</v>
      </c>
      <c r="B149" s="18" t="s">
        <v>222</v>
      </c>
      <c r="C149" s="18" t="s">
        <v>67</v>
      </c>
      <c r="D149" s="18" t="s">
        <v>30</v>
      </c>
      <c r="E149" s="16">
        <v>148</v>
      </c>
      <c r="F149" s="17">
        <v>46055</v>
      </c>
      <c r="G149" s="10" t="s">
        <v>615</v>
      </c>
      <c r="H149" s="10">
        <f t="shared" si="6"/>
        <v>15</v>
      </c>
      <c r="I149" s="10">
        <f ca="1">IF(AND(F149&lt;&gt;"", J149&lt;&gt;""), NETWORKDAYS(TODAY(), J149-1, FESTIVOS!A$1:A$55), "")</f>
        <v>-73</v>
      </c>
      <c r="J149" s="11">
        <f>IF(AND(F149&lt;&gt;"", H149&lt;&gt;""), WORKDAY(F149, H149, FESTIVOS!A$1:A$55), "")</f>
        <v>46076</v>
      </c>
      <c r="K149" s="10" t="s">
        <v>656</v>
      </c>
      <c r="L149" s="10">
        <f t="shared" ca="1" si="7"/>
        <v>0</v>
      </c>
      <c r="M149" s="10" t="str">
        <f t="shared" ca="1" si="8"/>
        <v>Vencido</v>
      </c>
      <c r="N149" s="10" t="s">
        <v>606</v>
      </c>
      <c r="O149" s="11">
        <v>46036</v>
      </c>
      <c r="P149" s="35">
        <f>IF(OR(O149="", J149=""), "", NETWORKDAYS(J149, O149, FESTIVOS!A148:A202))</f>
        <v>-29</v>
      </c>
    </row>
    <row r="150" spans="1:16" ht="15.75" x14ac:dyDescent="0.25">
      <c r="A150" s="10" t="s">
        <v>18</v>
      </c>
      <c r="B150" s="18" t="s">
        <v>223</v>
      </c>
      <c r="C150" s="18" t="s">
        <v>67</v>
      </c>
      <c r="D150" s="18" t="s">
        <v>224</v>
      </c>
      <c r="E150" s="16">
        <v>149</v>
      </c>
      <c r="F150" s="17">
        <v>46055</v>
      </c>
      <c r="G150" s="10" t="s">
        <v>615</v>
      </c>
      <c r="H150" s="10">
        <f t="shared" si="6"/>
        <v>15</v>
      </c>
      <c r="I150" s="10">
        <f ca="1">IF(AND(F150&lt;&gt;"", J150&lt;&gt;""), NETWORKDAYS(TODAY(), J150-1, FESTIVOS!A$1:A$55), "")</f>
        <v>-73</v>
      </c>
      <c r="J150" s="11">
        <f>IF(AND(F150&lt;&gt;"", H150&lt;&gt;""), WORKDAY(F150, H150, FESTIVOS!A$1:A$55), "")</f>
        <v>46076</v>
      </c>
      <c r="K150" s="10" t="s">
        <v>656</v>
      </c>
      <c r="L150" s="10">
        <f t="shared" ca="1" si="7"/>
        <v>0</v>
      </c>
      <c r="M150" s="10" t="str">
        <f t="shared" ca="1" si="8"/>
        <v>Vencido</v>
      </c>
      <c r="N150" s="10" t="s">
        <v>606</v>
      </c>
      <c r="O150" s="11">
        <v>46036</v>
      </c>
      <c r="P150" s="35">
        <f>IF(OR(O150="", J150=""), "", NETWORKDAYS(J150, O150, FESTIVOS!A149:A203))</f>
        <v>-29</v>
      </c>
    </row>
    <row r="151" spans="1:16" ht="31.5" x14ac:dyDescent="0.25">
      <c r="A151" s="10" t="s">
        <v>18</v>
      </c>
      <c r="B151" s="18" t="s">
        <v>225</v>
      </c>
      <c r="C151" s="18" t="s">
        <v>88</v>
      </c>
      <c r="D151" s="23" t="s">
        <v>226</v>
      </c>
      <c r="E151" s="16">
        <v>150</v>
      </c>
      <c r="F151" s="17">
        <v>46055</v>
      </c>
      <c r="G151" s="10" t="s">
        <v>615</v>
      </c>
      <c r="H151" s="10">
        <f t="shared" si="6"/>
        <v>15</v>
      </c>
      <c r="I151" s="10">
        <f ca="1">IF(AND(F151&lt;&gt;"", J151&lt;&gt;""), NETWORKDAYS(TODAY(), J151-1, FESTIVOS!A$1:A$55), "")</f>
        <v>-73</v>
      </c>
      <c r="J151" s="11">
        <f>IF(AND(F151&lt;&gt;"", H151&lt;&gt;""), WORKDAY(F151, H151, FESTIVOS!A$1:A$55), "")</f>
        <v>46076</v>
      </c>
      <c r="K151" s="10" t="s">
        <v>656</v>
      </c>
      <c r="L151" s="10">
        <f t="shared" ca="1" si="7"/>
        <v>0</v>
      </c>
      <c r="M151" s="10" t="str">
        <f t="shared" ca="1" si="8"/>
        <v>Vencido</v>
      </c>
      <c r="N151" s="10" t="s">
        <v>606</v>
      </c>
      <c r="O151" s="11">
        <v>46036</v>
      </c>
      <c r="P151" s="35">
        <f>IF(OR(O151="", J151=""), "", NETWORKDAYS(J151, O151, FESTIVOS!A150:A204))</f>
        <v>-29</v>
      </c>
    </row>
    <row r="152" spans="1:16" ht="15.75" x14ac:dyDescent="0.25">
      <c r="A152" s="10" t="s">
        <v>18</v>
      </c>
      <c r="B152" s="18" t="s">
        <v>98</v>
      </c>
      <c r="C152" s="18" t="s">
        <v>67</v>
      </c>
      <c r="D152" s="18" t="s">
        <v>227</v>
      </c>
      <c r="E152" s="16">
        <v>151</v>
      </c>
      <c r="F152" s="17">
        <v>46056</v>
      </c>
      <c r="G152" s="10" t="s">
        <v>614</v>
      </c>
      <c r="H152" s="10">
        <f t="shared" si="6"/>
        <v>15</v>
      </c>
      <c r="I152" s="10">
        <f ca="1">IF(AND(F152&lt;&gt;"", J152&lt;&gt;""), NETWORKDAYS(TODAY(), J152-1, FESTIVOS!A$1:A$55), "")</f>
        <v>-73</v>
      </c>
      <c r="J152" s="11">
        <f>IF(AND(F152&lt;&gt;"", H152&lt;&gt;""), WORKDAY(F152, H152, FESTIVOS!A$1:A$55), "")</f>
        <v>46077</v>
      </c>
      <c r="K152" s="10" t="s">
        <v>656</v>
      </c>
      <c r="L152" s="10">
        <f t="shared" ca="1" si="7"/>
        <v>0</v>
      </c>
      <c r="M152" s="10" t="str">
        <f t="shared" ca="1" si="8"/>
        <v>Vencido</v>
      </c>
      <c r="N152" s="10" t="s">
        <v>606</v>
      </c>
      <c r="O152" s="11">
        <v>46036</v>
      </c>
      <c r="P152" s="35">
        <f>IF(OR(O152="", J152=""), "", NETWORKDAYS(J152, O152, FESTIVOS!A151:A205))</f>
        <v>-30</v>
      </c>
    </row>
    <row r="153" spans="1:16" ht="31.5" x14ac:dyDescent="0.25">
      <c r="A153" s="10" t="s">
        <v>18</v>
      </c>
      <c r="B153" s="18" t="s">
        <v>228</v>
      </c>
      <c r="C153" s="18" t="s">
        <v>67</v>
      </c>
      <c r="D153" s="18" t="s">
        <v>229</v>
      </c>
      <c r="E153" s="16">
        <v>152</v>
      </c>
      <c r="F153" s="17">
        <v>46056</v>
      </c>
      <c r="G153" s="10" t="s">
        <v>615</v>
      </c>
      <c r="H153" s="10">
        <f t="shared" si="6"/>
        <v>15</v>
      </c>
      <c r="I153" s="10">
        <f ca="1">IF(AND(F153&lt;&gt;"", J153&lt;&gt;""), NETWORKDAYS(TODAY(), J153-1, FESTIVOS!A$1:A$55), "")</f>
        <v>-73</v>
      </c>
      <c r="J153" s="11">
        <f>IF(AND(F153&lt;&gt;"", H153&lt;&gt;""), WORKDAY(F153, H153, FESTIVOS!A$1:A$55), "")</f>
        <v>46077</v>
      </c>
      <c r="K153" s="10" t="s">
        <v>656</v>
      </c>
      <c r="L153" s="10">
        <f t="shared" ca="1" si="7"/>
        <v>0</v>
      </c>
      <c r="M153" s="10" t="str">
        <f t="shared" ca="1" si="8"/>
        <v>Vencido</v>
      </c>
      <c r="N153" s="10" t="s">
        <v>606</v>
      </c>
      <c r="O153" s="11">
        <v>46036</v>
      </c>
      <c r="P153" s="35">
        <f>IF(OR(O153="", J153=""), "", NETWORKDAYS(J153, O153, FESTIVOS!A152:A206))</f>
        <v>-30</v>
      </c>
    </row>
    <row r="154" spans="1:16" ht="15.75" x14ac:dyDescent="0.25">
      <c r="A154" s="10" t="s">
        <v>18</v>
      </c>
      <c r="B154" s="18" t="s">
        <v>230</v>
      </c>
      <c r="C154" s="18" t="s">
        <v>65</v>
      </c>
      <c r="D154" s="18" t="s">
        <v>231</v>
      </c>
      <c r="E154" s="16">
        <v>153</v>
      </c>
      <c r="F154" s="17">
        <v>46056</v>
      </c>
      <c r="G154" s="10" t="s">
        <v>658</v>
      </c>
      <c r="H154" s="10">
        <f t="shared" si="6"/>
        <v>15</v>
      </c>
      <c r="I154" s="10">
        <f ca="1">IF(AND(F154&lt;&gt;"", J154&lt;&gt;""), NETWORKDAYS(TODAY(), J154-1, FESTIVOS!A$1:A$55), "")</f>
        <v>-73</v>
      </c>
      <c r="J154" s="11">
        <f>IF(AND(F154&lt;&gt;"", H154&lt;&gt;""), WORKDAY(F154, H154, FESTIVOS!A$1:A$55), "")</f>
        <v>46077</v>
      </c>
      <c r="K154" s="10" t="s">
        <v>656</v>
      </c>
      <c r="L154" s="10">
        <f t="shared" ca="1" si="7"/>
        <v>0</v>
      </c>
      <c r="M154" s="10" t="str">
        <f t="shared" ca="1" si="8"/>
        <v>Vencido</v>
      </c>
      <c r="N154" s="10" t="s">
        <v>606</v>
      </c>
      <c r="O154" s="11">
        <v>46036</v>
      </c>
      <c r="P154" s="35">
        <f>IF(OR(O154="", J154=""), "", NETWORKDAYS(J154, O154, FESTIVOS!A153:A207))</f>
        <v>-30</v>
      </c>
    </row>
    <row r="155" spans="1:16" ht="15.75" x14ac:dyDescent="0.25">
      <c r="A155" s="10" t="s">
        <v>18</v>
      </c>
      <c r="B155" s="18" t="s">
        <v>232</v>
      </c>
      <c r="C155" s="18" t="s">
        <v>67</v>
      </c>
      <c r="D155" s="18" t="s">
        <v>233</v>
      </c>
      <c r="E155" s="16">
        <v>154</v>
      </c>
      <c r="F155" s="17">
        <v>46056</v>
      </c>
      <c r="G155" s="10" t="s">
        <v>615</v>
      </c>
      <c r="H155" s="10">
        <f t="shared" si="6"/>
        <v>15</v>
      </c>
      <c r="I155" s="10">
        <f ca="1">IF(AND(F155&lt;&gt;"", J155&lt;&gt;""), NETWORKDAYS(TODAY(), J155-1, FESTIVOS!A$1:A$55), "")</f>
        <v>-73</v>
      </c>
      <c r="J155" s="11">
        <f>IF(AND(F155&lt;&gt;"", H155&lt;&gt;""), WORKDAY(F155, H155, FESTIVOS!A$1:A$55), "")</f>
        <v>46077</v>
      </c>
      <c r="K155" s="10" t="s">
        <v>656</v>
      </c>
      <c r="L155" s="10">
        <f t="shared" ca="1" si="7"/>
        <v>0</v>
      </c>
      <c r="M155" s="10" t="str">
        <f t="shared" ca="1" si="8"/>
        <v>Vencido</v>
      </c>
      <c r="N155" s="10" t="s">
        <v>606</v>
      </c>
      <c r="O155" s="11">
        <v>46036</v>
      </c>
      <c r="P155" s="35">
        <f>IF(OR(O155="", J155=""), "", NETWORKDAYS(J155, O155, FESTIVOS!A154:A208))</f>
        <v>-30</v>
      </c>
    </row>
    <row r="156" spans="1:16" ht="31.5" x14ac:dyDescent="0.25">
      <c r="A156" s="10" t="s">
        <v>18</v>
      </c>
      <c r="B156" s="18" t="s">
        <v>234</v>
      </c>
      <c r="C156" s="18" t="s">
        <v>67</v>
      </c>
      <c r="D156" s="18" t="s">
        <v>235</v>
      </c>
      <c r="E156" s="16">
        <v>155</v>
      </c>
      <c r="F156" s="17">
        <v>46056</v>
      </c>
      <c r="G156" s="10" t="s">
        <v>615</v>
      </c>
      <c r="H156" s="10">
        <f t="shared" si="6"/>
        <v>15</v>
      </c>
      <c r="I156" s="10">
        <f ca="1">IF(AND(F156&lt;&gt;"", J156&lt;&gt;""), NETWORKDAYS(TODAY(), J156-1, FESTIVOS!A$1:A$55), "")</f>
        <v>-73</v>
      </c>
      <c r="J156" s="11">
        <f>IF(AND(F156&lt;&gt;"", H156&lt;&gt;""), WORKDAY(F156, H156, FESTIVOS!A$1:A$55), "")</f>
        <v>46077</v>
      </c>
      <c r="K156" s="10" t="s">
        <v>656</v>
      </c>
      <c r="L156" s="10">
        <f t="shared" ca="1" si="7"/>
        <v>0</v>
      </c>
      <c r="M156" s="10" t="str">
        <f t="shared" ca="1" si="8"/>
        <v>Vencido</v>
      </c>
      <c r="N156" s="10" t="s">
        <v>606</v>
      </c>
      <c r="O156" s="11">
        <v>46036</v>
      </c>
      <c r="P156" s="35">
        <f>IF(OR(O156="", J156=""), "", NETWORKDAYS(J156, O156, FESTIVOS!A155:A209))</f>
        <v>-30</v>
      </c>
    </row>
    <row r="157" spans="1:16" ht="15.75" x14ac:dyDescent="0.25">
      <c r="A157" s="10" t="s">
        <v>18</v>
      </c>
      <c r="B157" s="18" t="s">
        <v>236</v>
      </c>
      <c r="C157" s="18" t="s">
        <v>67</v>
      </c>
      <c r="D157" s="18" t="s">
        <v>21</v>
      </c>
      <c r="E157" s="16">
        <v>156</v>
      </c>
      <c r="F157" s="17">
        <v>46056</v>
      </c>
      <c r="G157" s="10" t="s">
        <v>615</v>
      </c>
      <c r="H157" s="10">
        <f t="shared" si="6"/>
        <v>15</v>
      </c>
      <c r="I157" s="10">
        <f ca="1">IF(AND(F157&lt;&gt;"", J157&lt;&gt;""), NETWORKDAYS(TODAY(), J157-1, FESTIVOS!A$1:A$55), "")</f>
        <v>-73</v>
      </c>
      <c r="J157" s="11">
        <f>IF(AND(F157&lt;&gt;"", H157&lt;&gt;""), WORKDAY(F157, H157, FESTIVOS!A$1:A$55), "")</f>
        <v>46077</v>
      </c>
      <c r="K157" s="10" t="s">
        <v>656</v>
      </c>
      <c r="L157" s="10">
        <f t="shared" ca="1" si="7"/>
        <v>0</v>
      </c>
      <c r="M157" s="10" t="str">
        <f t="shared" ca="1" si="8"/>
        <v>Vencido</v>
      </c>
      <c r="N157" s="10" t="s">
        <v>606</v>
      </c>
      <c r="O157" s="11">
        <v>46036</v>
      </c>
      <c r="P157" s="35">
        <f>IF(OR(O157="", J157=""), "", NETWORKDAYS(J157, O157, FESTIVOS!A156:A210))</f>
        <v>-30</v>
      </c>
    </row>
    <row r="158" spans="1:16" ht="15.75" x14ac:dyDescent="0.25">
      <c r="A158" s="10" t="s">
        <v>18</v>
      </c>
      <c r="B158" s="18" t="s">
        <v>237</v>
      </c>
      <c r="C158" s="18" t="s">
        <v>67</v>
      </c>
      <c r="D158" s="18" t="s">
        <v>24</v>
      </c>
      <c r="E158" s="16">
        <v>157</v>
      </c>
      <c r="F158" s="17">
        <v>46056</v>
      </c>
      <c r="G158" s="10" t="s">
        <v>617</v>
      </c>
      <c r="H158" s="10">
        <f t="shared" si="6"/>
        <v>15</v>
      </c>
      <c r="I158" s="10">
        <f ca="1">IF(AND(F158&lt;&gt;"", J158&lt;&gt;""), NETWORKDAYS(TODAY(), J158-1, FESTIVOS!A$1:A$55), "")</f>
        <v>-73</v>
      </c>
      <c r="J158" s="11">
        <f>IF(AND(F158&lt;&gt;"", H158&lt;&gt;""), WORKDAY(F158, H158, FESTIVOS!A$1:A$55), "")</f>
        <v>46077</v>
      </c>
      <c r="K158" s="10" t="s">
        <v>656</v>
      </c>
      <c r="L158" s="10">
        <f t="shared" ca="1" si="7"/>
        <v>0</v>
      </c>
      <c r="M158" s="10" t="str">
        <f t="shared" ca="1" si="8"/>
        <v>Vencido</v>
      </c>
      <c r="N158" s="10" t="s">
        <v>606</v>
      </c>
      <c r="O158" s="11">
        <v>46036</v>
      </c>
      <c r="P158" s="35">
        <f>IF(OR(O158="", J158=""), "", NETWORKDAYS(J158, O158, FESTIVOS!A157:A211))</f>
        <v>-30</v>
      </c>
    </row>
    <row r="159" spans="1:16" ht="15.75" x14ac:dyDescent="0.25">
      <c r="A159" s="10" t="s">
        <v>18</v>
      </c>
      <c r="B159" s="18" t="s">
        <v>238</v>
      </c>
      <c r="C159" s="18" t="s">
        <v>67</v>
      </c>
      <c r="D159" s="18" t="s">
        <v>239</v>
      </c>
      <c r="E159" s="16">
        <v>158</v>
      </c>
      <c r="F159" s="17">
        <v>46056</v>
      </c>
      <c r="G159" s="10" t="s">
        <v>614</v>
      </c>
      <c r="H159" s="10">
        <f t="shared" si="6"/>
        <v>15</v>
      </c>
      <c r="I159" s="10">
        <f ca="1">IF(AND(F159&lt;&gt;"", J159&lt;&gt;""), NETWORKDAYS(TODAY(), J159-1, FESTIVOS!A$1:A$55), "")</f>
        <v>-73</v>
      </c>
      <c r="J159" s="11">
        <f>IF(AND(F159&lt;&gt;"", H159&lt;&gt;""), WORKDAY(F159, H159, FESTIVOS!A$1:A$55), "")</f>
        <v>46077</v>
      </c>
      <c r="K159" s="10" t="s">
        <v>656</v>
      </c>
      <c r="L159" s="10">
        <f t="shared" ca="1" si="7"/>
        <v>0</v>
      </c>
      <c r="M159" s="10" t="str">
        <f t="shared" ca="1" si="8"/>
        <v>Vencido</v>
      </c>
      <c r="N159" s="10" t="s">
        <v>606</v>
      </c>
      <c r="O159" s="11">
        <v>46036</v>
      </c>
      <c r="P159" s="35">
        <f>IF(OR(O159="", J159=""), "", NETWORKDAYS(J159, O159, FESTIVOS!A158:A212))</f>
        <v>-30</v>
      </c>
    </row>
    <row r="160" spans="1:16" ht="31.5" x14ac:dyDescent="0.25">
      <c r="A160" s="10" t="s">
        <v>18</v>
      </c>
      <c r="B160" s="18" t="s">
        <v>240</v>
      </c>
      <c r="C160" s="18" t="s">
        <v>67</v>
      </c>
      <c r="D160" s="18" t="s">
        <v>241</v>
      </c>
      <c r="E160" s="16">
        <v>159</v>
      </c>
      <c r="F160" s="17">
        <v>46056</v>
      </c>
      <c r="G160" s="10" t="s">
        <v>646</v>
      </c>
      <c r="H160" s="10">
        <f t="shared" si="6"/>
        <v>15</v>
      </c>
      <c r="I160" s="10">
        <f ca="1">IF(AND(F160&lt;&gt;"", J160&lt;&gt;""), NETWORKDAYS(TODAY(), J160-1, FESTIVOS!A$1:A$55), "")</f>
        <v>-73</v>
      </c>
      <c r="J160" s="11">
        <f>IF(AND(F160&lt;&gt;"", H160&lt;&gt;""), WORKDAY(F160, H160, FESTIVOS!A$1:A$55), "")</f>
        <v>46077</v>
      </c>
      <c r="K160" s="10" t="s">
        <v>656</v>
      </c>
      <c r="L160" s="10">
        <f t="shared" ca="1" si="7"/>
        <v>0</v>
      </c>
      <c r="M160" s="10" t="str">
        <f t="shared" ca="1" si="8"/>
        <v>Vencido</v>
      </c>
      <c r="N160" s="10" t="s">
        <v>606</v>
      </c>
      <c r="O160" s="11">
        <v>46036</v>
      </c>
      <c r="P160" s="35">
        <f>IF(OR(O160="", J160=""), "", NETWORKDAYS(J160, O160, FESTIVOS!A159:A213))</f>
        <v>-30</v>
      </c>
    </row>
    <row r="161" spans="1:16" ht="15.75" x14ac:dyDescent="0.25">
      <c r="A161" s="10" t="s">
        <v>18</v>
      </c>
      <c r="B161" s="18" t="s">
        <v>242</v>
      </c>
      <c r="C161" s="18" t="s">
        <v>67</v>
      </c>
      <c r="D161" s="18" t="s">
        <v>24</v>
      </c>
      <c r="E161" s="16">
        <v>160</v>
      </c>
      <c r="F161" s="17">
        <v>46057</v>
      </c>
      <c r="G161" s="10" t="s">
        <v>614</v>
      </c>
      <c r="H161" s="10">
        <f t="shared" si="6"/>
        <v>15</v>
      </c>
      <c r="I161" s="10">
        <f ca="1">IF(AND(F161&lt;&gt;"", J161&lt;&gt;""), NETWORKDAYS(TODAY(), J161-1, FESTIVOS!A$1:A$55), "")</f>
        <v>-72</v>
      </c>
      <c r="J161" s="11">
        <f>IF(AND(F161&lt;&gt;"", H161&lt;&gt;""), WORKDAY(F161, H161, FESTIVOS!A$1:A$55), "")</f>
        <v>46078</v>
      </c>
      <c r="K161" s="10" t="s">
        <v>656</v>
      </c>
      <c r="L161" s="10">
        <f t="shared" ca="1" si="7"/>
        <v>0</v>
      </c>
      <c r="M161" s="10" t="str">
        <f t="shared" ca="1" si="8"/>
        <v>Vencido</v>
      </c>
      <c r="N161" s="10" t="s">
        <v>606</v>
      </c>
      <c r="O161" s="11">
        <v>46036</v>
      </c>
      <c r="P161" s="35">
        <f>IF(OR(O161="", J161=""), "", NETWORKDAYS(J161, O161, FESTIVOS!A160:A214))</f>
        <v>-31</v>
      </c>
    </row>
    <row r="162" spans="1:16" ht="15.75" x14ac:dyDescent="0.25">
      <c r="A162" s="10" t="s">
        <v>18</v>
      </c>
      <c r="B162" s="18" t="s">
        <v>243</v>
      </c>
      <c r="C162" s="18" t="s">
        <v>67</v>
      </c>
      <c r="D162" s="18" t="s">
        <v>244</v>
      </c>
      <c r="E162" s="16">
        <v>161</v>
      </c>
      <c r="F162" s="17">
        <v>46057</v>
      </c>
      <c r="G162" s="10" t="s">
        <v>617</v>
      </c>
      <c r="H162" s="10">
        <f t="shared" si="6"/>
        <v>15</v>
      </c>
      <c r="I162" s="10">
        <f ca="1">IF(AND(F162&lt;&gt;"", J162&lt;&gt;""), NETWORKDAYS(TODAY(), J162-1, FESTIVOS!A$1:A$55), "")</f>
        <v>-72</v>
      </c>
      <c r="J162" s="11">
        <f>IF(AND(F162&lt;&gt;"", H162&lt;&gt;""), WORKDAY(F162, H162, FESTIVOS!A$1:A$55), "")</f>
        <v>46078</v>
      </c>
      <c r="K162" s="10" t="s">
        <v>656</v>
      </c>
      <c r="L162" s="10">
        <f t="shared" ca="1" si="7"/>
        <v>0</v>
      </c>
      <c r="M162" s="10" t="str">
        <f t="shared" ca="1" si="8"/>
        <v>Vencido</v>
      </c>
      <c r="N162" s="10" t="s">
        <v>606</v>
      </c>
      <c r="O162" s="11">
        <v>46036</v>
      </c>
      <c r="P162" s="35">
        <f>IF(OR(O162="", J162=""), "", NETWORKDAYS(J162, O162, FESTIVOS!A161:A215))</f>
        <v>-31</v>
      </c>
    </row>
    <row r="163" spans="1:16" ht="126" x14ac:dyDescent="0.25">
      <c r="A163" s="10" t="s">
        <v>18</v>
      </c>
      <c r="B163" s="18" t="s">
        <v>245</v>
      </c>
      <c r="C163" s="18" t="s">
        <v>67</v>
      </c>
      <c r="D163" s="18" t="s">
        <v>246</v>
      </c>
      <c r="E163" s="16">
        <v>162</v>
      </c>
      <c r="F163" s="17">
        <v>46057</v>
      </c>
      <c r="G163" s="10" t="s">
        <v>617</v>
      </c>
      <c r="H163" s="10">
        <f t="shared" si="6"/>
        <v>15</v>
      </c>
      <c r="I163" s="10">
        <f ca="1">IF(AND(F163&lt;&gt;"", J163&lt;&gt;""), NETWORKDAYS(TODAY(), J163-1, FESTIVOS!A$1:A$55), "")</f>
        <v>-72</v>
      </c>
      <c r="J163" s="11">
        <f>IF(AND(F163&lt;&gt;"", H163&lt;&gt;""), WORKDAY(F163, H163, FESTIVOS!A$1:A$55), "")</f>
        <v>46078</v>
      </c>
      <c r="K163" s="10" t="s">
        <v>656</v>
      </c>
      <c r="L163" s="10">
        <f t="shared" ca="1" si="7"/>
        <v>0</v>
      </c>
      <c r="M163" s="10" t="str">
        <f t="shared" ca="1" si="8"/>
        <v>Vencido</v>
      </c>
      <c r="N163" s="10" t="s">
        <v>606</v>
      </c>
      <c r="O163" s="11">
        <v>46036</v>
      </c>
      <c r="P163" s="35">
        <f>IF(OR(O163="", J163=""), "", NETWORKDAYS(J163, O163, FESTIVOS!A162:A216))</f>
        <v>-31</v>
      </c>
    </row>
    <row r="164" spans="1:16" ht="15.75" x14ac:dyDescent="0.25">
      <c r="A164" s="10" t="s">
        <v>18</v>
      </c>
      <c r="B164" s="18" t="s">
        <v>247</v>
      </c>
      <c r="C164" s="18" t="s">
        <v>67</v>
      </c>
      <c r="D164" s="18" t="s">
        <v>248</v>
      </c>
      <c r="E164" s="16">
        <v>163</v>
      </c>
      <c r="F164" s="17">
        <v>46057</v>
      </c>
      <c r="G164" s="10" t="s">
        <v>615</v>
      </c>
      <c r="H164" s="10">
        <f t="shared" si="6"/>
        <v>15</v>
      </c>
      <c r="I164" s="10">
        <f ca="1">IF(AND(F164&lt;&gt;"", J164&lt;&gt;""), NETWORKDAYS(TODAY(), J164-1, FESTIVOS!A$1:A$55), "")</f>
        <v>-72</v>
      </c>
      <c r="J164" s="11">
        <f>IF(AND(F164&lt;&gt;"", H164&lt;&gt;""), WORKDAY(F164, H164, FESTIVOS!A$1:A$55), "")</f>
        <v>46078</v>
      </c>
      <c r="K164" s="10" t="s">
        <v>656</v>
      </c>
      <c r="L164" s="10">
        <f t="shared" ca="1" si="7"/>
        <v>0</v>
      </c>
      <c r="M164" s="10" t="str">
        <f t="shared" ca="1" si="8"/>
        <v>Vencido</v>
      </c>
      <c r="N164" s="10" t="s">
        <v>606</v>
      </c>
      <c r="O164" s="11">
        <v>46036</v>
      </c>
      <c r="P164" s="35">
        <f>IF(OR(O164="", J164=""), "", NETWORKDAYS(J164, O164, FESTIVOS!A163:A217))</f>
        <v>-31</v>
      </c>
    </row>
    <row r="165" spans="1:16" ht="47.25" x14ac:dyDescent="0.25">
      <c r="A165" s="10" t="s">
        <v>18</v>
      </c>
      <c r="B165" s="18" t="s">
        <v>249</v>
      </c>
      <c r="C165" s="18" t="s">
        <v>67</v>
      </c>
      <c r="D165" s="18" t="s">
        <v>250</v>
      </c>
      <c r="E165" s="16">
        <v>164</v>
      </c>
      <c r="F165" s="17">
        <v>46057</v>
      </c>
      <c r="G165" s="10" t="s">
        <v>615</v>
      </c>
      <c r="H165" s="10">
        <f t="shared" si="6"/>
        <v>15</v>
      </c>
      <c r="I165" s="10">
        <f ca="1">IF(AND(F165&lt;&gt;"", J165&lt;&gt;""), NETWORKDAYS(TODAY(), J165-1, FESTIVOS!A$1:A$55), "")</f>
        <v>-72</v>
      </c>
      <c r="J165" s="11">
        <f>IF(AND(F165&lt;&gt;"", H165&lt;&gt;""), WORKDAY(F165, H165, FESTIVOS!A$1:A$55), "")</f>
        <v>46078</v>
      </c>
      <c r="K165" s="10" t="s">
        <v>656</v>
      </c>
      <c r="L165" s="10">
        <f t="shared" ca="1" si="7"/>
        <v>0</v>
      </c>
      <c r="M165" s="10" t="str">
        <f t="shared" ca="1" si="8"/>
        <v>Vencido</v>
      </c>
      <c r="N165" s="10" t="s">
        <v>606</v>
      </c>
      <c r="O165" s="11">
        <v>46036</v>
      </c>
      <c r="P165" s="35">
        <f>IF(OR(O165="", J165=""), "", NETWORKDAYS(J165, O165, FESTIVOS!A164:A218))</f>
        <v>-31</v>
      </c>
    </row>
    <row r="166" spans="1:16" ht="15.75" x14ac:dyDescent="0.25">
      <c r="A166" s="10" t="s">
        <v>18</v>
      </c>
      <c r="B166" s="18" t="s">
        <v>251</v>
      </c>
      <c r="C166" s="18" t="s">
        <v>67</v>
      </c>
      <c r="D166" s="18" t="s">
        <v>252</v>
      </c>
      <c r="E166" s="16">
        <v>165</v>
      </c>
      <c r="F166" s="17">
        <v>46057</v>
      </c>
      <c r="G166" s="10" t="s">
        <v>615</v>
      </c>
      <c r="H166" s="10">
        <f t="shared" si="6"/>
        <v>15</v>
      </c>
      <c r="I166" s="10">
        <f ca="1">IF(AND(F166&lt;&gt;"", J166&lt;&gt;""), NETWORKDAYS(TODAY(), J166-1, FESTIVOS!A$1:A$55), "")</f>
        <v>-72</v>
      </c>
      <c r="J166" s="11">
        <f>IF(AND(F166&lt;&gt;"", H166&lt;&gt;""), WORKDAY(F166, H166, FESTIVOS!A$1:A$55), "")</f>
        <v>46078</v>
      </c>
      <c r="K166" s="10" t="s">
        <v>656</v>
      </c>
      <c r="L166" s="10">
        <f t="shared" ca="1" si="7"/>
        <v>0</v>
      </c>
      <c r="M166" s="10" t="str">
        <f t="shared" ca="1" si="8"/>
        <v>Vencido</v>
      </c>
      <c r="N166" s="10" t="s">
        <v>606</v>
      </c>
      <c r="O166" s="11">
        <v>46036</v>
      </c>
      <c r="P166" s="35">
        <f>IF(OR(O166="", J166=""), "", NETWORKDAYS(J166, O166, FESTIVOS!A165:A219))</f>
        <v>-31</v>
      </c>
    </row>
    <row r="167" spans="1:16" ht="47.25" x14ac:dyDescent="0.25">
      <c r="A167" s="10" t="s">
        <v>18</v>
      </c>
      <c r="B167" s="18" t="s">
        <v>253</v>
      </c>
      <c r="C167" s="18" t="s">
        <v>67</v>
      </c>
      <c r="D167" s="18" t="s">
        <v>254</v>
      </c>
      <c r="E167" s="16">
        <v>166</v>
      </c>
      <c r="F167" s="17">
        <v>46057</v>
      </c>
      <c r="G167" s="10" t="s">
        <v>615</v>
      </c>
      <c r="H167" s="10">
        <f t="shared" si="6"/>
        <v>15</v>
      </c>
      <c r="I167" s="10">
        <f ca="1">IF(AND(F167&lt;&gt;"", J167&lt;&gt;""), NETWORKDAYS(TODAY(), J167-1, FESTIVOS!A$1:A$55), "")</f>
        <v>-72</v>
      </c>
      <c r="J167" s="11">
        <f>IF(AND(F167&lt;&gt;"", H167&lt;&gt;""), WORKDAY(F167, H167, FESTIVOS!A$1:A$55), "")</f>
        <v>46078</v>
      </c>
      <c r="K167" s="10" t="s">
        <v>656</v>
      </c>
      <c r="L167" s="10">
        <f t="shared" ca="1" si="7"/>
        <v>0</v>
      </c>
      <c r="M167" s="10" t="str">
        <f t="shared" ca="1" si="8"/>
        <v>Vencido</v>
      </c>
      <c r="N167" s="10" t="s">
        <v>606</v>
      </c>
      <c r="O167" s="11">
        <v>46036</v>
      </c>
      <c r="P167" s="35">
        <f>IF(OR(O167="", J167=""), "", NETWORKDAYS(J167, O167, FESTIVOS!A166:A220))</f>
        <v>-31</v>
      </c>
    </row>
    <row r="168" spans="1:16" ht="15.75" x14ac:dyDescent="0.25">
      <c r="A168" s="10" t="s">
        <v>18</v>
      </c>
      <c r="B168" s="18" t="s">
        <v>255</v>
      </c>
      <c r="C168" s="25" t="s">
        <v>67</v>
      </c>
      <c r="D168" s="18" t="s">
        <v>256</v>
      </c>
      <c r="E168" s="16">
        <v>167</v>
      </c>
      <c r="F168" s="26">
        <v>46057</v>
      </c>
      <c r="G168" s="10" t="s">
        <v>615</v>
      </c>
      <c r="H168" s="10">
        <f t="shared" si="6"/>
        <v>15</v>
      </c>
      <c r="I168" s="10">
        <f ca="1">IF(AND(F168&lt;&gt;"", J168&lt;&gt;""), NETWORKDAYS(TODAY(), J168-1, FESTIVOS!A$1:A$55), "")</f>
        <v>-72</v>
      </c>
      <c r="J168" s="11">
        <f>IF(AND(F168&lt;&gt;"", H168&lt;&gt;""), WORKDAY(F168, H168, FESTIVOS!A$1:A$55), "")</f>
        <v>46078</v>
      </c>
      <c r="K168" s="10" t="s">
        <v>656</v>
      </c>
      <c r="L168" s="10">
        <f t="shared" ca="1" si="7"/>
        <v>0</v>
      </c>
      <c r="M168" s="10" t="str">
        <f t="shared" ca="1" si="8"/>
        <v>Vencido</v>
      </c>
      <c r="N168" s="10" t="s">
        <v>606</v>
      </c>
      <c r="O168" s="11">
        <v>46036</v>
      </c>
      <c r="P168" s="35">
        <f>IF(OR(O168="", J168=""), "", NETWORKDAYS(J168, O168, FESTIVOS!A167:A221))</f>
        <v>-31</v>
      </c>
    </row>
    <row r="169" spans="1:16" ht="31.5" x14ac:dyDescent="0.25">
      <c r="A169" s="10" t="s">
        <v>18</v>
      </c>
      <c r="B169" s="18" t="s">
        <v>62</v>
      </c>
      <c r="C169" s="25" t="s">
        <v>88</v>
      </c>
      <c r="D169" s="18" t="s">
        <v>257</v>
      </c>
      <c r="E169" s="16">
        <v>168</v>
      </c>
      <c r="F169" s="26">
        <v>46057</v>
      </c>
      <c r="G169" s="10" t="s">
        <v>615</v>
      </c>
      <c r="H169" s="10">
        <f t="shared" si="6"/>
        <v>15</v>
      </c>
      <c r="I169" s="10">
        <f ca="1">IF(AND(F169&lt;&gt;"", J169&lt;&gt;""), NETWORKDAYS(TODAY(), J169-1, FESTIVOS!A$1:A$55), "")</f>
        <v>-72</v>
      </c>
      <c r="J169" s="11">
        <f>IF(AND(F169&lt;&gt;"", H169&lt;&gt;""), WORKDAY(F169, H169, FESTIVOS!A$1:A$55), "")</f>
        <v>46078</v>
      </c>
      <c r="K169" s="10" t="s">
        <v>656</v>
      </c>
      <c r="L169" s="10">
        <f t="shared" ca="1" si="7"/>
        <v>0</v>
      </c>
      <c r="M169" s="10" t="str">
        <f t="shared" ca="1" si="8"/>
        <v>Vencido</v>
      </c>
      <c r="N169" s="10" t="s">
        <v>606</v>
      </c>
      <c r="O169" s="11">
        <v>46036</v>
      </c>
      <c r="P169" s="35">
        <f>IF(OR(O169="", J169=""), "", NETWORKDAYS(J169, O169, FESTIVOS!A168:A222))</f>
        <v>-31</v>
      </c>
    </row>
    <row r="170" spans="1:16" ht="47.25" x14ac:dyDescent="0.25">
      <c r="A170" s="10" t="s">
        <v>18</v>
      </c>
      <c r="B170" s="18" t="s">
        <v>258</v>
      </c>
      <c r="C170" s="25" t="s">
        <v>88</v>
      </c>
      <c r="D170" s="18" t="s">
        <v>259</v>
      </c>
      <c r="E170" s="16">
        <v>169</v>
      </c>
      <c r="F170" s="26">
        <v>46057</v>
      </c>
      <c r="G170" s="10" t="s">
        <v>615</v>
      </c>
      <c r="H170" s="10">
        <f t="shared" si="6"/>
        <v>15</v>
      </c>
      <c r="I170" s="10">
        <f ca="1">IF(AND(F170&lt;&gt;"", J170&lt;&gt;""), NETWORKDAYS(TODAY(), J170-1, FESTIVOS!A$1:A$55), "")</f>
        <v>-72</v>
      </c>
      <c r="J170" s="11">
        <f>IF(AND(F170&lt;&gt;"", H170&lt;&gt;""), WORKDAY(F170, H170, FESTIVOS!A$1:A$55), "")</f>
        <v>46078</v>
      </c>
      <c r="K170" s="10" t="s">
        <v>656</v>
      </c>
      <c r="L170" s="10">
        <f t="shared" ca="1" si="7"/>
        <v>0</v>
      </c>
      <c r="M170" s="10" t="str">
        <f t="shared" ca="1" si="8"/>
        <v>Vencido</v>
      </c>
      <c r="N170" s="10" t="s">
        <v>606</v>
      </c>
      <c r="O170" s="11">
        <v>46036</v>
      </c>
      <c r="P170" s="35">
        <f>IF(OR(O170="", J170=""), "", NETWORKDAYS(J170, O170, FESTIVOS!A169:A223))</f>
        <v>-31</v>
      </c>
    </row>
    <row r="171" spans="1:16" ht="15.75" x14ac:dyDescent="0.25">
      <c r="A171" s="10" t="s">
        <v>18</v>
      </c>
      <c r="B171" s="18" t="s">
        <v>260</v>
      </c>
      <c r="C171" s="25" t="s">
        <v>67</v>
      </c>
      <c r="D171" s="18" t="s">
        <v>261</v>
      </c>
      <c r="E171" s="16">
        <v>170</v>
      </c>
      <c r="F171" s="26">
        <v>46058</v>
      </c>
      <c r="G171" s="10" t="s">
        <v>615</v>
      </c>
      <c r="H171" s="10">
        <f t="shared" si="6"/>
        <v>15</v>
      </c>
      <c r="I171" s="10">
        <f ca="1">IF(AND(F171&lt;&gt;"", J171&lt;&gt;""), NETWORKDAYS(TODAY(), J171-1, FESTIVOS!A$1:A$55), "")</f>
        <v>-71</v>
      </c>
      <c r="J171" s="11">
        <f>IF(AND(F171&lt;&gt;"", H171&lt;&gt;""), WORKDAY(F171, H171, FESTIVOS!A$1:A$55), "")</f>
        <v>46079</v>
      </c>
      <c r="K171" s="10" t="s">
        <v>656</v>
      </c>
      <c r="L171" s="10">
        <f t="shared" ca="1" si="7"/>
        <v>0</v>
      </c>
      <c r="M171" s="10" t="str">
        <f t="shared" ca="1" si="8"/>
        <v>Vencido</v>
      </c>
      <c r="N171" s="10" t="s">
        <v>606</v>
      </c>
      <c r="O171" s="11">
        <v>46036</v>
      </c>
      <c r="P171" s="35">
        <f>IF(OR(O171="", J171=""), "", NETWORKDAYS(J171, O171, FESTIVOS!A170:A224))</f>
        <v>-32</v>
      </c>
    </row>
    <row r="172" spans="1:16" ht="47.25" x14ac:dyDescent="0.25">
      <c r="A172" s="10" t="s">
        <v>18</v>
      </c>
      <c r="B172" s="18" t="s">
        <v>262</v>
      </c>
      <c r="C172" s="25" t="s">
        <v>67</v>
      </c>
      <c r="D172" s="18" t="s">
        <v>263</v>
      </c>
      <c r="E172" s="16">
        <v>171</v>
      </c>
      <c r="F172" s="26">
        <v>46058</v>
      </c>
      <c r="G172" s="10" t="s">
        <v>614</v>
      </c>
      <c r="H172" s="10">
        <f t="shared" si="6"/>
        <v>15</v>
      </c>
      <c r="I172" s="10">
        <f ca="1">IF(AND(F172&lt;&gt;"", J172&lt;&gt;""), NETWORKDAYS(TODAY(), J172-1, FESTIVOS!A$1:A$55), "")</f>
        <v>-71</v>
      </c>
      <c r="J172" s="11">
        <f>IF(AND(F172&lt;&gt;"", H172&lt;&gt;""), WORKDAY(F172, H172, FESTIVOS!A$1:A$55), "")</f>
        <v>46079</v>
      </c>
      <c r="K172" s="10" t="s">
        <v>656</v>
      </c>
      <c r="L172" s="10">
        <f t="shared" ca="1" si="7"/>
        <v>0</v>
      </c>
      <c r="M172" s="10" t="str">
        <f t="shared" ca="1" si="8"/>
        <v>Vencido</v>
      </c>
      <c r="N172" s="10" t="s">
        <v>606</v>
      </c>
      <c r="O172" s="11">
        <v>46036</v>
      </c>
      <c r="P172" s="35">
        <f>IF(OR(O172="", J172=""), "", NETWORKDAYS(J172, O172, FESTIVOS!A171:A225))</f>
        <v>-32</v>
      </c>
    </row>
    <row r="173" spans="1:16" ht="94.5" x14ac:dyDescent="0.25">
      <c r="A173" s="10" t="s">
        <v>18</v>
      </c>
      <c r="B173" s="18" t="s">
        <v>264</v>
      </c>
      <c r="C173" s="25" t="s">
        <v>67</v>
      </c>
      <c r="D173" s="18" t="s">
        <v>265</v>
      </c>
      <c r="E173" s="16">
        <v>172</v>
      </c>
      <c r="F173" s="26">
        <v>46058</v>
      </c>
      <c r="G173" s="10" t="s">
        <v>615</v>
      </c>
      <c r="H173" s="10">
        <f t="shared" si="6"/>
        <v>15</v>
      </c>
      <c r="I173" s="10">
        <f ca="1">IF(AND(F173&lt;&gt;"", J173&lt;&gt;""), NETWORKDAYS(TODAY(), J173-1, FESTIVOS!A$1:A$55), "")</f>
        <v>-71</v>
      </c>
      <c r="J173" s="11">
        <f>IF(AND(F173&lt;&gt;"", H173&lt;&gt;""), WORKDAY(F173, H173, FESTIVOS!A$1:A$55), "")</f>
        <v>46079</v>
      </c>
      <c r="K173" s="10" t="s">
        <v>656</v>
      </c>
      <c r="L173" s="10">
        <f t="shared" ca="1" si="7"/>
        <v>0</v>
      </c>
      <c r="M173" s="10" t="str">
        <f t="shared" ca="1" si="8"/>
        <v>Vencido</v>
      </c>
      <c r="N173" s="10" t="s">
        <v>606</v>
      </c>
      <c r="O173" s="11">
        <v>46036</v>
      </c>
      <c r="P173" s="35">
        <f>IF(OR(O173="", J173=""), "", NETWORKDAYS(J173, O173, FESTIVOS!A172:A226))</f>
        <v>-32</v>
      </c>
    </row>
    <row r="174" spans="1:16" ht="31.5" x14ac:dyDescent="0.25">
      <c r="A174" s="10" t="s">
        <v>18</v>
      </c>
      <c r="B174" s="18" t="s">
        <v>266</v>
      </c>
      <c r="C174" s="25" t="s">
        <v>67</v>
      </c>
      <c r="D174" s="18" t="s">
        <v>267</v>
      </c>
      <c r="E174" s="16">
        <v>173</v>
      </c>
      <c r="F174" s="26">
        <v>46058</v>
      </c>
      <c r="G174" s="10" t="s">
        <v>617</v>
      </c>
      <c r="H174" s="10">
        <f t="shared" si="6"/>
        <v>15</v>
      </c>
      <c r="I174" s="10">
        <f ca="1">IF(AND(F174&lt;&gt;"", J174&lt;&gt;""), NETWORKDAYS(TODAY(), J174-1, FESTIVOS!A$1:A$55), "")</f>
        <v>-71</v>
      </c>
      <c r="J174" s="11">
        <f>IF(AND(F174&lt;&gt;"", H174&lt;&gt;""), WORKDAY(F174, H174, FESTIVOS!A$1:A$55), "")</f>
        <v>46079</v>
      </c>
      <c r="K174" s="10" t="s">
        <v>656</v>
      </c>
      <c r="L174" s="10">
        <f t="shared" ca="1" si="7"/>
        <v>0</v>
      </c>
      <c r="M174" s="10" t="str">
        <f t="shared" ca="1" si="8"/>
        <v>Vencido</v>
      </c>
      <c r="N174" s="10" t="s">
        <v>606</v>
      </c>
      <c r="O174" s="11">
        <v>46036</v>
      </c>
      <c r="P174" s="35">
        <f>IF(OR(O174="", J174=""), "", NETWORKDAYS(J174, O174, FESTIVOS!A173:A227))</f>
        <v>-32</v>
      </c>
    </row>
    <row r="175" spans="1:16" ht="63" x14ac:dyDescent="0.25">
      <c r="A175" s="10" t="s">
        <v>18</v>
      </c>
      <c r="B175" s="18" t="s">
        <v>268</v>
      </c>
      <c r="C175" s="18" t="s">
        <v>269</v>
      </c>
      <c r="D175" s="18" t="s">
        <v>270</v>
      </c>
      <c r="E175" s="16">
        <v>174</v>
      </c>
      <c r="F175" s="26">
        <v>46058</v>
      </c>
      <c r="G175" s="10" t="s">
        <v>646</v>
      </c>
      <c r="H175" s="10">
        <f t="shared" si="6"/>
        <v>15</v>
      </c>
      <c r="I175" s="10">
        <f ca="1">IF(AND(F175&lt;&gt;"", J175&lt;&gt;""), NETWORKDAYS(TODAY(), J175-1, FESTIVOS!A$1:A$55), "")</f>
        <v>-71</v>
      </c>
      <c r="J175" s="11">
        <f>IF(AND(F175&lt;&gt;"", H175&lt;&gt;""), WORKDAY(F175, H175, FESTIVOS!A$1:A$55), "")</f>
        <v>46079</v>
      </c>
      <c r="K175" s="10" t="s">
        <v>656</v>
      </c>
      <c r="L175" s="10">
        <f t="shared" ca="1" si="7"/>
        <v>0</v>
      </c>
      <c r="M175" s="10" t="str">
        <f t="shared" ca="1" si="8"/>
        <v>Vencido</v>
      </c>
      <c r="N175" s="10" t="s">
        <v>606</v>
      </c>
      <c r="O175" s="11">
        <v>46036</v>
      </c>
      <c r="P175" s="35">
        <f>IF(OR(O175="", J175=""), "", NETWORKDAYS(J175, O175, FESTIVOS!A174:A228))</f>
        <v>-32</v>
      </c>
    </row>
    <row r="176" spans="1:16" ht="15.75" x14ac:dyDescent="0.25">
      <c r="A176" s="10" t="s">
        <v>18</v>
      </c>
      <c r="B176" s="18" t="s">
        <v>271</v>
      </c>
      <c r="C176" s="18" t="s">
        <v>67</v>
      </c>
      <c r="D176" s="18" t="s">
        <v>272</v>
      </c>
      <c r="E176" s="16">
        <v>175</v>
      </c>
      <c r="F176" s="26">
        <v>46058</v>
      </c>
      <c r="G176" s="10" t="s">
        <v>615</v>
      </c>
      <c r="H176" s="10">
        <f t="shared" si="6"/>
        <v>15</v>
      </c>
      <c r="I176" s="10">
        <f ca="1">IF(AND(F176&lt;&gt;"", J176&lt;&gt;""), NETWORKDAYS(TODAY(), J176-1, FESTIVOS!A$1:A$55), "")</f>
        <v>-71</v>
      </c>
      <c r="J176" s="11">
        <f>IF(AND(F176&lt;&gt;"", H176&lt;&gt;""), WORKDAY(F176, H176, FESTIVOS!A$1:A$55), "")</f>
        <v>46079</v>
      </c>
      <c r="K176" s="10" t="s">
        <v>656</v>
      </c>
      <c r="L176" s="10">
        <f t="shared" ca="1" si="7"/>
        <v>0</v>
      </c>
      <c r="M176" s="10" t="str">
        <f t="shared" ca="1" si="8"/>
        <v>Vencido</v>
      </c>
      <c r="N176" s="10" t="s">
        <v>606</v>
      </c>
      <c r="O176" s="11">
        <v>46036</v>
      </c>
      <c r="P176" s="35">
        <f>IF(OR(O176="", J176=""), "", NETWORKDAYS(J176, O176, FESTIVOS!A175:A229))</f>
        <v>-32</v>
      </c>
    </row>
    <row r="177" spans="1:16" ht="15.75" x14ac:dyDescent="0.25">
      <c r="A177" s="10" t="s">
        <v>18</v>
      </c>
      <c r="B177" s="18" t="s">
        <v>273</v>
      </c>
      <c r="C177" s="18" t="s">
        <v>67</v>
      </c>
      <c r="D177" s="18" t="s">
        <v>274</v>
      </c>
      <c r="E177" s="16">
        <v>176</v>
      </c>
      <c r="F177" s="26">
        <v>46058</v>
      </c>
      <c r="G177" s="10" t="s">
        <v>614</v>
      </c>
      <c r="H177" s="10">
        <f t="shared" si="6"/>
        <v>15</v>
      </c>
      <c r="I177" s="10">
        <f ca="1">IF(AND(F177&lt;&gt;"", J177&lt;&gt;""), NETWORKDAYS(TODAY(), J177-1, FESTIVOS!A$1:A$55), "")</f>
        <v>-71</v>
      </c>
      <c r="J177" s="11">
        <f>IF(AND(F177&lt;&gt;"", H177&lt;&gt;""), WORKDAY(F177, H177, FESTIVOS!A$1:A$55), "")</f>
        <v>46079</v>
      </c>
      <c r="K177" s="10" t="s">
        <v>656</v>
      </c>
      <c r="L177" s="10">
        <f t="shared" ca="1" si="7"/>
        <v>0</v>
      </c>
      <c r="M177" s="10" t="str">
        <f t="shared" ca="1" si="8"/>
        <v>Vencido</v>
      </c>
      <c r="N177" s="10" t="s">
        <v>606</v>
      </c>
      <c r="O177" s="11">
        <v>46036</v>
      </c>
      <c r="P177" s="35">
        <f>IF(OR(O177="", J177=""), "", NETWORKDAYS(J177, O177, FESTIVOS!A176:A230))</f>
        <v>-32</v>
      </c>
    </row>
    <row r="178" spans="1:16" ht="15.75" x14ac:dyDescent="0.25">
      <c r="A178" s="10" t="s">
        <v>18</v>
      </c>
      <c r="B178" s="18" t="s">
        <v>275</v>
      </c>
      <c r="C178" s="18" t="s">
        <v>67</v>
      </c>
      <c r="D178" s="18" t="s">
        <v>276</v>
      </c>
      <c r="E178" s="16">
        <v>177</v>
      </c>
      <c r="F178" s="26">
        <v>46058</v>
      </c>
      <c r="G178" s="10" t="s">
        <v>615</v>
      </c>
      <c r="H178" s="10">
        <f t="shared" si="6"/>
        <v>15</v>
      </c>
      <c r="I178" s="10">
        <f ca="1">IF(AND(F178&lt;&gt;"", J178&lt;&gt;""), NETWORKDAYS(TODAY(), J178-1, FESTIVOS!A$1:A$55), "")</f>
        <v>-71</v>
      </c>
      <c r="J178" s="11">
        <f>IF(AND(F178&lt;&gt;"", H178&lt;&gt;""), WORKDAY(F178, H178, FESTIVOS!A$1:A$55), "")</f>
        <v>46079</v>
      </c>
      <c r="K178" s="10" t="s">
        <v>656</v>
      </c>
      <c r="L178" s="10">
        <f t="shared" ca="1" si="7"/>
        <v>0</v>
      </c>
      <c r="M178" s="10" t="str">
        <f t="shared" ca="1" si="8"/>
        <v>Vencido</v>
      </c>
      <c r="N178" s="10" t="s">
        <v>606</v>
      </c>
      <c r="O178" s="11">
        <v>46036</v>
      </c>
      <c r="P178" s="35">
        <f>IF(OR(O178="", J178=""), "", NETWORKDAYS(J178, O178, FESTIVOS!A177:A231))</f>
        <v>-32</v>
      </c>
    </row>
    <row r="179" spans="1:16" ht="31.5" x14ac:dyDescent="0.25">
      <c r="A179" s="10" t="s">
        <v>18</v>
      </c>
      <c r="B179" s="18" t="s">
        <v>277</v>
      </c>
      <c r="C179" s="18" t="s">
        <v>67</v>
      </c>
      <c r="D179" s="18" t="s">
        <v>278</v>
      </c>
      <c r="E179" s="16">
        <v>178</v>
      </c>
      <c r="F179" s="26">
        <v>46058</v>
      </c>
      <c r="G179" s="10" t="s">
        <v>615</v>
      </c>
      <c r="H179" s="10">
        <f t="shared" si="6"/>
        <v>15</v>
      </c>
      <c r="I179" s="10">
        <f ca="1">IF(AND(F179&lt;&gt;"", J179&lt;&gt;""), NETWORKDAYS(TODAY(), J179-1, FESTIVOS!A$1:A$55), "")</f>
        <v>-71</v>
      </c>
      <c r="J179" s="11">
        <f>IF(AND(F179&lt;&gt;"", H179&lt;&gt;""), WORKDAY(F179, H179, FESTIVOS!A$1:A$55), "")</f>
        <v>46079</v>
      </c>
      <c r="K179" s="10" t="s">
        <v>656</v>
      </c>
      <c r="L179" s="10">
        <f t="shared" ca="1" si="7"/>
        <v>0</v>
      </c>
      <c r="M179" s="10" t="str">
        <f t="shared" ca="1" si="8"/>
        <v>Vencido</v>
      </c>
      <c r="N179" s="10" t="s">
        <v>606</v>
      </c>
      <c r="O179" s="11">
        <v>46036</v>
      </c>
      <c r="P179" s="35">
        <f>IF(OR(O179="", J179=""), "", NETWORKDAYS(J179, O179, FESTIVOS!A178:A232))</f>
        <v>-32</v>
      </c>
    </row>
    <row r="180" spans="1:16" ht="15.75" x14ac:dyDescent="0.25">
      <c r="A180" s="10" t="s">
        <v>18</v>
      </c>
      <c r="B180" s="18" t="s">
        <v>279</v>
      </c>
      <c r="C180" s="18" t="s">
        <v>67</v>
      </c>
      <c r="D180" s="18" t="s">
        <v>199</v>
      </c>
      <c r="E180" s="16">
        <v>179</v>
      </c>
      <c r="F180" s="26">
        <v>46059</v>
      </c>
      <c r="G180" s="10" t="s">
        <v>615</v>
      </c>
      <c r="H180" s="10">
        <f t="shared" si="6"/>
        <v>15</v>
      </c>
      <c r="I180" s="10">
        <f ca="1">IF(AND(F180&lt;&gt;"", J180&lt;&gt;""), NETWORKDAYS(TODAY(), J180-1, FESTIVOS!A$1:A$55), "")</f>
        <v>-70</v>
      </c>
      <c r="J180" s="11">
        <f>IF(AND(F180&lt;&gt;"", H180&lt;&gt;""), WORKDAY(F180, H180, FESTIVOS!A$1:A$55), "")</f>
        <v>46080</v>
      </c>
      <c r="K180" s="10" t="s">
        <v>656</v>
      </c>
      <c r="L180" s="10">
        <f t="shared" ca="1" si="7"/>
        <v>0</v>
      </c>
      <c r="M180" s="10" t="str">
        <f t="shared" ca="1" si="8"/>
        <v>Vencido</v>
      </c>
      <c r="N180" s="10" t="s">
        <v>606</v>
      </c>
      <c r="O180" s="11">
        <v>46036</v>
      </c>
      <c r="P180" s="35">
        <f>IF(OR(O180="", J180=""), "", NETWORKDAYS(J180, O180, FESTIVOS!A179:A233))</f>
        <v>-33</v>
      </c>
    </row>
    <row r="181" spans="1:16" ht="47.25" x14ac:dyDescent="0.25">
      <c r="A181" s="10" t="s">
        <v>18</v>
      </c>
      <c r="B181" s="18" t="s">
        <v>280</v>
      </c>
      <c r="C181" s="18" t="s">
        <v>67</v>
      </c>
      <c r="D181" s="18" t="s">
        <v>281</v>
      </c>
      <c r="E181" s="16">
        <v>180</v>
      </c>
      <c r="F181" s="26">
        <v>46059</v>
      </c>
      <c r="G181" s="10" t="s">
        <v>615</v>
      </c>
      <c r="H181" s="10">
        <f t="shared" si="6"/>
        <v>15</v>
      </c>
      <c r="I181" s="10">
        <f ca="1">IF(AND(F181&lt;&gt;"", J181&lt;&gt;""), NETWORKDAYS(TODAY(), J181-1, FESTIVOS!A$1:A$55), "")</f>
        <v>-70</v>
      </c>
      <c r="J181" s="11">
        <f>IF(AND(F181&lt;&gt;"", H181&lt;&gt;""), WORKDAY(F181, H181, FESTIVOS!A$1:A$55), "")</f>
        <v>46080</v>
      </c>
      <c r="K181" s="10" t="s">
        <v>656</v>
      </c>
      <c r="L181" s="10">
        <f t="shared" ca="1" si="7"/>
        <v>0</v>
      </c>
      <c r="M181" s="10" t="str">
        <f t="shared" ca="1" si="8"/>
        <v>Vencido</v>
      </c>
      <c r="N181" s="10" t="s">
        <v>606</v>
      </c>
      <c r="O181" s="11">
        <v>46036</v>
      </c>
      <c r="P181" s="35">
        <f>IF(OR(O181="", J181=""), "", NETWORKDAYS(J181, O181, FESTIVOS!A180:A234))</f>
        <v>-33</v>
      </c>
    </row>
    <row r="182" spans="1:16" ht="63" x14ac:dyDescent="0.25">
      <c r="A182" s="10" t="s">
        <v>18</v>
      </c>
      <c r="B182" s="18" t="s">
        <v>268</v>
      </c>
      <c r="C182" s="18" t="s">
        <v>269</v>
      </c>
      <c r="D182" s="18" t="s">
        <v>282</v>
      </c>
      <c r="E182" s="16">
        <v>181</v>
      </c>
      <c r="F182" s="26">
        <v>46059</v>
      </c>
      <c r="G182" s="10" t="s">
        <v>615</v>
      </c>
      <c r="H182" s="10">
        <f t="shared" si="6"/>
        <v>15</v>
      </c>
      <c r="I182" s="10">
        <f ca="1">IF(AND(F182&lt;&gt;"", J182&lt;&gt;""), NETWORKDAYS(TODAY(), J182-1, FESTIVOS!A$1:A$55), "")</f>
        <v>-70</v>
      </c>
      <c r="J182" s="11">
        <f>IF(AND(F182&lt;&gt;"", H182&lt;&gt;""), WORKDAY(F182, H182, FESTIVOS!A$1:A$55), "")</f>
        <v>46080</v>
      </c>
      <c r="K182" s="10" t="s">
        <v>656</v>
      </c>
      <c r="L182" s="10">
        <f t="shared" ca="1" si="7"/>
        <v>0</v>
      </c>
      <c r="M182" s="10" t="str">
        <f t="shared" ca="1" si="8"/>
        <v>Vencido</v>
      </c>
      <c r="N182" s="10" t="s">
        <v>606</v>
      </c>
      <c r="O182" s="11">
        <v>46036</v>
      </c>
      <c r="P182" s="35">
        <f>IF(OR(O182="", J182=""), "", NETWORKDAYS(J182, O182, FESTIVOS!A181:A235))</f>
        <v>-33</v>
      </c>
    </row>
    <row r="183" spans="1:16" ht="15.75" x14ac:dyDescent="0.25">
      <c r="A183" s="10" t="s">
        <v>18</v>
      </c>
      <c r="B183" s="18" t="s">
        <v>283</v>
      </c>
      <c r="C183" s="18" t="s">
        <v>67</v>
      </c>
      <c r="D183" s="18" t="s">
        <v>118</v>
      </c>
      <c r="E183" s="16">
        <v>182</v>
      </c>
      <c r="F183" s="26">
        <v>46059</v>
      </c>
      <c r="G183" s="10" t="s">
        <v>646</v>
      </c>
      <c r="H183" s="10">
        <f t="shared" si="6"/>
        <v>15</v>
      </c>
      <c r="I183" s="10">
        <f ca="1">IF(AND(F183&lt;&gt;"", J183&lt;&gt;""), NETWORKDAYS(TODAY(), J183-1, FESTIVOS!A$1:A$55), "")</f>
        <v>-70</v>
      </c>
      <c r="J183" s="11">
        <f>IF(AND(F183&lt;&gt;"", H183&lt;&gt;""), WORKDAY(F183, H183, FESTIVOS!A$1:A$55), "")</f>
        <v>46080</v>
      </c>
      <c r="K183" s="10" t="s">
        <v>656</v>
      </c>
      <c r="L183" s="10">
        <f t="shared" ca="1" si="7"/>
        <v>0</v>
      </c>
      <c r="M183" s="10" t="str">
        <f t="shared" ca="1" si="8"/>
        <v>Vencido</v>
      </c>
      <c r="N183" s="10" t="s">
        <v>606</v>
      </c>
      <c r="O183" s="11">
        <v>46036</v>
      </c>
      <c r="P183" s="35">
        <f>IF(OR(O183="", J183=""), "", NETWORKDAYS(J183, O183, FESTIVOS!A182:A236))</f>
        <v>-33</v>
      </c>
    </row>
    <row r="184" spans="1:16" ht="15.75" x14ac:dyDescent="0.25">
      <c r="A184" s="10" t="s">
        <v>18</v>
      </c>
      <c r="B184" s="18" t="s">
        <v>56</v>
      </c>
      <c r="C184" s="18" t="s">
        <v>84</v>
      </c>
      <c r="D184" s="18" t="s">
        <v>45</v>
      </c>
      <c r="E184" s="16">
        <v>183</v>
      </c>
      <c r="F184" s="26">
        <v>46059</v>
      </c>
      <c r="G184" s="10" t="s">
        <v>615</v>
      </c>
      <c r="H184" s="10">
        <f t="shared" si="6"/>
        <v>15</v>
      </c>
      <c r="I184" s="10">
        <f ca="1">IF(AND(F184&lt;&gt;"", J184&lt;&gt;""), NETWORKDAYS(TODAY(), J184-1, FESTIVOS!A$1:A$55), "")</f>
        <v>-70</v>
      </c>
      <c r="J184" s="11">
        <f>IF(AND(F184&lt;&gt;"", H184&lt;&gt;""), WORKDAY(F184, H184, FESTIVOS!A$1:A$55), "")</f>
        <v>46080</v>
      </c>
      <c r="K184" s="10" t="s">
        <v>656</v>
      </c>
      <c r="L184" s="10">
        <f t="shared" ca="1" si="7"/>
        <v>0</v>
      </c>
      <c r="M184" s="10" t="str">
        <f t="shared" ca="1" si="8"/>
        <v>Vencido</v>
      </c>
      <c r="N184" s="10" t="s">
        <v>606</v>
      </c>
      <c r="O184" s="11">
        <v>46036</v>
      </c>
      <c r="P184" s="35">
        <f>IF(OR(O184="", J184=""), "", NETWORKDAYS(J184, O184, FESTIVOS!A183:A237))</f>
        <v>-33</v>
      </c>
    </row>
    <row r="185" spans="1:16" ht="47.25" x14ac:dyDescent="0.25">
      <c r="A185" s="10" t="s">
        <v>18</v>
      </c>
      <c r="B185" s="18" t="s">
        <v>284</v>
      </c>
      <c r="C185" s="18" t="s">
        <v>67</v>
      </c>
      <c r="D185" s="18" t="s">
        <v>285</v>
      </c>
      <c r="E185" s="16">
        <v>184</v>
      </c>
      <c r="F185" s="17">
        <v>46062</v>
      </c>
      <c r="G185" s="10" t="s">
        <v>658</v>
      </c>
      <c r="H185" s="10">
        <f t="shared" si="6"/>
        <v>15</v>
      </c>
      <c r="I185" s="10">
        <f ca="1">IF(AND(F185&lt;&gt;"", J185&lt;&gt;""), NETWORKDAYS(TODAY(), J185-1, FESTIVOS!A$1:A$55), "")</f>
        <v>-68</v>
      </c>
      <c r="J185" s="11">
        <f>IF(AND(F185&lt;&gt;"", H185&lt;&gt;""), WORKDAY(F185, H185, FESTIVOS!A$1:A$55), "")</f>
        <v>46083</v>
      </c>
      <c r="K185" s="10" t="s">
        <v>656</v>
      </c>
      <c r="L185" s="10">
        <f t="shared" ca="1" si="7"/>
        <v>0</v>
      </c>
      <c r="M185" s="10" t="str">
        <f t="shared" ca="1" si="8"/>
        <v>Vencido</v>
      </c>
      <c r="N185" s="10" t="s">
        <v>606</v>
      </c>
      <c r="O185" s="11">
        <v>46036</v>
      </c>
      <c r="P185" s="35">
        <f>IF(OR(O185="", J185=""), "", NETWORKDAYS(J185, O185, FESTIVOS!A184:A238))</f>
        <v>-34</v>
      </c>
    </row>
    <row r="186" spans="1:16" ht="15.75" x14ac:dyDescent="0.25">
      <c r="A186" s="10" t="s">
        <v>18</v>
      </c>
      <c r="B186" s="21" t="s">
        <v>218</v>
      </c>
      <c r="C186" s="18" t="s">
        <v>88</v>
      </c>
      <c r="D186" s="18" t="s">
        <v>302</v>
      </c>
      <c r="E186" s="16">
        <v>185</v>
      </c>
      <c r="F186" s="17">
        <v>46062</v>
      </c>
      <c r="G186" s="10" t="s">
        <v>615</v>
      </c>
      <c r="H186" s="10">
        <f t="shared" si="6"/>
        <v>15</v>
      </c>
      <c r="I186" s="10">
        <f ca="1">IF(AND(F186&lt;&gt;"", J186&lt;&gt;""), NETWORKDAYS(TODAY(), J186-1, FESTIVOS!A$1:A$55), "")</f>
        <v>-68</v>
      </c>
      <c r="J186" s="11">
        <f>IF(AND(F186&lt;&gt;"", H186&lt;&gt;""), WORKDAY(F186, H186, FESTIVOS!A$1:A$55), "")</f>
        <v>46083</v>
      </c>
      <c r="K186" s="10" t="s">
        <v>656</v>
      </c>
      <c r="L186" s="10">
        <f t="shared" ca="1" si="7"/>
        <v>0</v>
      </c>
      <c r="M186" s="10" t="str">
        <f t="shared" ca="1" si="8"/>
        <v>Vencido</v>
      </c>
      <c r="N186" s="10" t="s">
        <v>1034</v>
      </c>
      <c r="O186" s="11">
        <v>46069</v>
      </c>
      <c r="P186" s="35">
        <f>IF(OR(O186="", J186=""), "", NETWORKDAYS(J186, O186, FESTIVOS!A185:A239))</f>
        <v>-11</v>
      </c>
    </row>
    <row r="187" spans="1:16" ht="47.25" x14ac:dyDescent="0.25">
      <c r="A187" s="10" t="s">
        <v>18</v>
      </c>
      <c r="B187" s="18" t="s">
        <v>286</v>
      </c>
      <c r="C187" s="18" t="s">
        <v>67</v>
      </c>
      <c r="D187" s="18" t="s">
        <v>287</v>
      </c>
      <c r="E187" s="16">
        <v>186</v>
      </c>
      <c r="F187" s="17">
        <v>46062</v>
      </c>
      <c r="G187" s="10"/>
      <c r="H187" s="10">
        <f t="shared" si="6"/>
        <v>15</v>
      </c>
      <c r="I187" s="10">
        <f ca="1">IF(AND(F187&lt;&gt;"", J187&lt;&gt;""), NETWORKDAYS(TODAY(), J187-1, FESTIVOS!A$1:A$55), "")</f>
        <v>-68</v>
      </c>
      <c r="J187" s="11">
        <f>IF(AND(F187&lt;&gt;"", H187&lt;&gt;""), WORKDAY(F187, H187, FESTIVOS!A$1:A$55), "")</f>
        <v>46083</v>
      </c>
      <c r="K187" s="10" t="s">
        <v>656</v>
      </c>
      <c r="L187" s="10">
        <f t="shared" ca="1" si="7"/>
        <v>0</v>
      </c>
      <c r="M187" s="10" t="str">
        <f t="shared" ca="1" si="8"/>
        <v>Vencido</v>
      </c>
      <c r="N187" s="10" t="s">
        <v>606</v>
      </c>
      <c r="O187" s="11">
        <v>46036</v>
      </c>
      <c r="P187" s="35">
        <f>IF(OR(O187="", J187=""), "", NETWORKDAYS(J187, O187, FESTIVOS!A186:A240))</f>
        <v>-34</v>
      </c>
    </row>
    <row r="188" spans="1:16" ht="15.75" x14ac:dyDescent="0.25">
      <c r="A188" s="10" t="s">
        <v>18</v>
      </c>
      <c r="B188" s="18" t="s">
        <v>288</v>
      </c>
      <c r="C188" s="18" t="s">
        <v>67</v>
      </c>
      <c r="D188" s="27" t="s">
        <v>289</v>
      </c>
      <c r="E188" s="16">
        <v>187</v>
      </c>
      <c r="F188" s="17">
        <v>46062</v>
      </c>
      <c r="G188" s="10"/>
      <c r="H188" s="10">
        <f t="shared" si="6"/>
        <v>15</v>
      </c>
      <c r="I188" s="10">
        <f ca="1">IF(AND(F188&lt;&gt;"", J188&lt;&gt;""), NETWORKDAYS(TODAY(), J188-1, FESTIVOS!A$1:A$55), "")</f>
        <v>-68</v>
      </c>
      <c r="J188" s="11">
        <f>IF(AND(F188&lt;&gt;"", H188&lt;&gt;""), WORKDAY(F188, H188, FESTIVOS!A$1:A$55), "")</f>
        <v>46083</v>
      </c>
      <c r="K188" s="10" t="s">
        <v>656</v>
      </c>
      <c r="L188" s="10">
        <f t="shared" ca="1" si="7"/>
        <v>0</v>
      </c>
      <c r="M188" s="10" t="str">
        <f t="shared" ca="1" si="8"/>
        <v>Vencido</v>
      </c>
      <c r="N188" s="10" t="s">
        <v>606</v>
      </c>
      <c r="O188" s="11">
        <v>46036</v>
      </c>
      <c r="P188" s="35">
        <f>IF(OR(O188="", J188=""), "", NETWORKDAYS(J188, O188, FESTIVOS!A187:A241))</f>
        <v>-34</v>
      </c>
    </row>
    <row r="189" spans="1:16" ht="15.75" x14ac:dyDescent="0.25">
      <c r="A189" s="10" t="s">
        <v>18</v>
      </c>
      <c r="B189" s="18" t="s">
        <v>290</v>
      </c>
      <c r="C189" s="18" t="s">
        <v>67</v>
      </c>
      <c r="D189" s="18" t="s">
        <v>291</v>
      </c>
      <c r="E189" s="16">
        <v>188</v>
      </c>
      <c r="F189" s="17">
        <v>46062</v>
      </c>
      <c r="G189" s="10"/>
      <c r="H189" s="10">
        <f t="shared" si="6"/>
        <v>15</v>
      </c>
      <c r="I189" s="10">
        <f ca="1">IF(AND(F189&lt;&gt;"", J189&lt;&gt;""), NETWORKDAYS(TODAY(), J189-1, FESTIVOS!A$1:A$55), "")</f>
        <v>-68</v>
      </c>
      <c r="J189" s="11">
        <f>IF(AND(F189&lt;&gt;"", H189&lt;&gt;""), WORKDAY(F189, H189, FESTIVOS!A$1:A$55), "")</f>
        <v>46083</v>
      </c>
      <c r="K189" s="10" t="s">
        <v>656</v>
      </c>
      <c r="L189" s="10">
        <f t="shared" ca="1" si="7"/>
        <v>0</v>
      </c>
      <c r="M189" s="10" t="str">
        <f t="shared" ca="1" si="8"/>
        <v>Vencido</v>
      </c>
      <c r="N189" s="10" t="s">
        <v>606</v>
      </c>
      <c r="O189" s="11">
        <v>46036</v>
      </c>
      <c r="P189" s="35">
        <f>IF(OR(O189="", J189=""), "", NETWORKDAYS(J189, O189, FESTIVOS!A188:A242))</f>
        <v>-34</v>
      </c>
    </row>
    <row r="190" spans="1:16" ht="157.5" x14ac:dyDescent="0.25">
      <c r="A190" s="10" t="s">
        <v>18</v>
      </c>
      <c r="B190" s="18" t="s">
        <v>292</v>
      </c>
      <c r="C190" s="18" t="s">
        <v>67</v>
      </c>
      <c r="D190" s="18" t="s">
        <v>293</v>
      </c>
      <c r="E190" s="16">
        <v>189</v>
      </c>
      <c r="F190" s="17">
        <v>46062</v>
      </c>
      <c r="G190" s="10"/>
      <c r="H190" s="10">
        <f t="shared" si="6"/>
        <v>15</v>
      </c>
      <c r="I190" s="10">
        <f ca="1">IF(AND(F190&lt;&gt;"", J190&lt;&gt;""), NETWORKDAYS(TODAY(), J190-1, FESTIVOS!A$1:A$55), "")</f>
        <v>-68</v>
      </c>
      <c r="J190" s="11">
        <f>IF(AND(F190&lt;&gt;"", H190&lt;&gt;""), WORKDAY(F190, H190, FESTIVOS!A$1:A$55), "")</f>
        <v>46083</v>
      </c>
      <c r="K190" s="10" t="s">
        <v>656</v>
      </c>
      <c r="L190" s="10">
        <f t="shared" ca="1" si="7"/>
        <v>0</v>
      </c>
      <c r="M190" s="10" t="str">
        <f t="shared" ca="1" si="8"/>
        <v>Vencido</v>
      </c>
      <c r="N190" s="10" t="s">
        <v>606</v>
      </c>
      <c r="O190" s="11">
        <v>46036</v>
      </c>
      <c r="P190" s="35">
        <f>IF(OR(O190="", J190=""), "", NETWORKDAYS(J190, O190, FESTIVOS!A189:A243))</f>
        <v>-34</v>
      </c>
    </row>
    <row r="191" spans="1:16" ht="15.75" x14ac:dyDescent="0.25">
      <c r="A191" s="10" t="s">
        <v>18</v>
      </c>
      <c r="B191" s="18" t="s">
        <v>294</v>
      </c>
      <c r="C191" s="18" t="s">
        <v>67</v>
      </c>
      <c r="D191" s="18" t="s">
        <v>295</v>
      </c>
      <c r="E191" s="16">
        <v>190</v>
      </c>
      <c r="F191" s="17">
        <v>46062</v>
      </c>
      <c r="G191" s="10"/>
      <c r="H191" s="10">
        <f t="shared" si="6"/>
        <v>15</v>
      </c>
      <c r="I191" s="10">
        <f ca="1">IF(AND(F191&lt;&gt;"", J191&lt;&gt;""), NETWORKDAYS(TODAY(), J191-1, FESTIVOS!A$1:A$55), "")</f>
        <v>-68</v>
      </c>
      <c r="J191" s="11">
        <f>IF(AND(F191&lt;&gt;"", H191&lt;&gt;""), WORKDAY(F191, H191, FESTIVOS!A$1:A$55), "")</f>
        <v>46083</v>
      </c>
      <c r="K191" s="10" t="s">
        <v>656</v>
      </c>
      <c r="L191" s="10">
        <f t="shared" ca="1" si="7"/>
        <v>0</v>
      </c>
      <c r="M191" s="10" t="str">
        <f t="shared" ca="1" si="8"/>
        <v>Vencido</v>
      </c>
      <c r="N191" s="10" t="s">
        <v>606</v>
      </c>
      <c r="O191" s="11">
        <v>46036</v>
      </c>
      <c r="P191" s="35">
        <f>IF(OR(O191="", J191=""), "", NETWORKDAYS(J191, O191, FESTIVOS!A190:A244))</f>
        <v>-34</v>
      </c>
    </row>
    <row r="192" spans="1:16" ht="15.75" x14ac:dyDescent="0.25">
      <c r="A192" s="10" t="s">
        <v>18</v>
      </c>
      <c r="B192" s="18" t="s">
        <v>296</v>
      </c>
      <c r="C192" s="18" t="s">
        <v>67</v>
      </c>
      <c r="D192" s="18" t="s">
        <v>297</v>
      </c>
      <c r="E192" s="16">
        <v>191</v>
      </c>
      <c r="F192" s="17">
        <v>46062</v>
      </c>
      <c r="G192" s="10"/>
      <c r="H192" s="10">
        <f t="shared" si="6"/>
        <v>15</v>
      </c>
      <c r="I192" s="10">
        <f ca="1">IF(AND(F192&lt;&gt;"", J192&lt;&gt;""), NETWORKDAYS(TODAY(), J192-1, FESTIVOS!A$1:A$55), "")</f>
        <v>-68</v>
      </c>
      <c r="J192" s="11">
        <f>IF(AND(F192&lt;&gt;"", H192&lt;&gt;""), WORKDAY(F192, H192, FESTIVOS!A$1:A$55), "")</f>
        <v>46083</v>
      </c>
      <c r="K192" s="10" t="s">
        <v>656</v>
      </c>
      <c r="L192" s="10">
        <f t="shared" ca="1" si="7"/>
        <v>0</v>
      </c>
      <c r="M192" s="10" t="str">
        <f t="shared" ca="1" si="8"/>
        <v>Vencido</v>
      </c>
      <c r="N192" s="10" t="s">
        <v>606</v>
      </c>
      <c r="O192" s="11">
        <v>46036</v>
      </c>
      <c r="P192" s="35">
        <f>IF(OR(O192="", J192=""), "", NETWORKDAYS(J192, O192, FESTIVOS!A191:A245))</f>
        <v>-34</v>
      </c>
    </row>
    <row r="193" spans="1:16" ht="15.75" x14ac:dyDescent="0.25">
      <c r="A193" s="10" t="s">
        <v>18</v>
      </c>
      <c r="B193" s="18" t="s">
        <v>298</v>
      </c>
      <c r="C193" s="18" t="s">
        <v>67</v>
      </c>
      <c r="D193" s="18" t="s">
        <v>299</v>
      </c>
      <c r="E193" s="16">
        <v>192</v>
      </c>
      <c r="F193" s="17">
        <v>46062</v>
      </c>
      <c r="G193" s="10"/>
      <c r="H193" s="10">
        <f t="shared" si="6"/>
        <v>15</v>
      </c>
      <c r="I193" s="10">
        <f ca="1">IF(AND(F193&lt;&gt;"", J193&lt;&gt;""), NETWORKDAYS(TODAY(), J193-1, FESTIVOS!A$1:A$55), "")</f>
        <v>-68</v>
      </c>
      <c r="J193" s="11">
        <f>IF(AND(F193&lt;&gt;"", H193&lt;&gt;""), WORKDAY(F193, H193, FESTIVOS!A$1:A$55), "")</f>
        <v>46083</v>
      </c>
      <c r="K193" s="10" t="s">
        <v>656</v>
      </c>
      <c r="L193" s="10">
        <f t="shared" ca="1" si="7"/>
        <v>0</v>
      </c>
      <c r="M193" s="10" t="str">
        <f t="shared" ca="1" si="8"/>
        <v>Vencido</v>
      </c>
      <c r="N193" s="10" t="s">
        <v>606</v>
      </c>
      <c r="O193" s="11">
        <v>46036</v>
      </c>
      <c r="P193" s="35">
        <f>IF(OR(O193="", J193=""), "", NETWORKDAYS(J193, O193, FESTIVOS!A192:A246))</f>
        <v>-34</v>
      </c>
    </row>
    <row r="194" spans="1:16" ht="15.75" x14ac:dyDescent="0.25">
      <c r="A194" s="10" t="s">
        <v>18</v>
      </c>
      <c r="B194" s="18" t="s">
        <v>300</v>
      </c>
      <c r="C194" s="18" t="s">
        <v>67</v>
      </c>
      <c r="D194" s="18" t="s">
        <v>51</v>
      </c>
      <c r="E194" s="16">
        <v>193</v>
      </c>
      <c r="F194" s="17">
        <v>46062</v>
      </c>
      <c r="G194" s="10"/>
      <c r="H194" s="10">
        <f t="shared" ref="H194:H257" si="9">IF(A194="INFORMACIÓN O DOCUMENTOS", 10, IF(A194="CONSULTA", 30, IF(A194="FACTURACIÓN Y COBROS", 15, IF(A194="VINCULACIÓN Y DESVINCULACIÓN", 15, IF(A194="NO ES DE NUESTRA COMPETENCIA", 5, IF(A194="OTRO", 15, ""))))))</f>
        <v>15</v>
      </c>
      <c r="I194" s="10">
        <f ca="1">IF(AND(F194&lt;&gt;"", J194&lt;&gt;""), NETWORKDAYS(TODAY(), J194-1, FESTIVOS!A$1:A$55), "")</f>
        <v>-68</v>
      </c>
      <c r="J194" s="11">
        <f>IF(AND(F194&lt;&gt;"", H194&lt;&gt;""), WORKDAY(F194, H194, FESTIVOS!A$1:A$55), "")</f>
        <v>46083</v>
      </c>
      <c r="K194" s="10" t="s">
        <v>656</v>
      </c>
      <c r="L194" s="10">
        <f t="shared" ref="L194:L257" ca="1" si="10">IF(I194="", "", MAX(0, I194 - (TODAY() - TODAY())))</f>
        <v>0</v>
      </c>
      <c r="M194" s="10" t="str">
        <f t="shared" ref="M194:M257" ca="1" si="11">IF(OR(I194="", H194=""), "", IF(I194&lt;0, "Vencido", IF(I194&gt;(H194/2), "Supere la mitad", "Bajo la mitad")))</f>
        <v>Vencido</v>
      </c>
      <c r="N194" s="10" t="s">
        <v>606</v>
      </c>
      <c r="O194" s="11">
        <v>46036</v>
      </c>
      <c r="P194" s="35">
        <f>IF(OR(O194="", J194=""), "", NETWORKDAYS(J194, O194, FESTIVOS!A193:A247))</f>
        <v>-34</v>
      </c>
    </row>
    <row r="195" spans="1:16" ht="15.75" x14ac:dyDescent="0.25">
      <c r="A195" s="10" t="s">
        <v>18</v>
      </c>
      <c r="B195" s="18" t="s">
        <v>301</v>
      </c>
      <c r="C195" s="18" t="s">
        <v>67</v>
      </c>
      <c r="D195" s="18" t="s">
        <v>302</v>
      </c>
      <c r="E195" s="16">
        <v>194</v>
      </c>
      <c r="F195" s="17">
        <v>46062</v>
      </c>
      <c r="G195" s="10"/>
      <c r="H195" s="10">
        <f t="shared" si="9"/>
        <v>15</v>
      </c>
      <c r="I195" s="10">
        <f ca="1">IF(AND(F195&lt;&gt;"", J195&lt;&gt;""), NETWORKDAYS(TODAY(), J195-1, FESTIVOS!A$1:A$55), "")</f>
        <v>-68</v>
      </c>
      <c r="J195" s="11">
        <f>IF(AND(F195&lt;&gt;"", H195&lt;&gt;""), WORKDAY(F195, H195, FESTIVOS!A$1:A$55), "")</f>
        <v>46083</v>
      </c>
      <c r="K195" s="10" t="s">
        <v>656</v>
      </c>
      <c r="L195" s="10">
        <f t="shared" ca="1" si="10"/>
        <v>0</v>
      </c>
      <c r="M195" s="10" t="str">
        <f t="shared" ca="1" si="11"/>
        <v>Vencido</v>
      </c>
      <c r="N195" s="10" t="s">
        <v>606</v>
      </c>
      <c r="O195" s="11">
        <v>46036</v>
      </c>
      <c r="P195" s="35">
        <f>IF(OR(O195="", J195=""), "", NETWORKDAYS(J195, O195, FESTIVOS!A194:A248))</f>
        <v>-34</v>
      </c>
    </row>
    <row r="196" spans="1:16" ht="15.75" x14ac:dyDescent="0.25">
      <c r="A196" s="10" t="s">
        <v>18</v>
      </c>
      <c r="B196" s="21" t="s">
        <v>258</v>
      </c>
      <c r="C196" s="18" t="s">
        <v>88</v>
      </c>
      <c r="D196" s="18" t="s">
        <v>303</v>
      </c>
      <c r="E196" s="16">
        <v>195</v>
      </c>
      <c r="F196" s="17">
        <v>46062</v>
      </c>
      <c r="G196" s="10"/>
      <c r="H196" s="10">
        <f t="shared" si="9"/>
        <v>15</v>
      </c>
      <c r="I196" s="10">
        <f ca="1">IF(AND(F196&lt;&gt;"", J196&lt;&gt;""), NETWORKDAYS(TODAY(), J196-1, FESTIVOS!A$1:A$55), "")</f>
        <v>-68</v>
      </c>
      <c r="J196" s="11">
        <f>IF(AND(F196&lt;&gt;"", H196&lt;&gt;""), WORKDAY(F196, H196, FESTIVOS!A$1:A$55), "")</f>
        <v>46083</v>
      </c>
      <c r="K196" s="10" t="s">
        <v>656</v>
      </c>
      <c r="L196" s="10">
        <f t="shared" ca="1" si="10"/>
        <v>0</v>
      </c>
      <c r="M196" s="10" t="str">
        <f t="shared" ca="1" si="11"/>
        <v>Vencido</v>
      </c>
      <c r="N196" s="10" t="s">
        <v>606</v>
      </c>
      <c r="O196" s="11">
        <v>46036</v>
      </c>
      <c r="P196" s="35">
        <f>IF(OR(O196="", J196=""), "", NETWORKDAYS(J196, O196, FESTIVOS!A195:A249))</f>
        <v>-34</v>
      </c>
    </row>
    <row r="197" spans="1:16" ht="31.5" x14ac:dyDescent="0.25">
      <c r="A197" s="10" t="s">
        <v>18</v>
      </c>
      <c r="B197" s="18" t="s">
        <v>304</v>
      </c>
      <c r="C197" s="18" t="s">
        <v>67</v>
      </c>
      <c r="D197" s="18" t="s">
        <v>305</v>
      </c>
      <c r="E197" s="16">
        <v>196</v>
      </c>
      <c r="F197" s="17">
        <v>46062</v>
      </c>
      <c r="G197" s="10"/>
      <c r="H197" s="10">
        <f t="shared" si="9"/>
        <v>15</v>
      </c>
      <c r="I197" s="10">
        <f ca="1">IF(AND(F197&lt;&gt;"", J197&lt;&gt;""), NETWORKDAYS(TODAY(), J197-1, FESTIVOS!A$1:A$55), "")</f>
        <v>-68</v>
      </c>
      <c r="J197" s="11">
        <f>IF(AND(F197&lt;&gt;"", H197&lt;&gt;""), WORKDAY(F197, H197, FESTIVOS!A$1:A$55), "")</f>
        <v>46083</v>
      </c>
      <c r="K197" s="10" t="s">
        <v>656</v>
      </c>
      <c r="L197" s="10">
        <f t="shared" ca="1" si="10"/>
        <v>0</v>
      </c>
      <c r="M197" s="10" t="str">
        <f t="shared" ca="1" si="11"/>
        <v>Vencido</v>
      </c>
      <c r="N197" s="10" t="s">
        <v>606</v>
      </c>
      <c r="O197" s="11">
        <v>46036</v>
      </c>
      <c r="P197" s="35">
        <f>IF(OR(O197="", J197=""), "", NETWORKDAYS(J197, O197, FESTIVOS!A196:A250))</f>
        <v>-34</v>
      </c>
    </row>
    <row r="198" spans="1:16" ht="31.5" x14ac:dyDescent="0.25">
      <c r="A198" s="10" t="s">
        <v>18</v>
      </c>
      <c r="B198" s="18" t="s">
        <v>306</v>
      </c>
      <c r="C198" s="18" t="s">
        <v>67</v>
      </c>
      <c r="D198" s="18" t="s">
        <v>307</v>
      </c>
      <c r="E198" s="16">
        <v>197</v>
      </c>
      <c r="F198" s="17">
        <v>46063</v>
      </c>
      <c r="G198" s="10"/>
      <c r="H198" s="10">
        <f t="shared" si="9"/>
        <v>15</v>
      </c>
      <c r="I198" s="10">
        <f ca="1">IF(AND(F198&lt;&gt;"", J198&lt;&gt;""), NETWORKDAYS(TODAY(), J198-1, FESTIVOS!A$1:A$55), "")</f>
        <v>-68</v>
      </c>
      <c r="J198" s="11">
        <f>IF(AND(F198&lt;&gt;"", H198&lt;&gt;""), WORKDAY(F198, H198, FESTIVOS!A$1:A$55), "")</f>
        <v>46084</v>
      </c>
      <c r="K198" s="10" t="s">
        <v>656</v>
      </c>
      <c r="L198" s="10">
        <f t="shared" ca="1" si="10"/>
        <v>0</v>
      </c>
      <c r="M198" s="10" t="str">
        <f t="shared" ca="1" si="11"/>
        <v>Vencido</v>
      </c>
      <c r="N198" s="10" t="s">
        <v>606</v>
      </c>
      <c r="O198" s="11">
        <v>46036</v>
      </c>
      <c r="P198" s="35">
        <f>IF(OR(O198="", J198=""), "", NETWORKDAYS(J198, O198, FESTIVOS!A197:A251))</f>
        <v>-35</v>
      </c>
    </row>
    <row r="199" spans="1:16" ht="47.25" x14ac:dyDescent="0.25">
      <c r="A199" s="10" t="s">
        <v>18</v>
      </c>
      <c r="B199" s="18" t="s">
        <v>77</v>
      </c>
      <c r="C199" s="18" t="s">
        <v>169</v>
      </c>
      <c r="D199" s="18" t="s">
        <v>308</v>
      </c>
      <c r="E199" s="16">
        <v>198</v>
      </c>
      <c r="F199" s="17">
        <v>46063</v>
      </c>
      <c r="G199" s="10"/>
      <c r="H199" s="10">
        <f t="shared" si="9"/>
        <v>15</v>
      </c>
      <c r="I199" s="10">
        <f ca="1">IF(AND(F199&lt;&gt;"", J199&lt;&gt;""), NETWORKDAYS(TODAY(), J199-1, FESTIVOS!A$1:A$55), "")</f>
        <v>-68</v>
      </c>
      <c r="J199" s="11">
        <f>IF(AND(F199&lt;&gt;"", H199&lt;&gt;""), WORKDAY(F199, H199, FESTIVOS!A$1:A$55), "")</f>
        <v>46084</v>
      </c>
      <c r="K199" s="10" t="s">
        <v>656</v>
      </c>
      <c r="L199" s="10">
        <f t="shared" ca="1" si="10"/>
        <v>0</v>
      </c>
      <c r="M199" s="10" t="str">
        <f t="shared" ca="1" si="11"/>
        <v>Vencido</v>
      </c>
      <c r="N199" s="10" t="s">
        <v>606</v>
      </c>
      <c r="O199" s="11">
        <v>46036</v>
      </c>
      <c r="P199" s="35">
        <f>IF(OR(O199="", J199=""), "", NETWORKDAYS(J199, O199, FESTIVOS!A198:A252))</f>
        <v>-35</v>
      </c>
    </row>
    <row r="200" spans="1:16" ht="15.75" x14ac:dyDescent="0.25">
      <c r="A200" s="10" t="s">
        <v>18</v>
      </c>
      <c r="B200" s="18" t="s">
        <v>309</v>
      </c>
      <c r="C200" s="18" t="s">
        <v>67</v>
      </c>
      <c r="D200" s="18" t="s">
        <v>310</v>
      </c>
      <c r="E200" s="16">
        <v>199</v>
      </c>
      <c r="F200" s="17">
        <v>46063</v>
      </c>
      <c r="G200" s="10"/>
      <c r="H200" s="10">
        <f t="shared" si="9"/>
        <v>15</v>
      </c>
      <c r="I200" s="10">
        <f ca="1">IF(AND(F200&lt;&gt;"", J200&lt;&gt;""), NETWORKDAYS(TODAY(), J200-1, FESTIVOS!A$1:A$55), "")</f>
        <v>-68</v>
      </c>
      <c r="J200" s="11">
        <f>IF(AND(F200&lt;&gt;"", H200&lt;&gt;""), WORKDAY(F200, H200, FESTIVOS!A$1:A$55), "")</f>
        <v>46084</v>
      </c>
      <c r="K200" s="10" t="s">
        <v>656</v>
      </c>
      <c r="L200" s="10">
        <f t="shared" ca="1" si="10"/>
        <v>0</v>
      </c>
      <c r="M200" s="10" t="str">
        <f t="shared" ca="1" si="11"/>
        <v>Vencido</v>
      </c>
      <c r="N200" s="10" t="s">
        <v>606</v>
      </c>
      <c r="O200" s="11">
        <v>46036</v>
      </c>
      <c r="P200" s="35">
        <f>IF(OR(O200="", J200=""), "", NETWORKDAYS(J200, O200, FESTIVOS!A199:A253))</f>
        <v>-35</v>
      </c>
    </row>
    <row r="201" spans="1:16" ht="15.75" x14ac:dyDescent="0.25">
      <c r="A201" s="10" t="s">
        <v>18</v>
      </c>
      <c r="B201" s="18" t="s">
        <v>311</v>
      </c>
      <c r="C201" s="18" t="s">
        <v>67</v>
      </c>
      <c r="D201" s="18" t="s">
        <v>30</v>
      </c>
      <c r="E201" s="16">
        <v>200</v>
      </c>
      <c r="F201" s="17">
        <v>46063</v>
      </c>
      <c r="G201" s="10"/>
      <c r="H201" s="10">
        <f t="shared" si="9"/>
        <v>15</v>
      </c>
      <c r="I201" s="10">
        <f ca="1">IF(AND(F201&lt;&gt;"", J201&lt;&gt;""), NETWORKDAYS(TODAY(), J201-1, FESTIVOS!A$1:A$55), "")</f>
        <v>-68</v>
      </c>
      <c r="J201" s="11">
        <f>IF(AND(F201&lt;&gt;"", H201&lt;&gt;""), WORKDAY(F201, H201, FESTIVOS!A$1:A$55), "")</f>
        <v>46084</v>
      </c>
      <c r="K201" s="10" t="s">
        <v>656</v>
      </c>
      <c r="L201" s="10">
        <f t="shared" ca="1" si="10"/>
        <v>0</v>
      </c>
      <c r="M201" s="10" t="str">
        <f t="shared" ca="1" si="11"/>
        <v>Vencido</v>
      </c>
      <c r="N201" s="10" t="s">
        <v>606</v>
      </c>
      <c r="O201" s="11">
        <v>46036</v>
      </c>
      <c r="P201" s="35">
        <f>IF(OR(O201="", J201=""), "", NETWORKDAYS(J201, O201, FESTIVOS!A200:A254))</f>
        <v>-35</v>
      </c>
    </row>
    <row r="202" spans="1:16" ht="15.75" x14ac:dyDescent="0.25">
      <c r="A202" s="10" t="s">
        <v>18</v>
      </c>
      <c r="B202" s="18" t="s">
        <v>114</v>
      </c>
      <c r="C202" s="18" t="s">
        <v>84</v>
      </c>
      <c r="D202" s="18" t="s">
        <v>39</v>
      </c>
      <c r="E202" s="16">
        <v>201</v>
      </c>
      <c r="F202" s="17">
        <v>46063</v>
      </c>
      <c r="G202" s="10"/>
      <c r="H202" s="10">
        <f t="shared" si="9"/>
        <v>15</v>
      </c>
      <c r="I202" s="10">
        <f ca="1">IF(AND(F202&lt;&gt;"", J202&lt;&gt;""), NETWORKDAYS(TODAY(), J202-1, FESTIVOS!A$1:A$55), "")</f>
        <v>-68</v>
      </c>
      <c r="J202" s="11">
        <f>IF(AND(F202&lt;&gt;"", H202&lt;&gt;""), WORKDAY(F202, H202, FESTIVOS!A$1:A$55), "")</f>
        <v>46084</v>
      </c>
      <c r="K202" s="10" t="s">
        <v>656</v>
      </c>
      <c r="L202" s="10">
        <f t="shared" ca="1" si="10"/>
        <v>0</v>
      </c>
      <c r="M202" s="10" t="str">
        <f t="shared" ca="1" si="11"/>
        <v>Vencido</v>
      </c>
      <c r="N202" s="10" t="s">
        <v>606</v>
      </c>
      <c r="O202" s="11">
        <v>46036</v>
      </c>
      <c r="P202" s="35">
        <f>IF(OR(O202="", J202=""), "", NETWORKDAYS(J202, O202, FESTIVOS!A201:A255))</f>
        <v>-35</v>
      </c>
    </row>
    <row r="203" spans="1:16" ht="15.75" x14ac:dyDescent="0.25">
      <c r="A203" s="10" t="s">
        <v>18</v>
      </c>
      <c r="B203" s="18" t="s">
        <v>114</v>
      </c>
      <c r="C203" s="18" t="s">
        <v>84</v>
      </c>
      <c r="D203" s="18" t="s">
        <v>39</v>
      </c>
      <c r="E203" s="16">
        <v>202</v>
      </c>
      <c r="F203" s="17">
        <v>46063</v>
      </c>
      <c r="G203" s="10"/>
      <c r="H203" s="10">
        <f t="shared" si="9"/>
        <v>15</v>
      </c>
      <c r="I203" s="10">
        <f ca="1">IF(AND(F203&lt;&gt;"", J203&lt;&gt;""), NETWORKDAYS(TODAY(), J203-1, FESTIVOS!A$1:A$55), "")</f>
        <v>-68</v>
      </c>
      <c r="J203" s="11">
        <f>IF(AND(F203&lt;&gt;"", H203&lt;&gt;""), WORKDAY(F203, H203, FESTIVOS!A$1:A$55), "")</f>
        <v>46084</v>
      </c>
      <c r="K203" s="10" t="s">
        <v>656</v>
      </c>
      <c r="L203" s="10">
        <f t="shared" ca="1" si="10"/>
        <v>0</v>
      </c>
      <c r="M203" s="10" t="str">
        <f t="shared" ca="1" si="11"/>
        <v>Vencido</v>
      </c>
      <c r="N203" s="10" t="s">
        <v>606</v>
      </c>
      <c r="O203" s="11">
        <v>46036</v>
      </c>
      <c r="P203" s="35">
        <f>IF(OR(O203="", J203=""), "", NETWORKDAYS(J203, O203, FESTIVOS!A202:A256))</f>
        <v>-35</v>
      </c>
    </row>
    <row r="204" spans="1:16" ht="15.75" x14ac:dyDescent="0.25">
      <c r="A204" s="10" t="s">
        <v>18</v>
      </c>
      <c r="B204" s="18" t="s">
        <v>114</v>
      </c>
      <c r="C204" s="18" t="s">
        <v>84</v>
      </c>
      <c r="D204" s="18" t="s">
        <v>39</v>
      </c>
      <c r="E204" s="16">
        <v>203</v>
      </c>
      <c r="F204" s="17">
        <v>46063</v>
      </c>
      <c r="G204" s="10"/>
      <c r="H204" s="10">
        <f t="shared" si="9"/>
        <v>15</v>
      </c>
      <c r="I204" s="10">
        <f ca="1">IF(AND(F204&lt;&gt;"", J204&lt;&gt;""), NETWORKDAYS(TODAY(), J204-1, FESTIVOS!A$1:A$55), "")</f>
        <v>-68</v>
      </c>
      <c r="J204" s="11">
        <f>IF(AND(F204&lt;&gt;"", H204&lt;&gt;""), WORKDAY(F204, H204, FESTIVOS!A$1:A$55), "")</f>
        <v>46084</v>
      </c>
      <c r="K204" s="10" t="s">
        <v>656</v>
      </c>
      <c r="L204" s="10">
        <f t="shared" ca="1" si="10"/>
        <v>0</v>
      </c>
      <c r="M204" s="10" t="str">
        <f t="shared" ca="1" si="11"/>
        <v>Vencido</v>
      </c>
      <c r="N204" s="10" t="s">
        <v>606</v>
      </c>
      <c r="O204" s="11">
        <v>46036</v>
      </c>
      <c r="P204" s="35">
        <f>IF(OR(O204="", J204=""), "", NETWORKDAYS(J204, O204, FESTIVOS!A203:A257))</f>
        <v>-35</v>
      </c>
    </row>
    <row r="205" spans="1:16" ht="15.75" x14ac:dyDescent="0.25">
      <c r="A205" s="10" t="s">
        <v>18</v>
      </c>
      <c r="B205" s="18" t="s">
        <v>114</v>
      </c>
      <c r="C205" s="18" t="s">
        <v>84</v>
      </c>
      <c r="D205" s="18" t="s">
        <v>39</v>
      </c>
      <c r="E205" s="16">
        <v>204</v>
      </c>
      <c r="F205" s="17">
        <v>46063</v>
      </c>
      <c r="G205" s="10"/>
      <c r="H205" s="10">
        <f t="shared" si="9"/>
        <v>15</v>
      </c>
      <c r="I205" s="10">
        <f ca="1">IF(AND(F205&lt;&gt;"", J205&lt;&gt;""), NETWORKDAYS(TODAY(), J205-1, FESTIVOS!A$1:A$55), "")</f>
        <v>-68</v>
      </c>
      <c r="J205" s="11">
        <f>IF(AND(F205&lt;&gt;"", H205&lt;&gt;""), WORKDAY(F205, H205, FESTIVOS!A$1:A$55), "")</f>
        <v>46084</v>
      </c>
      <c r="K205" s="10" t="s">
        <v>656</v>
      </c>
      <c r="L205" s="10">
        <f t="shared" ca="1" si="10"/>
        <v>0</v>
      </c>
      <c r="M205" s="10" t="str">
        <f t="shared" ca="1" si="11"/>
        <v>Vencido</v>
      </c>
      <c r="N205" s="10" t="s">
        <v>606</v>
      </c>
      <c r="O205" s="11">
        <v>46036</v>
      </c>
      <c r="P205" s="35">
        <f>IF(OR(O205="", J205=""), "", NETWORKDAYS(J205, O205, FESTIVOS!A204:A258))</f>
        <v>-35</v>
      </c>
    </row>
    <row r="206" spans="1:16" ht="15.75" x14ac:dyDescent="0.25">
      <c r="A206" s="10" t="s">
        <v>18</v>
      </c>
      <c r="B206" s="18" t="s">
        <v>114</v>
      </c>
      <c r="C206" s="18" t="s">
        <v>84</v>
      </c>
      <c r="D206" s="18" t="s">
        <v>39</v>
      </c>
      <c r="E206" s="16">
        <v>205</v>
      </c>
      <c r="F206" s="17">
        <v>46063</v>
      </c>
      <c r="G206" s="10"/>
      <c r="H206" s="10">
        <f t="shared" si="9"/>
        <v>15</v>
      </c>
      <c r="I206" s="10">
        <f ca="1">IF(AND(F206&lt;&gt;"", J206&lt;&gt;""), NETWORKDAYS(TODAY(), J206-1, FESTIVOS!A$1:A$55), "")</f>
        <v>-68</v>
      </c>
      <c r="J206" s="11">
        <f>IF(AND(F206&lt;&gt;"", H206&lt;&gt;""), WORKDAY(F206, H206, FESTIVOS!A$1:A$55), "")</f>
        <v>46084</v>
      </c>
      <c r="K206" s="10" t="s">
        <v>656</v>
      </c>
      <c r="L206" s="10">
        <f t="shared" ca="1" si="10"/>
        <v>0</v>
      </c>
      <c r="M206" s="10" t="str">
        <f t="shared" ca="1" si="11"/>
        <v>Vencido</v>
      </c>
      <c r="N206" s="10" t="s">
        <v>606</v>
      </c>
      <c r="O206" s="11">
        <v>46036</v>
      </c>
      <c r="P206" s="35">
        <f>IF(OR(O206="", J206=""), "", NETWORKDAYS(J206, O206, FESTIVOS!A205:A259))</f>
        <v>-35</v>
      </c>
    </row>
    <row r="207" spans="1:16" ht="15.75" x14ac:dyDescent="0.25">
      <c r="A207" s="10" t="s">
        <v>18</v>
      </c>
      <c r="B207" s="18" t="s">
        <v>312</v>
      </c>
      <c r="C207" s="18" t="s">
        <v>67</v>
      </c>
      <c r="D207" s="18" t="s">
        <v>44</v>
      </c>
      <c r="E207" s="16">
        <v>206</v>
      </c>
      <c r="F207" s="17">
        <v>46064</v>
      </c>
      <c r="G207" s="10"/>
      <c r="H207" s="10">
        <f t="shared" si="9"/>
        <v>15</v>
      </c>
      <c r="I207" s="10">
        <f ca="1">IF(AND(F207&lt;&gt;"", J207&lt;&gt;""), NETWORKDAYS(TODAY(), J207-1, FESTIVOS!A$1:A$55), "")</f>
        <v>-67</v>
      </c>
      <c r="J207" s="11">
        <f>IF(AND(F207&lt;&gt;"", H207&lt;&gt;""), WORKDAY(F207, H207, FESTIVOS!A$1:A$55), "")</f>
        <v>46085</v>
      </c>
      <c r="K207" s="10" t="s">
        <v>656</v>
      </c>
      <c r="L207" s="10">
        <f t="shared" ca="1" si="10"/>
        <v>0</v>
      </c>
      <c r="M207" s="10" t="str">
        <f t="shared" ca="1" si="11"/>
        <v>Vencido</v>
      </c>
      <c r="N207" s="10" t="s">
        <v>606</v>
      </c>
      <c r="O207" s="11">
        <v>46036</v>
      </c>
      <c r="P207" s="35">
        <f>IF(OR(O207="", J207=""), "", NETWORKDAYS(J207, O207, FESTIVOS!A206:A260))</f>
        <v>-36</v>
      </c>
    </row>
    <row r="208" spans="1:16" ht="47.25" x14ac:dyDescent="0.25">
      <c r="A208" s="10" t="s">
        <v>18</v>
      </c>
      <c r="B208" s="18" t="s">
        <v>313</v>
      </c>
      <c r="C208" s="18" t="s">
        <v>67</v>
      </c>
      <c r="D208" s="18" t="s">
        <v>314</v>
      </c>
      <c r="E208" s="16">
        <v>207</v>
      </c>
      <c r="F208" s="17">
        <v>46064</v>
      </c>
      <c r="G208" s="10"/>
      <c r="H208" s="10">
        <f t="shared" si="9"/>
        <v>15</v>
      </c>
      <c r="I208" s="10">
        <f ca="1">IF(AND(F208&lt;&gt;"", J208&lt;&gt;""), NETWORKDAYS(TODAY(), J208-1, FESTIVOS!A$1:A$55), "")</f>
        <v>-67</v>
      </c>
      <c r="J208" s="11">
        <f>IF(AND(F208&lt;&gt;"", H208&lt;&gt;""), WORKDAY(F208, H208, FESTIVOS!A$1:A$55), "")</f>
        <v>46085</v>
      </c>
      <c r="K208" s="10" t="s">
        <v>656</v>
      </c>
      <c r="L208" s="10">
        <f t="shared" ca="1" si="10"/>
        <v>0</v>
      </c>
      <c r="M208" s="10" t="str">
        <f t="shared" ca="1" si="11"/>
        <v>Vencido</v>
      </c>
      <c r="N208" s="10" t="s">
        <v>606</v>
      </c>
      <c r="O208" s="11">
        <v>46036</v>
      </c>
      <c r="P208" s="35">
        <f>IF(OR(O208="", J208=""), "", NETWORKDAYS(J208, O208, FESTIVOS!A207:A261))</f>
        <v>-36</v>
      </c>
    </row>
    <row r="209" spans="1:16" ht="15.75" x14ac:dyDescent="0.25">
      <c r="A209" s="10" t="s">
        <v>18</v>
      </c>
      <c r="B209" s="18" t="s">
        <v>315</v>
      </c>
      <c r="C209" s="18" t="s">
        <v>67</v>
      </c>
      <c r="D209" s="18" t="s">
        <v>24</v>
      </c>
      <c r="E209" s="16">
        <v>208</v>
      </c>
      <c r="F209" s="17">
        <v>46064</v>
      </c>
      <c r="G209" s="10"/>
      <c r="H209" s="10">
        <f t="shared" si="9"/>
        <v>15</v>
      </c>
      <c r="I209" s="10">
        <f ca="1">IF(AND(F209&lt;&gt;"", J209&lt;&gt;""), NETWORKDAYS(TODAY(), J209-1, FESTIVOS!A$1:A$55), "")</f>
        <v>-67</v>
      </c>
      <c r="J209" s="11">
        <f>IF(AND(F209&lt;&gt;"", H209&lt;&gt;""), WORKDAY(F209, H209, FESTIVOS!A$1:A$55), "")</f>
        <v>46085</v>
      </c>
      <c r="K209" s="10" t="s">
        <v>656</v>
      </c>
      <c r="L209" s="10">
        <f t="shared" ca="1" si="10"/>
        <v>0</v>
      </c>
      <c r="M209" s="10" t="str">
        <f t="shared" ca="1" si="11"/>
        <v>Vencido</v>
      </c>
      <c r="N209" s="10" t="s">
        <v>606</v>
      </c>
      <c r="O209" s="11">
        <v>46036</v>
      </c>
      <c r="P209" s="35">
        <f>IF(OR(O209="", J209=""), "", NETWORKDAYS(J209, O209, FESTIVOS!A208:A262))</f>
        <v>-36</v>
      </c>
    </row>
    <row r="210" spans="1:16" ht="15.75" x14ac:dyDescent="0.25">
      <c r="A210" s="10" t="s">
        <v>18</v>
      </c>
      <c r="B210" s="18" t="s">
        <v>316</v>
      </c>
      <c r="C210" s="18" t="s">
        <v>67</v>
      </c>
      <c r="D210" s="18" t="s">
        <v>317</v>
      </c>
      <c r="E210" s="16">
        <v>209</v>
      </c>
      <c r="F210" s="17">
        <v>46064</v>
      </c>
      <c r="G210" s="10"/>
      <c r="H210" s="10">
        <f t="shared" si="9"/>
        <v>15</v>
      </c>
      <c r="I210" s="10">
        <f ca="1">IF(AND(F210&lt;&gt;"", J210&lt;&gt;""), NETWORKDAYS(TODAY(), J210-1, FESTIVOS!A$1:A$55), "")</f>
        <v>-67</v>
      </c>
      <c r="J210" s="11">
        <f>IF(AND(F210&lt;&gt;"", H210&lt;&gt;""), WORKDAY(F210, H210, FESTIVOS!A$1:A$55), "")</f>
        <v>46085</v>
      </c>
      <c r="K210" s="10" t="s">
        <v>656</v>
      </c>
      <c r="L210" s="10">
        <f t="shared" ca="1" si="10"/>
        <v>0</v>
      </c>
      <c r="M210" s="10" t="str">
        <f t="shared" ca="1" si="11"/>
        <v>Vencido</v>
      </c>
      <c r="N210" s="10" t="s">
        <v>606</v>
      </c>
      <c r="O210" s="11">
        <v>46036</v>
      </c>
      <c r="P210" s="35">
        <f>IF(OR(O210="", J210=""), "", NETWORKDAYS(J210, O210, FESTIVOS!A209:A263))</f>
        <v>-36</v>
      </c>
    </row>
    <row r="211" spans="1:16" ht="31.5" x14ac:dyDescent="0.25">
      <c r="A211" s="10" t="s">
        <v>18</v>
      </c>
      <c r="B211" s="18" t="s">
        <v>218</v>
      </c>
      <c r="C211" s="18" t="s">
        <v>88</v>
      </c>
      <c r="D211" s="18" t="s">
        <v>318</v>
      </c>
      <c r="E211" s="16">
        <v>210</v>
      </c>
      <c r="F211" s="17">
        <v>46064</v>
      </c>
      <c r="G211" s="10"/>
      <c r="H211" s="10">
        <f t="shared" si="9"/>
        <v>15</v>
      </c>
      <c r="I211" s="10">
        <f ca="1">IF(AND(F211&lt;&gt;"", J211&lt;&gt;""), NETWORKDAYS(TODAY(), J211-1, FESTIVOS!A$1:A$55), "")</f>
        <v>-67</v>
      </c>
      <c r="J211" s="11">
        <f>IF(AND(F211&lt;&gt;"", H211&lt;&gt;""), WORKDAY(F211, H211, FESTIVOS!A$1:A$55), "")</f>
        <v>46085</v>
      </c>
      <c r="K211" s="10" t="s">
        <v>656</v>
      </c>
      <c r="L211" s="10">
        <f t="shared" ca="1" si="10"/>
        <v>0</v>
      </c>
      <c r="M211" s="10" t="str">
        <f t="shared" ca="1" si="11"/>
        <v>Vencido</v>
      </c>
      <c r="N211" s="10" t="s">
        <v>606</v>
      </c>
      <c r="O211" s="11">
        <v>46036</v>
      </c>
      <c r="P211" s="35">
        <f>IF(OR(O211="", J211=""), "", NETWORKDAYS(J211, O211, FESTIVOS!A210:A264))</f>
        <v>-36</v>
      </c>
    </row>
    <row r="212" spans="1:16" ht="78.75" x14ac:dyDescent="0.25">
      <c r="A212" s="10" t="s">
        <v>18</v>
      </c>
      <c r="B212" s="18" t="s">
        <v>319</v>
      </c>
      <c r="C212" s="18" t="s">
        <v>88</v>
      </c>
      <c r="D212" s="18" t="s">
        <v>320</v>
      </c>
      <c r="E212" s="16">
        <v>211</v>
      </c>
      <c r="F212" s="17">
        <v>46065</v>
      </c>
      <c r="G212" s="10"/>
      <c r="H212" s="10">
        <f t="shared" si="9"/>
        <v>15</v>
      </c>
      <c r="I212" s="10">
        <f ca="1">IF(AND(F212&lt;&gt;"", J212&lt;&gt;""), NETWORKDAYS(TODAY(), J212-1, FESTIVOS!A$1:A$55), "")</f>
        <v>-66</v>
      </c>
      <c r="J212" s="11">
        <f>IF(AND(F212&lt;&gt;"", H212&lt;&gt;""), WORKDAY(F212, H212, FESTIVOS!A$1:A$55), "")</f>
        <v>46086</v>
      </c>
      <c r="K212" s="10" t="s">
        <v>656</v>
      </c>
      <c r="L212" s="10">
        <f t="shared" ca="1" si="10"/>
        <v>0</v>
      </c>
      <c r="M212" s="10" t="str">
        <f t="shared" ca="1" si="11"/>
        <v>Vencido</v>
      </c>
      <c r="N212" s="10" t="s">
        <v>606</v>
      </c>
      <c r="O212" s="11">
        <v>46036</v>
      </c>
      <c r="P212" s="35">
        <f>IF(OR(O212="", J212=""), "", NETWORKDAYS(J212, O212, FESTIVOS!A211:A265))</f>
        <v>-37</v>
      </c>
    </row>
    <row r="213" spans="1:16" ht="31.5" x14ac:dyDescent="0.25">
      <c r="A213" s="10" t="s">
        <v>18</v>
      </c>
      <c r="B213" s="18" t="s">
        <v>321</v>
      </c>
      <c r="C213" s="18" t="s">
        <v>67</v>
      </c>
      <c r="D213" s="18" t="s">
        <v>322</v>
      </c>
      <c r="E213" s="16">
        <v>212</v>
      </c>
      <c r="F213" s="17">
        <v>46065</v>
      </c>
      <c r="G213" s="10"/>
      <c r="H213" s="10">
        <f t="shared" si="9"/>
        <v>15</v>
      </c>
      <c r="I213" s="10">
        <f ca="1">IF(AND(F213&lt;&gt;"", J213&lt;&gt;""), NETWORKDAYS(TODAY(), J213-1, FESTIVOS!A$1:A$55), "")</f>
        <v>-66</v>
      </c>
      <c r="J213" s="11">
        <f>IF(AND(F213&lt;&gt;"", H213&lt;&gt;""), WORKDAY(F213, H213, FESTIVOS!A$1:A$55), "")</f>
        <v>46086</v>
      </c>
      <c r="K213" s="10" t="s">
        <v>656</v>
      </c>
      <c r="L213" s="10">
        <f t="shared" ca="1" si="10"/>
        <v>0</v>
      </c>
      <c r="M213" s="10" t="str">
        <f t="shared" ca="1" si="11"/>
        <v>Vencido</v>
      </c>
      <c r="N213" s="10" t="s">
        <v>606</v>
      </c>
      <c r="O213" s="11">
        <v>46036</v>
      </c>
      <c r="P213" s="35">
        <f>IF(OR(O213="", J213=""), "", NETWORKDAYS(J213, O213, FESTIVOS!A212:A266))</f>
        <v>-37</v>
      </c>
    </row>
    <row r="214" spans="1:16" ht="94.5" x14ac:dyDescent="0.25">
      <c r="A214" s="10" t="s">
        <v>18</v>
      </c>
      <c r="B214" s="18" t="s">
        <v>323</v>
      </c>
      <c r="C214" s="18" t="s">
        <v>65</v>
      </c>
      <c r="D214" s="18" t="s">
        <v>324</v>
      </c>
      <c r="E214" s="16">
        <v>213</v>
      </c>
      <c r="F214" s="17">
        <v>46065</v>
      </c>
      <c r="G214" s="10"/>
      <c r="H214" s="10">
        <f t="shared" si="9"/>
        <v>15</v>
      </c>
      <c r="I214" s="10">
        <f ca="1">IF(AND(F214&lt;&gt;"", J214&lt;&gt;""), NETWORKDAYS(TODAY(), J214-1, FESTIVOS!A$1:A$55), "")</f>
        <v>-66</v>
      </c>
      <c r="J214" s="11">
        <f>IF(AND(F214&lt;&gt;"", H214&lt;&gt;""), WORKDAY(F214, H214, FESTIVOS!A$1:A$55), "")</f>
        <v>46086</v>
      </c>
      <c r="K214" s="10" t="s">
        <v>656</v>
      </c>
      <c r="L214" s="10">
        <f t="shared" ca="1" si="10"/>
        <v>0</v>
      </c>
      <c r="M214" s="10" t="str">
        <f t="shared" ca="1" si="11"/>
        <v>Vencido</v>
      </c>
      <c r="N214" s="10" t="s">
        <v>606</v>
      </c>
      <c r="O214" s="11">
        <v>46036</v>
      </c>
      <c r="P214" s="35">
        <f>IF(OR(O214="", J214=""), "", NETWORKDAYS(J214, O214, FESTIVOS!A213:A267))</f>
        <v>-37</v>
      </c>
    </row>
    <row r="215" spans="1:16" ht="15.75" x14ac:dyDescent="0.25">
      <c r="A215" s="10" t="s">
        <v>18</v>
      </c>
      <c r="B215" s="18" t="s">
        <v>325</v>
      </c>
      <c r="C215" s="18" t="s">
        <v>67</v>
      </c>
      <c r="D215" s="18" t="s">
        <v>326</v>
      </c>
      <c r="E215" s="16">
        <v>214</v>
      </c>
      <c r="F215" s="17">
        <v>46065</v>
      </c>
      <c r="G215" s="10"/>
      <c r="H215" s="10">
        <f t="shared" si="9"/>
        <v>15</v>
      </c>
      <c r="I215" s="10">
        <f ca="1">IF(AND(F215&lt;&gt;"", J215&lt;&gt;""), NETWORKDAYS(TODAY(), J215-1, FESTIVOS!A$1:A$55), "")</f>
        <v>-66</v>
      </c>
      <c r="J215" s="11">
        <f>IF(AND(F215&lt;&gt;"", H215&lt;&gt;""), WORKDAY(F215, H215, FESTIVOS!A$1:A$55), "")</f>
        <v>46086</v>
      </c>
      <c r="K215" s="10" t="s">
        <v>656</v>
      </c>
      <c r="L215" s="10">
        <f t="shared" ca="1" si="10"/>
        <v>0</v>
      </c>
      <c r="M215" s="10" t="str">
        <f t="shared" ca="1" si="11"/>
        <v>Vencido</v>
      </c>
      <c r="N215" s="10" t="s">
        <v>606</v>
      </c>
      <c r="O215" s="11">
        <v>46036</v>
      </c>
      <c r="P215" s="35">
        <f>IF(OR(O215="", J215=""), "", NETWORKDAYS(J215, O215, FESTIVOS!A214:A268))</f>
        <v>-37</v>
      </c>
    </row>
    <row r="216" spans="1:16" ht="31.5" x14ac:dyDescent="0.25">
      <c r="A216" s="10" t="s">
        <v>18</v>
      </c>
      <c r="B216" s="18" t="s">
        <v>327</v>
      </c>
      <c r="C216" s="18" t="s">
        <v>67</v>
      </c>
      <c r="D216" s="18" t="s">
        <v>328</v>
      </c>
      <c r="E216" s="16">
        <v>215</v>
      </c>
      <c r="F216" s="17">
        <v>46065</v>
      </c>
      <c r="G216" s="10"/>
      <c r="H216" s="10">
        <f t="shared" si="9"/>
        <v>15</v>
      </c>
      <c r="I216" s="10">
        <f ca="1">IF(AND(F216&lt;&gt;"", J216&lt;&gt;""), NETWORKDAYS(TODAY(), J216-1, FESTIVOS!A$1:A$55), "")</f>
        <v>-66</v>
      </c>
      <c r="J216" s="11">
        <f>IF(AND(F216&lt;&gt;"", H216&lt;&gt;""), WORKDAY(F216, H216, FESTIVOS!A$1:A$55), "")</f>
        <v>46086</v>
      </c>
      <c r="K216" s="10" t="s">
        <v>656</v>
      </c>
      <c r="L216" s="10">
        <f t="shared" ca="1" si="10"/>
        <v>0</v>
      </c>
      <c r="M216" s="10" t="str">
        <f t="shared" ca="1" si="11"/>
        <v>Vencido</v>
      </c>
      <c r="N216" s="10" t="s">
        <v>606</v>
      </c>
      <c r="O216" s="11">
        <v>46036</v>
      </c>
      <c r="P216" s="35">
        <f>IF(OR(O216="", J216=""), "", NETWORKDAYS(J216, O216, FESTIVOS!A215:A269))</f>
        <v>-37</v>
      </c>
    </row>
    <row r="217" spans="1:16" ht="31.5" x14ac:dyDescent="0.25">
      <c r="A217" s="10" t="s">
        <v>18</v>
      </c>
      <c r="B217" s="18" t="s">
        <v>329</v>
      </c>
      <c r="C217" s="18" t="s">
        <v>88</v>
      </c>
      <c r="D217" s="18" t="s">
        <v>330</v>
      </c>
      <c r="E217" s="16">
        <v>216</v>
      </c>
      <c r="F217" s="17">
        <v>46065</v>
      </c>
      <c r="G217" s="10"/>
      <c r="H217" s="10">
        <f t="shared" si="9"/>
        <v>15</v>
      </c>
      <c r="I217" s="10">
        <f ca="1">IF(AND(F217&lt;&gt;"", J217&lt;&gt;""), NETWORKDAYS(TODAY(), J217-1, FESTIVOS!A$1:A$55), "")</f>
        <v>-66</v>
      </c>
      <c r="J217" s="11">
        <f>IF(AND(F217&lt;&gt;"", H217&lt;&gt;""), WORKDAY(F217, H217, FESTIVOS!A$1:A$55), "")</f>
        <v>46086</v>
      </c>
      <c r="K217" s="10" t="s">
        <v>656</v>
      </c>
      <c r="L217" s="10">
        <f t="shared" ca="1" si="10"/>
        <v>0</v>
      </c>
      <c r="M217" s="10" t="str">
        <f t="shared" ca="1" si="11"/>
        <v>Vencido</v>
      </c>
      <c r="N217" s="10" t="s">
        <v>606</v>
      </c>
      <c r="O217" s="11">
        <v>46036</v>
      </c>
      <c r="P217" s="35">
        <f>IF(OR(O217="", J217=""), "", NETWORKDAYS(J217, O217, FESTIVOS!A216:A270))</f>
        <v>-37</v>
      </c>
    </row>
    <row r="218" spans="1:16" ht="47.25" x14ac:dyDescent="0.25">
      <c r="A218" s="10" t="s">
        <v>18</v>
      </c>
      <c r="B218" s="18" t="s">
        <v>331</v>
      </c>
      <c r="C218" s="18" t="s">
        <v>88</v>
      </c>
      <c r="D218" s="18" t="s">
        <v>332</v>
      </c>
      <c r="E218" s="16">
        <v>217</v>
      </c>
      <c r="F218" s="17">
        <v>46065</v>
      </c>
      <c r="G218" s="10"/>
      <c r="H218" s="10">
        <f t="shared" si="9"/>
        <v>15</v>
      </c>
      <c r="I218" s="10">
        <f ca="1">IF(AND(F218&lt;&gt;"", J218&lt;&gt;""), NETWORKDAYS(TODAY(), J218-1, FESTIVOS!A$1:A$55), "")</f>
        <v>-66</v>
      </c>
      <c r="J218" s="11">
        <f>IF(AND(F218&lt;&gt;"", H218&lt;&gt;""), WORKDAY(F218, H218, FESTIVOS!A$1:A$55), "")</f>
        <v>46086</v>
      </c>
      <c r="K218" s="10" t="s">
        <v>656</v>
      </c>
      <c r="L218" s="10">
        <f t="shared" ca="1" si="10"/>
        <v>0</v>
      </c>
      <c r="M218" s="10" t="str">
        <f t="shared" ca="1" si="11"/>
        <v>Vencido</v>
      </c>
      <c r="N218" s="10" t="s">
        <v>606</v>
      </c>
      <c r="O218" s="11">
        <v>46036</v>
      </c>
      <c r="P218" s="35">
        <f>IF(OR(O218="", J218=""), "", NETWORKDAYS(J218, O218, FESTIVOS!A217:A271))</f>
        <v>-37</v>
      </c>
    </row>
    <row r="219" spans="1:16" ht="63" x14ac:dyDescent="0.25">
      <c r="A219" s="10" t="s">
        <v>18</v>
      </c>
      <c r="B219" s="18" t="s">
        <v>333</v>
      </c>
      <c r="C219" s="18" t="s">
        <v>67</v>
      </c>
      <c r="D219" s="18" t="s">
        <v>334</v>
      </c>
      <c r="E219" s="16">
        <v>218</v>
      </c>
      <c r="F219" s="17">
        <v>46065</v>
      </c>
      <c r="G219" s="10"/>
      <c r="H219" s="10">
        <f t="shared" si="9"/>
        <v>15</v>
      </c>
      <c r="I219" s="10">
        <f ca="1">IF(AND(F219&lt;&gt;"", J219&lt;&gt;""), NETWORKDAYS(TODAY(), J219-1, FESTIVOS!A$1:A$55), "")</f>
        <v>-66</v>
      </c>
      <c r="J219" s="11">
        <f>IF(AND(F219&lt;&gt;"", H219&lt;&gt;""), WORKDAY(F219, H219, FESTIVOS!A$1:A$55), "")</f>
        <v>46086</v>
      </c>
      <c r="K219" s="10" t="s">
        <v>656</v>
      </c>
      <c r="L219" s="10">
        <f t="shared" ca="1" si="10"/>
        <v>0</v>
      </c>
      <c r="M219" s="10" t="str">
        <f t="shared" ca="1" si="11"/>
        <v>Vencido</v>
      </c>
      <c r="N219" s="10" t="s">
        <v>606</v>
      </c>
      <c r="O219" s="11">
        <v>46036</v>
      </c>
      <c r="P219" s="35">
        <f>IF(OR(O219="", J219=""), "", NETWORKDAYS(J219, O219, FESTIVOS!A218:A272))</f>
        <v>-37</v>
      </c>
    </row>
    <row r="220" spans="1:16" ht="15.75" x14ac:dyDescent="0.25">
      <c r="A220" s="10" t="s">
        <v>18</v>
      </c>
      <c r="B220" s="18" t="s">
        <v>335</v>
      </c>
      <c r="C220" s="18" t="s">
        <v>88</v>
      </c>
      <c r="D220" s="18" t="s">
        <v>336</v>
      </c>
      <c r="E220" s="16">
        <v>219</v>
      </c>
      <c r="F220" s="17">
        <v>46065</v>
      </c>
      <c r="G220" s="10"/>
      <c r="H220" s="10">
        <f t="shared" si="9"/>
        <v>15</v>
      </c>
      <c r="I220" s="10">
        <f ca="1">IF(AND(F220&lt;&gt;"", J220&lt;&gt;""), NETWORKDAYS(TODAY(), J220-1, FESTIVOS!A$1:A$55), "")</f>
        <v>-66</v>
      </c>
      <c r="J220" s="11">
        <f>IF(AND(F220&lt;&gt;"", H220&lt;&gt;""), WORKDAY(F220, H220, FESTIVOS!A$1:A$55), "")</f>
        <v>46086</v>
      </c>
      <c r="K220" s="10" t="s">
        <v>656</v>
      </c>
      <c r="L220" s="10">
        <f t="shared" ca="1" si="10"/>
        <v>0</v>
      </c>
      <c r="M220" s="10" t="str">
        <f t="shared" ca="1" si="11"/>
        <v>Vencido</v>
      </c>
      <c r="N220" s="10" t="s">
        <v>606</v>
      </c>
      <c r="O220" s="11">
        <v>46036</v>
      </c>
      <c r="P220" s="35">
        <f>IF(OR(O220="", J220=""), "", NETWORKDAYS(J220, O220, FESTIVOS!A219:A273))</f>
        <v>-37</v>
      </c>
    </row>
    <row r="221" spans="1:16" ht="15.75" x14ac:dyDescent="0.25">
      <c r="A221" s="10" t="s">
        <v>18</v>
      </c>
      <c r="B221" s="18" t="s">
        <v>337</v>
      </c>
      <c r="C221" s="18" t="s">
        <v>88</v>
      </c>
      <c r="D221" s="18" t="s">
        <v>338</v>
      </c>
      <c r="E221" s="16">
        <v>220</v>
      </c>
      <c r="F221" s="17">
        <v>46065</v>
      </c>
      <c r="G221" s="10"/>
      <c r="H221" s="10">
        <f t="shared" si="9"/>
        <v>15</v>
      </c>
      <c r="I221" s="10">
        <f ca="1">IF(AND(F221&lt;&gt;"", J221&lt;&gt;""), NETWORKDAYS(TODAY(), J221-1, FESTIVOS!A$1:A$55), "")</f>
        <v>-66</v>
      </c>
      <c r="J221" s="11">
        <f>IF(AND(F221&lt;&gt;"", H221&lt;&gt;""), WORKDAY(F221, H221, FESTIVOS!A$1:A$55), "")</f>
        <v>46086</v>
      </c>
      <c r="K221" s="10" t="s">
        <v>656</v>
      </c>
      <c r="L221" s="10">
        <f t="shared" ca="1" si="10"/>
        <v>0</v>
      </c>
      <c r="M221" s="10" t="str">
        <f t="shared" ca="1" si="11"/>
        <v>Vencido</v>
      </c>
      <c r="N221" s="10" t="s">
        <v>606</v>
      </c>
      <c r="O221" s="11">
        <v>46036</v>
      </c>
      <c r="P221" s="35">
        <f>IF(OR(O221="", J221=""), "", NETWORKDAYS(J221, O221, FESTIVOS!A220:A274))</f>
        <v>-37</v>
      </c>
    </row>
    <row r="222" spans="1:16" ht="47.25" x14ac:dyDescent="0.25">
      <c r="A222" s="10" t="s">
        <v>18</v>
      </c>
      <c r="B222" s="18" t="s">
        <v>339</v>
      </c>
      <c r="C222" s="18" t="s">
        <v>67</v>
      </c>
      <c r="D222" s="18" t="s">
        <v>340</v>
      </c>
      <c r="E222" s="16">
        <v>221</v>
      </c>
      <c r="F222" s="17">
        <v>46066</v>
      </c>
      <c r="G222" s="10"/>
      <c r="H222" s="10">
        <f t="shared" si="9"/>
        <v>15</v>
      </c>
      <c r="I222" s="10">
        <f ca="1">IF(AND(F222&lt;&gt;"", J222&lt;&gt;""), NETWORKDAYS(TODAY(), J222-1, FESTIVOS!A$1:A$55), "")</f>
        <v>-65</v>
      </c>
      <c r="J222" s="11">
        <f>IF(AND(F222&lt;&gt;"", H222&lt;&gt;""), WORKDAY(F222, H222, FESTIVOS!A$1:A$55), "")</f>
        <v>46087</v>
      </c>
      <c r="K222" s="10" t="s">
        <v>656</v>
      </c>
      <c r="L222" s="10">
        <f t="shared" ca="1" si="10"/>
        <v>0</v>
      </c>
      <c r="M222" s="10" t="str">
        <f t="shared" ca="1" si="11"/>
        <v>Vencido</v>
      </c>
      <c r="N222" s="10" t="s">
        <v>606</v>
      </c>
      <c r="O222" s="11">
        <v>46036</v>
      </c>
      <c r="P222" s="35">
        <f>IF(OR(O222="", J222=""), "", NETWORKDAYS(J222, O222, FESTIVOS!A221:A275))</f>
        <v>-38</v>
      </c>
    </row>
    <row r="223" spans="1:16" ht="63" x14ac:dyDescent="0.25">
      <c r="A223" s="10" t="s">
        <v>18</v>
      </c>
      <c r="B223" s="18" t="s">
        <v>341</v>
      </c>
      <c r="C223" s="18" t="s">
        <v>67</v>
      </c>
      <c r="D223" s="18" t="s">
        <v>342</v>
      </c>
      <c r="E223" s="16">
        <v>222</v>
      </c>
      <c r="F223" s="17">
        <v>46066</v>
      </c>
      <c r="G223" s="10"/>
      <c r="H223" s="10">
        <f t="shared" si="9"/>
        <v>15</v>
      </c>
      <c r="I223" s="10">
        <f ca="1">IF(AND(F223&lt;&gt;"", J223&lt;&gt;""), NETWORKDAYS(TODAY(), J223-1, FESTIVOS!A$1:A$55), "")</f>
        <v>-65</v>
      </c>
      <c r="J223" s="11">
        <f>IF(AND(F223&lt;&gt;"", H223&lt;&gt;""), WORKDAY(F223, H223, FESTIVOS!A$1:A$55), "")</f>
        <v>46087</v>
      </c>
      <c r="K223" s="10" t="s">
        <v>656</v>
      </c>
      <c r="L223" s="10">
        <f t="shared" ca="1" si="10"/>
        <v>0</v>
      </c>
      <c r="M223" s="10" t="str">
        <f t="shared" ca="1" si="11"/>
        <v>Vencido</v>
      </c>
      <c r="N223" s="10" t="s">
        <v>606</v>
      </c>
      <c r="O223" s="11">
        <v>46036</v>
      </c>
      <c r="P223" s="35">
        <f>IF(OR(O223="", J223=""), "", NETWORKDAYS(J223, O223, FESTIVOS!A222:A276))</f>
        <v>-38</v>
      </c>
    </row>
    <row r="224" spans="1:16" ht="15.75" x14ac:dyDescent="0.25">
      <c r="A224" s="10" t="s">
        <v>18</v>
      </c>
      <c r="B224" s="18" t="s">
        <v>343</v>
      </c>
      <c r="C224" s="18" t="s">
        <v>90</v>
      </c>
      <c r="D224" s="18" t="s">
        <v>344</v>
      </c>
      <c r="E224" s="16">
        <v>223</v>
      </c>
      <c r="F224" s="17">
        <v>46066</v>
      </c>
      <c r="G224" s="10"/>
      <c r="H224" s="10">
        <f t="shared" si="9"/>
        <v>15</v>
      </c>
      <c r="I224" s="10">
        <f ca="1">IF(AND(F224&lt;&gt;"", J224&lt;&gt;""), NETWORKDAYS(TODAY(), J224-1, FESTIVOS!A$1:A$55), "")</f>
        <v>-65</v>
      </c>
      <c r="J224" s="11">
        <f>IF(AND(F224&lt;&gt;"", H224&lt;&gt;""), WORKDAY(F224, H224, FESTIVOS!A$1:A$55), "")</f>
        <v>46087</v>
      </c>
      <c r="K224" s="10" t="s">
        <v>656</v>
      </c>
      <c r="L224" s="10">
        <f t="shared" ca="1" si="10"/>
        <v>0</v>
      </c>
      <c r="M224" s="10" t="str">
        <f t="shared" ca="1" si="11"/>
        <v>Vencido</v>
      </c>
      <c r="N224" s="10" t="s">
        <v>606</v>
      </c>
      <c r="O224" s="11">
        <v>46036</v>
      </c>
      <c r="P224" s="35">
        <f>IF(OR(O224="", J224=""), "", NETWORKDAYS(J224, O224, FESTIVOS!A223:A277))</f>
        <v>-38</v>
      </c>
    </row>
    <row r="225" spans="1:16" ht="31.5" x14ac:dyDescent="0.25">
      <c r="A225" s="10" t="s">
        <v>18</v>
      </c>
      <c r="B225" s="18" t="s">
        <v>345</v>
      </c>
      <c r="C225" s="18" t="s">
        <v>65</v>
      </c>
      <c r="D225" s="18" t="s">
        <v>346</v>
      </c>
      <c r="E225" s="16">
        <v>224</v>
      </c>
      <c r="F225" s="17">
        <v>46066</v>
      </c>
      <c r="G225" s="10"/>
      <c r="H225" s="10">
        <f t="shared" si="9"/>
        <v>15</v>
      </c>
      <c r="I225" s="10">
        <f ca="1">IF(AND(F225&lt;&gt;"", J225&lt;&gt;""), NETWORKDAYS(TODAY(), J225-1, FESTIVOS!A$1:A$55), "")</f>
        <v>-65</v>
      </c>
      <c r="J225" s="11">
        <f>IF(AND(F225&lt;&gt;"", H225&lt;&gt;""), WORKDAY(F225, H225, FESTIVOS!A$1:A$55), "")</f>
        <v>46087</v>
      </c>
      <c r="K225" s="10" t="s">
        <v>656</v>
      </c>
      <c r="L225" s="10">
        <f t="shared" ca="1" si="10"/>
        <v>0</v>
      </c>
      <c r="M225" s="10" t="str">
        <f t="shared" ca="1" si="11"/>
        <v>Vencido</v>
      </c>
      <c r="N225" s="10" t="s">
        <v>606</v>
      </c>
      <c r="O225" s="11">
        <v>46036</v>
      </c>
      <c r="P225" s="35">
        <f>IF(OR(O225="", J225=""), "", NETWORKDAYS(J225, O225, FESTIVOS!A224:A278))</f>
        <v>-38</v>
      </c>
    </row>
    <row r="226" spans="1:16" ht="94.5" x14ac:dyDescent="0.25">
      <c r="A226" s="10" t="s">
        <v>18</v>
      </c>
      <c r="B226" s="18" t="s">
        <v>347</v>
      </c>
      <c r="C226" s="18" t="s">
        <v>67</v>
      </c>
      <c r="D226" s="18" t="s">
        <v>348</v>
      </c>
      <c r="E226" s="16">
        <v>225</v>
      </c>
      <c r="F226" s="17">
        <v>46066</v>
      </c>
      <c r="G226" s="10"/>
      <c r="H226" s="10">
        <f t="shared" si="9"/>
        <v>15</v>
      </c>
      <c r="I226" s="10">
        <f ca="1">IF(AND(F226&lt;&gt;"", J226&lt;&gt;""), NETWORKDAYS(TODAY(), J226-1, FESTIVOS!A$1:A$55), "")</f>
        <v>-65</v>
      </c>
      <c r="J226" s="11">
        <f>IF(AND(F226&lt;&gt;"", H226&lt;&gt;""), WORKDAY(F226, H226, FESTIVOS!A$1:A$55), "")</f>
        <v>46087</v>
      </c>
      <c r="K226" s="10" t="s">
        <v>656</v>
      </c>
      <c r="L226" s="10">
        <f t="shared" ca="1" si="10"/>
        <v>0</v>
      </c>
      <c r="M226" s="10" t="str">
        <f t="shared" ca="1" si="11"/>
        <v>Vencido</v>
      </c>
      <c r="N226" s="10" t="s">
        <v>606</v>
      </c>
      <c r="O226" s="11">
        <v>46036</v>
      </c>
      <c r="P226" s="35">
        <f>IF(OR(O226="", J226=""), "", NETWORKDAYS(J226, O226, FESTIVOS!A225:A279))</f>
        <v>-38</v>
      </c>
    </row>
    <row r="227" spans="1:16" ht="47.25" x14ac:dyDescent="0.25">
      <c r="A227" s="10" t="s">
        <v>18</v>
      </c>
      <c r="B227" s="18" t="s">
        <v>349</v>
      </c>
      <c r="C227" s="18" t="s">
        <v>67</v>
      </c>
      <c r="D227" s="18" t="s">
        <v>350</v>
      </c>
      <c r="E227" s="16">
        <v>226</v>
      </c>
      <c r="F227" s="17">
        <v>46066</v>
      </c>
      <c r="G227" s="10"/>
      <c r="H227" s="10">
        <f t="shared" si="9"/>
        <v>15</v>
      </c>
      <c r="I227" s="10">
        <f ca="1">IF(AND(F227&lt;&gt;"", J227&lt;&gt;""), NETWORKDAYS(TODAY(), J227-1, FESTIVOS!A$1:A$55), "")</f>
        <v>-65</v>
      </c>
      <c r="J227" s="11">
        <f>IF(AND(F227&lt;&gt;"", H227&lt;&gt;""), WORKDAY(F227, H227, FESTIVOS!A$1:A$55), "")</f>
        <v>46087</v>
      </c>
      <c r="K227" s="10" t="s">
        <v>656</v>
      </c>
      <c r="L227" s="10">
        <f t="shared" ca="1" si="10"/>
        <v>0</v>
      </c>
      <c r="M227" s="10" t="str">
        <f t="shared" ca="1" si="11"/>
        <v>Vencido</v>
      </c>
      <c r="N227" s="10" t="s">
        <v>606</v>
      </c>
      <c r="O227" s="11">
        <v>46036</v>
      </c>
      <c r="P227" s="35">
        <f>IF(OR(O227="", J227=""), "", NETWORKDAYS(J227, O227, FESTIVOS!A226:A280))</f>
        <v>-38</v>
      </c>
    </row>
    <row r="228" spans="1:16" ht="31.5" x14ac:dyDescent="0.25">
      <c r="A228" s="10" t="s">
        <v>18</v>
      </c>
      <c r="B228" s="18" t="s">
        <v>351</v>
      </c>
      <c r="C228" s="18" t="s">
        <v>67</v>
      </c>
      <c r="D228" s="18" t="s">
        <v>352</v>
      </c>
      <c r="E228" s="16">
        <v>227</v>
      </c>
      <c r="F228" s="17">
        <v>46066</v>
      </c>
      <c r="G228" s="10"/>
      <c r="H228" s="10">
        <f t="shared" si="9"/>
        <v>15</v>
      </c>
      <c r="I228" s="10">
        <f ca="1">IF(AND(F228&lt;&gt;"", J228&lt;&gt;""), NETWORKDAYS(TODAY(), J228-1, FESTIVOS!A$1:A$55), "")</f>
        <v>-65</v>
      </c>
      <c r="J228" s="11">
        <f>IF(AND(F228&lt;&gt;"", H228&lt;&gt;""), WORKDAY(F228, H228, FESTIVOS!A$1:A$55), "")</f>
        <v>46087</v>
      </c>
      <c r="K228" s="10" t="s">
        <v>656</v>
      </c>
      <c r="L228" s="10">
        <f t="shared" ca="1" si="10"/>
        <v>0</v>
      </c>
      <c r="M228" s="10" t="str">
        <f t="shared" ca="1" si="11"/>
        <v>Vencido</v>
      </c>
      <c r="N228" s="10" t="s">
        <v>606</v>
      </c>
      <c r="O228" s="11">
        <v>46036</v>
      </c>
      <c r="P228" s="35">
        <f>IF(OR(O228="", J228=""), "", NETWORKDAYS(J228, O228, FESTIVOS!A227:A281))</f>
        <v>-38</v>
      </c>
    </row>
    <row r="229" spans="1:16" ht="31.5" x14ac:dyDescent="0.25">
      <c r="A229" s="10" t="s">
        <v>18</v>
      </c>
      <c r="B229" s="18" t="s">
        <v>353</v>
      </c>
      <c r="C229" s="18" t="s">
        <v>162</v>
      </c>
      <c r="D229" s="18" t="s">
        <v>354</v>
      </c>
      <c r="E229" s="16">
        <v>228</v>
      </c>
      <c r="F229" s="17">
        <v>46066</v>
      </c>
      <c r="G229" s="10"/>
      <c r="H229" s="10">
        <f t="shared" si="9"/>
        <v>15</v>
      </c>
      <c r="I229" s="10">
        <f ca="1">IF(AND(F229&lt;&gt;"", J229&lt;&gt;""), NETWORKDAYS(TODAY(), J229-1, FESTIVOS!A$1:A$55), "")</f>
        <v>-65</v>
      </c>
      <c r="J229" s="11">
        <f>IF(AND(F229&lt;&gt;"", H229&lt;&gt;""), WORKDAY(F229, H229, FESTIVOS!A$1:A$55), "")</f>
        <v>46087</v>
      </c>
      <c r="K229" s="10" t="s">
        <v>656</v>
      </c>
      <c r="L229" s="10">
        <f t="shared" ca="1" si="10"/>
        <v>0</v>
      </c>
      <c r="M229" s="10" t="str">
        <f t="shared" ca="1" si="11"/>
        <v>Vencido</v>
      </c>
      <c r="N229" s="10" t="s">
        <v>606</v>
      </c>
      <c r="O229" s="11">
        <v>46036</v>
      </c>
      <c r="P229" s="35">
        <f>IF(OR(O229="", J229=""), "", NETWORKDAYS(J229, O229, FESTIVOS!A228:A282))</f>
        <v>-38</v>
      </c>
    </row>
    <row r="230" spans="1:16" ht="31.5" x14ac:dyDescent="0.25">
      <c r="A230" s="10" t="s">
        <v>18</v>
      </c>
      <c r="B230" s="18" t="s">
        <v>218</v>
      </c>
      <c r="C230" s="18" t="s">
        <v>88</v>
      </c>
      <c r="D230" s="18" t="s">
        <v>355</v>
      </c>
      <c r="E230" s="16">
        <v>229</v>
      </c>
      <c r="F230" s="17">
        <v>46066</v>
      </c>
      <c r="G230" s="10"/>
      <c r="H230" s="10">
        <f t="shared" si="9"/>
        <v>15</v>
      </c>
      <c r="I230" s="10">
        <f ca="1">IF(AND(F230&lt;&gt;"", J230&lt;&gt;""), NETWORKDAYS(TODAY(), J230-1, FESTIVOS!A$1:A$55), "")</f>
        <v>-65</v>
      </c>
      <c r="J230" s="11">
        <f>IF(AND(F230&lt;&gt;"", H230&lt;&gt;""), WORKDAY(F230, H230, FESTIVOS!A$1:A$55), "")</f>
        <v>46087</v>
      </c>
      <c r="K230" s="10" t="s">
        <v>656</v>
      </c>
      <c r="L230" s="10">
        <f t="shared" ca="1" si="10"/>
        <v>0</v>
      </c>
      <c r="M230" s="10" t="str">
        <f t="shared" ca="1" si="11"/>
        <v>Vencido</v>
      </c>
      <c r="N230" s="10" t="s">
        <v>606</v>
      </c>
      <c r="O230" s="11">
        <v>46036</v>
      </c>
      <c r="P230" s="35">
        <f>IF(OR(O230="", J230=""), "", NETWORKDAYS(J230, O230, FESTIVOS!A229:A283))</f>
        <v>-38</v>
      </c>
    </row>
    <row r="231" spans="1:16" ht="47.25" x14ac:dyDescent="0.25">
      <c r="A231" s="10" t="s">
        <v>18</v>
      </c>
      <c r="B231" s="18" t="s">
        <v>218</v>
      </c>
      <c r="C231" s="18" t="s">
        <v>88</v>
      </c>
      <c r="D231" s="18" t="s">
        <v>356</v>
      </c>
      <c r="E231" s="16">
        <v>230</v>
      </c>
      <c r="F231" s="17">
        <v>46069</v>
      </c>
      <c r="G231" s="10"/>
      <c r="H231" s="10">
        <f t="shared" si="9"/>
        <v>15</v>
      </c>
      <c r="I231" s="10">
        <f ca="1">IF(AND(F231&lt;&gt;"", J231&lt;&gt;""), NETWORKDAYS(TODAY(), J231-1, FESTIVOS!A$1:A$55), "")</f>
        <v>-63</v>
      </c>
      <c r="J231" s="11">
        <f>IF(AND(F231&lt;&gt;"", H231&lt;&gt;""), WORKDAY(F231, H231, FESTIVOS!A$1:A$55), "")</f>
        <v>46090</v>
      </c>
      <c r="K231" s="10" t="s">
        <v>656</v>
      </c>
      <c r="L231" s="10">
        <f t="shared" ca="1" si="10"/>
        <v>0</v>
      </c>
      <c r="M231" s="10" t="str">
        <f t="shared" ca="1" si="11"/>
        <v>Vencido</v>
      </c>
      <c r="N231" s="10" t="s">
        <v>606</v>
      </c>
      <c r="O231" s="11">
        <v>46036</v>
      </c>
      <c r="P231" s="35">
        <f>IF(OR(O231="", J231=""), "", NETWORKDAYS(J231, O231, FESTIVOS!A230:A284))</f>
        <v>-39</v>
      </c>
    </row>
    <row r="232" spans="1:16" ht="15.75" x14ac:dyDescent="0.25">
      <c r="A232" s="10" t="s">
        <v>18</v>
      </c>
      <c r="B232" s="18" t="s">
        <v>337</v>
      </c>
      <c r="C232" s="18" t="s">
        <v>88</v>
      </c>
      <c r="D232" s="18" t="s">
        <v>357</v>
      </c>
      <c r="E232" s="16">
        <v>231</v>
      </c>
      <c r="F232" s="17">
        <v>46069</v>
      </c>
      <c r="G232" s="10"/>
      <c r="H232" s="10">
        <f t="shared" si="9"/>
        <v>15</v>
      </c>
      <c r="I232" s="10">
        <f ca="1">IF(AND(F232&lt;&gt;"", J232&lt;&gt;""), NETWORKDAYS(TODAY(), J232-1, FESTIVOS!A$1:A$55), "")</f>
        <v>-63</v>
      </c>
      <c r="J232" s="11">
        <f>IF(AND(F232&lt;&gt;"", H232&lt;&gt;""), WORKDAY(F232, H232, FESTIVOS!A$1:A$55), "")</f>
        <v>46090</v>
      </c>
      <c r="K232" s="10" t="s">
        <v>656</v>
      </c>
      <c r="L232" s="10">
        <f t="shared" ca="1" si="10"/>
        <v>0</v>
      </c>
      <c r="M232" s="10" t="str">
        <f t="shared" ca="1" si="11"/>
        <v>Vencido</v>
      </c>
      <c r="N232" s="10" t="s">
        <v>606</v>
      </c>
      <c r="O232" s="11">
        <v>46036</v>
      </c>
      <c r="P232" s="35">
        <f>IF(OR(O232="", J232=""), "", NETWORKDAYS(J232, O232, FESTIVOS!A231:A285))</f>
        <v>-39</v>
      </c>
    </row>
    <row r="233" spans="1:16" ht="15.75" x14ac:dyDescent="0.25">
      <c r="A233" s="10" t="s">
        <v>18</v>
      </c>
      <c r="B233" s="18" t="s">
        <v>358</v>
      </c>
      <c r="C233" s="18" t="s">
        <v>67</v>
      </c>
      <c r="D233" s="18" t="s">
        <v>30</v>
      </c>
      <c r="E233" s="16">
        <v>232</v>
      </c>
      <c r="F233" s="17">
        <v>46069</v>
      </c>
      <c r="G233" s="10"/>
      <c r="H233" s="10">
        <f t="shared" si="9"/>
        <v>15</v>
      </c>
      <c r="I233" s="10">
        <f ca="1">IF(AND(F233&lt;&gt;"", J233&lt;&gt;""), NETWORKDAYS(TODAY(), J233-1, FESTIVOS!A$1:A$55), "")</f>
        <v>-63</v>
      </c>
      <c r="J233" s="11">
        <f>IF(AND(F233&lt;&gt;"", H233&lt;&gt;""), WORKDAY(F233, H233, FESTIVOS!A$1:A$55), "")</f>
        <v>46090</v>
      </c>
      <c r="K233" s="10" t="s">
        <v>656</v>
      </c>
      <c r="L233" s="10">
        <f t="shared" ca="1" si="10"/>
        <v>0</v>
      </c>
      <c r="M233" s="10" t="str">
        <f t="shared" ca="1" si="11"/>
        <v>Vencido</v>
      </c>
      <c r="N233" s="10" t="s">
        <v>606</v>
      </c>
      <c r="O233" s="11">
        <v>46036</v>
      </c>
      <c r="P233" s="35">
        <f>IF(OR(O233="", J233=""), "", NETWORKDAYS(J233, O233, FESTIVOS!A232:A286))</f>
        <v>-39</v>
      </c>
    </row>
    <row r="234" spans="1:16" ht="31.5" x14ac:dyDescent="0.25">
      <c r="A234" s="10" t="s">
        <v>18</v>
      </c>
      <c r="B234" s="18" t="s">
        <v>359</v>
      </c>
      <c r="C234" s="18" t="s">
        <v>67</v>
      </c>
      <c r="D234" s="18" t="s">
        <v>360</v>
      </c>
      <c r="E234" s="16">
        <v>233</v>
      </c>
      <c r="F234" s="17">
        <v>46069</v>
      </c>
      <c r="G234" s="10"/>
      <c r="H234" s="10">
        <f t="shared" si="9"/>
        <v>15</v>
      </c>
      <c r="I234" s="10">
        <f ca="1">IF(AND(F234&lt;&gt;"", J234&lt;&gt;""), NETWORKDAYS(TODAY(), J234-1, FESTIVOS!A$1:A$55), "")</f>
        <v>-63</v>
      </c>
      <c r="J234" s="11">
        <f>IF(AND(F234&lt;&gt;"", H234&lt;&gt;""), WORKDAY(F234, H234, FESTIVOS!A$1:A$55), "")</f>
        <v>46090</v>
      </c>
      <c r="K234" s="10" t="s">
        <v>656</v>
      </c>
      <c r="L234" s="10">
        <f t="shared" ca="1" si="10"/>
        <v>0</v>
      </c>
      <c r="M234" s="10" t="str">
        <f t="shared" ca="1" si="11"/>
        <v>Vencido</v>
      </c>
      <c r="N234" s="10" t="s">
        <v>606</v>
      </c>
      <c r="O234" s="11">
        <v>46036</v>
      </c>
      <c r="P234" s="35">
        <f>IF(OR(O234="", J234=""), "", NETWORKDAYS(J234, O234, FESTIVOS!A233:A287))</f>
        <v>-39</v>
      </c>
    </row>
    <row r="235" spans="1:16" ht="63" x14ac:dyDescent="0.25">
      <c r="A235" s="10" t="s">
        <v>18</v>
      </c>
      <c r="B235" s="18" t="s">
        <v>361</v>
      </c>
      <c r="C235" s="18" t="s">
        <v>67</v>
      </c>
      <c r="D235" s="18" t="s">
        <v>362</v>
      </c>
      <c r="E235" s="16">
        <v>234</v>
      </c>
      <c r="F235" s="17">
        <v>46069</v>
      </c>
      <c r="G235" s="10"/>
      <c r="H235" s="10">
        <f t="shared" si="9"/>
        <v>15</v>
      </c>
      <c r="I235" s="10">
        <f ca="1">IF(AND(F235&lt;&gt;"", J235&lt;&gt;""), NETWORKDAYS(TODAY(), J235-1, FESTIVOS!A$1:A$55), "")</f>
        <v>-63</v>
      </c>
      <c r="J235" s="11">
        <f>IF(AND(F235&lt;&gt;"", H235&lt;&gt;""), WORKDAY(F235, H235, FESTIVOS!A$1:A$55), "")</f>
        <v>46090</v>
      </c>
      <c r="K235" s="10" t="s">
        <v>656</v>
      </c>
      <c r="L235" s="10">
        <f t="shared" ca="1" si="10"/>
        <v>0</v>
      </c>
      <c r="M235" s="10" t="str">
        <f t="shared" ca="1" si="11"/>
        <v>Vencido</v>
      </c>
      <c r="N235" s="10" t="s">
        <v>606</v>
      </c>
      <c r="O235" s="11">
        <v>46036</v>
      </c>
      <c r="P235" s="35">
        <f>IF(OR(O235="", J235=""), "", NETWORKDAYS(J235, O235, FESTIVOS!A234:A288))</f>
        <v>-39</v>
      </c>
    </row>
    <row r="236" spans="1:16" ht="15.75" x14ac:dyDescent="0.25">
      <c r="A236" s="10" t="s">
        <v>18</v>
      </c>
      <c r="B236" s="18" t="s">
        <v>363</v>
      </c>
      <c r="C236" s="18" t="s">
        <v>67</v>
      </c>
      <c r="D236" s="18" t="s">
        <v>364</v>
      </c>
      <c r="E236" s="16">
        <v>235</v>
      </c>
      <c r="F236" s="17">
        <v>46069</v>
      </c>
      <c r="G236" s="10"/>
      <c r="H236" s="10">
        <f t="shared" si="9"/>
        <v>15</v>
      </c>
      <c r="I236" s="10">
        <f ca="1">IF(AND(F236&lt;&gt;"", J236&lt;&gt;""), NETWORKDAYS(TODAY(), J236-1, FESTIVOS!A$1:A$55), "")</f>
        <v>-63</v>
      </c>
      <c r="J236" s="11">
        <f>IF(AND(F236&lt;&gt;"", H236&lt;&gt;""), WORKDAY(F236, H236, FESTIVOS!A$1:A$55), "")</f>
        <v>46090</v>
      </c>
      <c r="K236" s="10" t="s">
        <v>656</v>
      </c>
      <c r="L236" s="10">
        <f t="shared" ca="1" si="10"/>
        <v>0</v>
      </c>
      <c r="M236" s="10" t="str">
        <f t="shared" ca="1" si="11"/>
        <v>Vencido</v>
      </c>
      <c r="N236" s="10" t="s">
        <v>606</v>
      </c>
      <c r="O236" s="11">
        <v>46036</v>
      </c>
      <c r="P236" s="35">
        <f>IF(OR(O236="", J236=""), "", NETWORKDAYS(J236, O236, FESTIVOS!A235:A289))</f>
        <v>-39</v>
      </c>
    </row>
    <row r="237" spans="1:16" ht="15.75" x14ac:dyDescent="0.25">
      <c r="A237" s="10" t="s">
        <v>18</v>
      </c>
      <c r="B237" s="18" t="s">
        <v>284</v>
      </c>
      <c r="C237" s="18" t="s">
        <v>67</v>
      </c>
      <c r="D237" s="18" t="s">
        <v>365</v>
      </c>
      <c r="E237" s="16">
        <v>236</v>
      </c>
      <c r="F237" s="17">
        <v>46069</v>
      </c>
      <c r="G237" s="10"/>
      <c r="H237" s="10">
        <f t="shared" si="9"/>
        <v>15</v>
      </c>
      <c r="I237" s="10">
        <f ca="1">IF(AND(F237&lt;&gt;"", J237&lt;&gt;""), NETWORKDAYS(TODAY(), J237-1, FESTIVOS!A$1:A$55), "")</f>
        <v>-63</v>
      </c>
      <c r="J237" s="11">
        <f>IF(AND(F237&lt;&gt;"", H237&lt;&gt;""), WORKDAY(F237, H237, FESTIVOS!A$1:A$55), "")</f>
        <v>46090</v>
      </c>
      <c r="K237" s="10" t="s">
        <v>656</v>
      </c>
      <c r="L237" s="10">
        <f t="shared" ca="1" si="10"/>
        <v>0</v>
      </c>
      <c r="M237" s="10" t="str">
        <f t="shared" ca="1" si="11"/>
        <v>Vencido</v>
      </c>
      <c r="N237" s="10" t="s">
        <v>606</v>
      </c>
      <c r="O237" s="11">
        <v>46036</v>
      </c>
      <c r="P237" s="35">
        <f>IF(OR(O237="", J237=""), "", NETWORKDAYS(J237, O237, FESTIVOS!A236:A290))</f>
        <v>-39</v>
      </c>
    </row>
    <row r="238" spans="1:16" ht="31.5" x14ac:dyDescent="0.25">
      <c r="A238" s="10" t="s">
        <v>18</v>
      </c>
      <c r="B238" s="18" t="s">
        <v>366</v>
      </c>
      <c r="C238" s="18" t="s">
        <v>67</v>
      </c>
      <c r="D238" s="18" t="s">
        <v>367</v>
      </c>
      <c r="E238" s="16">
        <v>237</v>
      </c>
      <c r="F238" s="17">
        <v>46070</v>
      </c>
      <c r="G238" s="10"/>
      <c r="H238" s="10">
        <f t="shared" si="9"/>
        <v>15</v>
      </c>
      <c r="I238" s="10">
        <f ca="1">IF(AND(F238&lt;&gt;"", J238&lt;&gt;""), NETWORKDAYS(TODAY(), J238-1, FESTIVOS!A$1:A$55), "")</f>
        <v>-63</v>
      </c>
      <c r="J238" s="11">
        <f>IF(AND(F238&lt;&gt;"", H238&lt;&gt;""), WORKDAY(F238, H238, FESTIVOS!A$1:A$55), "")</f>
        <v>46091</v>
      </c>
      <c r="K238" s="10" t="s">
        <v>656</v>
      </c>
      <c r="L238" s="10">
        <f t="shared" ca="1" si="10"/>
        <v>0</v>
      </c>
      <c r="M238" s="10" t="str">
        <f t="shared" ca="1" si="11"/>
        <v>Vencido</v>
      </c>
      <c r="N238" s="10" t="s">
        <v>606</v>
      </c>
      <c r="O238" s="11">
        <v>46036</v>
      </c>
      <c r="P238" s="35">
        <f>IF(OR(O238="", J238=""), "", NETWORKDAYS(J238, O238, FESTIVOS!A237:A291))</f>
        <v>-40</v>
      </c>
    </row>
    <row r="239" spans="1:16" ht="47.25" x14ac:dyDescent="0.25">
      <c r="A239" s="10" t="s">
        <v>18</v>
      </c>
      <c r="B239" s="18" t="s">
        <v>335</v>
      </c>
      <c r="C239" s="18" t="s">
        <v>67</v>
      </c>
      <c r="D239" s="18" t="s">
        <v>368</v>
      </c>
      <c r="E239" s="16">
        <v>238</v>
      </c>
      <c r="F239" s="17">
        <v>46070</v>
      </c>
      <c r="G239" s="10"/>
      <c r="H239" s="10">
        <f t="shared" si="9"/>
        <v>15</v>
      </c>
      <c r="I239" s="10">
        <f ca="1">IF(AND(F239&lt;&gt;"", J239&lt;&gt;""), NETWORKDAYS(TODAY(), J239-1, FESTIVOS!A$1:A$55), "")</f>
        <v>-63</v>
      </c>
      <c r="J239" s="11">
        <f>IF(AND(F239&lt;&gt;"", H239&lt;&gt;""), WORKDAY(F239, H239, FESTIVOS!A$1:A$55), "")</f>
        <v>46091</v>
      </c>
      <c r="K239" s="10" t="s">
        <v>656</v>
      </c>
      <c r="L239" s="10">
        <f t="shared" ca="1" si="10"/>
        <v>0</v>
      </c>
      <c r="M239" s="10" t="str">
        <f t="shared" ca="1" si="11"/>
        <v>Vencido</v>
      </c>
      <c r="N239" s="10" t="s">
        <v>606</v>
      </c>
      <c r="O239" s="11">
        <v>46036</v>
      </c>
      <c r="P239" s="35">
        <f>IF(OR(O239="", J239=""), "", NETWORKDAYS(J239, O239, FESTIVOS!A238:A292))</f>
        <v>-40</v>
      </c>
    </row>
    <row r="240" spans="1:16" ht="31.5" x14ac:dyDescent="0.25">
      <c r="A240" s="10" t="s">
        <v>18</v>
      </c>
      <c r="B240" s="18" t="s">
        <v>369</v>
      </c>
      <c r="C240" s="18" t="s">
        <v>67</v>
      </c>
      <c r="D240" s="18" t="s">
        <v>328</v>
      </c>
      <c r="E240" s="16">
        <v>239</v>
      </c>
      <c r="F240" s="17">
        <v>46070</v>
      </c>
      <c r="G240" s="10"/>
      <c r="H240" s="10">
        <f t="shared" si="9"/>
        <v>15</v>
      </c>
      <c r="I240" s="10">
        <f ca="1">IF(AND(F240&lt;&gt;"", J240&lt;&gt;""), NETWORKDAYS(TODAY(), J240-1, FESTIVOS!A$1:A$55), "")</f>
        <v>-63</v>
      </c>
      <c r="J240" s="11">
        <f>IF(AND(F240&lt;&gt;"", H240&lt;&gt;""), WORKDAY(F240, H240, FESTIVOS!A$1:A$55), "")</f>
        <v>46091</v>
      </c>
      <c r="K240" s="10" t="s">
        <v>656</v>
      </c>
      <c r="L240" s="10">
        <f t="shared" ca="1" si="10"/>
        <v>0</v>
      </c>
      <c r="M240" s="10" t="str">
        <f t="shared" ca="1" si="11"/>
        <v>Vencido</v>
      </c>
      <c r="N240" s="10" t="s">
        <v>606</v>
      </c>
      <c r="O240" s="11">
        <v>46036</v>
      </c>
      <c r="P240" s="35">
        <f>IF(OR(O240="", J240=""), "", NETWORKDAYS(J240, O240, FESTIVOS!A239:A293))</f>
        <v>-40</v>
      </c>
    </row>
    <row r="241" spans="1:16" ht="47.25" x14ac:dyDescent="0.25">
      <c r="A241" s="10" t="s">
        <v>18</v>
      </c>
      <c r="B241" s="18" t="s">
        <v>164</v>
      </c>
      <c r="C241" s="18" t="s">
        <v>67</v>
      </c>
      <c r="D241" s="18" t="s">
        <v>370</v>
      </c>
      <c r="E241" s="16">
        <v>240</v>
      </c>
      <c r="F241" s="17">
        <v>46070</v>
      </c>
      <c r="G241" s="10"/>
      <c r="H241" s="10">
        <f t="shared" si="9"/>
        <v>15</v>
      </c>
      <c r="I241" s="10">
        <f ca="1">IF(AND(F241&lt;&gt;"", J241&lt;&gt;""), NETWORKDAYS(TODAY(), J241-1, FESTIVOS!A$1:A$55), "")</f>
        <v>-63</v>
      </c>
      <c r="J241" s="11">
        <f>IF(AND(F241&lt;&gt;"", H241&lt;&gt;""), WORKDAY(F241, H241, FESTIVOS!A$1:A$55), "")</f>
        <v>46091</v>
      </c>
      <c r="K241" s="10" t="s">
        <v>656</v>
      </c>
      <c r="L241" s="10">
        <f t="shared" ca="1" si="10"/>
        <v>0</v>
      </c>
      <c r="M241" s="10" t="str">
        <f t="shared" ca="1" si="11"/>
        <v>Vencido</v>
      </c>
      <c r="N241" s="10" t="s">
        <v>606</v>
      </c>
      <c r="O241" s="11">
        <v>46036</v>
      </c>
      <c r="P241" s="35">
        <f>IF(OR(O241="", J241=""), "", NETWORKDAYS(J241, O241, FESTIVOS!A240:A294))</f>
        <v>-40</v>
      </c>
    </row>
    <row r="242" spans="1:16" ht="31.5" x14ac:dyDescent="0.25">
      <c r="A242" s="10" t="s">
        <v>18</v>
      </c>
      <c r="B242" s="18" t="s">
        <v>371</v>
      </c>
      <c r="C242" s="18" t="s">
        <v>67</v>
      </c>
      <c r="D242" s="18" t="s">
        <v>372</v>
      </c>
      <c r="E242" s="16">
        <v>241</v>
      </c>
      <c r="F242" s="17">
        <v>46070</v>
      </c>
      <c r="G242" s="10"/>
      <c r="H242" s="10">
        <f t="shared" si="9"/>
        <v>15</v>
      </c>
      <c r="I242" s="10">
        <f ca="1">IF(AND(F242&lt;&gt;"", J242&lt;&gt;""), NETWORKDAYS(TODAY(), J242-1, FESTIVOS!A$1:A$55), "")</f>
        <v>-63</v>
      </c>
      <c r="J242" s="11">
        <f>IF(AND(F242&lt;&gt;"", H242&lt;&gt;""), WORKDAY(F242, H242, FESTIVOS!A$1:A$55), "")</f>
        <v>46091</v>
      </c>
      <c r="K242" s="10" t="s">
        <v>656</v>
      </c>
      <c r="L242" s="10">
        <f t="shared" ca="1" si="10"/>
        <v>0</v>
      </c>
      <c r="M242" s="10" t="str">
        <f t="shared" ca="1" si="11"/>
        <v>Vencido</v>
      </c>
      <c r="N242" s="10" t="s">
        <v>606</v>
      </c>
      <c r="O242" s="11">
        <v>46036</v>
      </c>
      <c r="P242" s="35">
        <f>IF(OR(O242="", J242=""), "", NETWORKDAYS(J242, O242, FESTIVOS!A241:A295))</f>
        <v>-40</v>
      </c>
    </row>
    <row r="243" spans="1:16" ht="15.75" x14ac:dyDescent="0.25">
      <c r="A243" s="10" t="s">
        <v>18</v>
      </c>
      <c r="B243" s="18" t="s">
        <v>373</v>
      </c>
      <c r="C243" s="18" t="s">
        <v>67</v>
      </c>
      <c r="D243" s="18" t="s">
        <v>374</v>
      </c>
      <c r="E243" s="16">
        <v>242</v>
      </c>
      <c r="F243" s="17">
        <v>46070</v>
      </c>
      <c r="G243" s="10"/>
      <c r="H243" s="10">
        <f t="shared" si="9"/>
        <v>15</v>
      </c>
      <c r="I243" s="10">
        <f ca="1">IF(AND(F243&lt;&gt;"", J243&lt;&gt;""), NETWORKDAYS(TODAY(), J243-1, FESTIVOS!A$1:A$55), "")</f>
        <v>-63</v>
      </c>
      <c r="J243" s="11">
        <f>IF(AND(F243&lt;&gt;"", H243&lt;&gt;""), WORKDAY(F243, H243, FESTIVOS!A$1:A$55), "")</f>
        <v>46091</v>
      </c>
      <c r="K243" s="10" t="s">
        <v>656</v>
      </c>
      <c r="L243" s="10">
        <f t="shared" ca="1" si="10"/>
        <v>0</v>
      </c>
      <c r="M243" s="10" t="str">
        <f t="shared" ca="1" si="11"/>
        <v>Vencido</v>
      </c>
      <c r="N243" s="10" t="s">
        <v>606</v>
      </c>
      <c r="O243" s="11">
        <v>46036</v>
      </c>
      <c r="P243" s="35">
        <f>IF(OR(O243="", J243=""), "", NETWORKDAYS(J243, O243, FESTIVOS!A242:A296))</f>
        <v>-40</v>
      </c>
    </row>
    <row r="244" spans="1:16" ht="15.75" x14ac:dyDescent="0.25">
      <c r="A244" s="10" t="s">
        <v>18</v>
      </c>
      <c r="B244" s="18" t="s">
        <v>337</v>
      </c>
      <c r="C244" s="18" t="s">
        <v>88</v>
      </c>
      <c r="D244" s="18" t="s">
        <v>375</v>
      </c>
      <c r="E244" s="16">
        <v>243</v>
      </c>
      <c r="F244" s="17">
        <v>46070</v>
      </c>
      <c r="G244" s="10"/>
      <c r="H244" s="10">
        <f t="shared" si="9"/>
        <v>15</v>
      </c>
      <c r="I244" s="10">
        <f ca="1">IF(AND(F244&lt;&gt;"", J244&lt;&gt;""), NETWORKDAYS(TODAY(), J244-1, FESTIVOS!A$1:A$55), "")</f>
        <v>-63</v>
      </c>
      <c r="J244" s="11">
        <f>IF(AND(F244&lt;&gt;"", H244&lt;&gt;""), WORKDAY(F244, H244, FESTIVOS!A$1:A$55), "")</f>
        <v>46091</v>
      </c>
      <c r="K244" s="10" t="s">
        <v>656</v>
      </c>
      <c r="L244" s="10">
        <f t="shared" ca="1" si="10"/>
        <v>0</v>
      </c>
      <c r="M244" s="10" t="str">
        <f t="shared" ca="1" si="11"/>
        <v>Vencido</v>
      </c>
      <c r="N244" s="10" t="s">
        <v>606</v>
      </c>
      <c r="O244" s="11">
        <v>46036</v>
      </c>
      <c r="P244" s="35">
        <f>IF(OR(O244="", J244=""), "", NETWORKDAYS(J244, O244, FESTIVOS!A243:A297))</f>
        <v>-40</v>
      </c>
    </row>
    <row r="245" spans="1:16" ht="78.75" x14ac:dyDescent="0.25">
      <c r="A245" s="10" t="s">
        <v>18</v>
      </c>
      <c r="B245" s="18" t="s">
        <v>376</v>
      </c>
      <c r="C245" s="18" t="s">
        <v>88</v>
      </c>
      <c r="D245" s="18" t="s">
        <v>377</v>
      </c>
      <c r="E245" s="16">
        <v>244</v>
      </c>
      <c r="F245" s="17">
        <v>46070</v>
      </c>
      <c r="G245" s="10"/>
      <c r="H245" s="10">
        <f t="shared" si="9"/>
        <v>15</v>
      </c>
      <c r="I245" s="10">
        <f ca="1">IF(AND(F245&lt;&gt;"", J245&lt;&gt;""), NETWORKDAYS(TODAY(), J245-1, FESTIVOS!A$1:A$55), "")</f>
        <v>-63</v>
      </c>
      <c r="J245" s="11">
        <f>IF(AND(F245&lt;&gt;"", H245&lt;&gt;""), WORKDAY(F245, H245, FESTIVOS!A$1:A$55), "")</f>
        <v>46091</v>
      </c>
      <c r="K245" s="10" t="s">
        <v>656</v>
      </c>
      <c r="L245" s="10">
        <f t="shared" ca="1" si="10"/>
        <v>0</v>
      </c>
      <c r="M245" s="10" t="str">
        <f t="shared" ca="1" si="11"/>
        <v>Vencido</v>
      </c>
      <c r="N245" s="10" t="s">
        <v>606</v>
      </c>
      <c r="O245" s="11">
        <v>46036</v>
      </c>
      <c r="P245" s="35">
        <f>IF(OR(O245="", J245=""), "", NETWORKDAYS(J245, O245, FESTIVOS!A244:A298))</f>
        <v>-40</v>
      </c>
    </row>
    <row r="246" spans="1:16" ht="15.75" x14ac:dyDescent="0.25">
      <c r="A246" s="10" t="s">
        <v>18</v>
      </c>
      <c r="B246" s="18" t="s">
        <v>378</v>
      </c>
      <c r="C246" s="18" t="s">
        <v>67</v>
      </c>
      <c r="D246" s="18" t="s">
        <v>32</v>
      </c>
      <c r="E246" s="16">
        <v>245</v>
      </c>
      <c r="F246" s="17">
        <v>46070</v>
      </c>
      <c r="G246" s="10"/>
      <c r="H246" s="10">
        <f t="shared" si="9"/>
        <v>15</v>
      </c>
      <c r="I246" s="10">
        <f ca="1">IF(AND(F246&lt;&gt;"", J246&lt;&gt;""), NETWORKDAYS(TODAY(), J246-1, FESTIVOS!A$1:A$55), "")</f>
        <v>-63</v>
      </c>
      <c r="J246" s="11">
        <f>IF(AND(F246&lt;&gt;"", H246&lt;&gt;""), WORKDAY(F246, H246, FESTIVOS!A$1:A$55), "")</f>
        <v>46091</v>
      </c>
      <c r="K246" s="10" t="s">
        <v>656</v>
      </c>
      <c r="L246" s="10">
        <f t="shared" ca="1" si="10"/>
        <v>0</v>
      </c>
      <c r="M246" s="10" t="str">
        <f t="shared" ca="1" si="11"/>
        <v>Vencido</v>
      </c>
      <c r="N246" s="10" t="s">
        <v>606</v>
      </c>
      <c r="O246" s="11">
        <v>46036</v>
      </c>
      <c r="P246" s="35">
        <f>IF(OR(O246="", J246=""), "", NETWORKDAYS(J246, O246, FESTIVOS!A245:A299))</f>
        <v>-40</v>
      </c>
    </row>
    <row r="247" spans="1:16" ht="15.75" x14ac:dyDescent="0.25">
      <c r="A247" s="10" t="s">
        <v>18</v>
      </c>
      <c r="B247" s="18" t="s">
        <v>379</v>
      </c>
      <c r="C247" s="18" t="s">
        <v>67</v>
      </c>
      <c r="D247" s="18" t="s">
        <v>24</v>
      </c>
      <c r="E247" s="16">
        <v>246</v>
      </c>
      <c r="F247" s="17">
        <v>46070</v>
      </c>
      <c r="G247" s="10"/>
      <c r="H247" s="10">
        <f t="shared" si="9"/>
        <v>15</v>
      </c>
      <c r="I247" s="10">
        <f ca="1">IF(AND(F247&lt;&gt;"", J247&lt;&gt;""), NETWORKDAYS(TODAY(), J247-1, FESTIVOS!A$1:A$55), "")</f>
        <v>-63</v>
      </c>
      <c r="J247" s="11">
        <f>IF(AND(F247&lt;&gt;"", H247&lt;&gt;""), WORKDAY(F247, H247, FESTIVOS!A$1:A$55), "")</f>
        <v>46091</v>
      </c>
      <c r="K247" s="10" t="s">
        <v>656</v>
      </c>
      <c r="L247" s="10">
        <f t="shared" ca="1" si="10"/>
        <v>0</v>
      </c>
      <c r="M247" s="10" t="str">
        <f t="shared" ca="1" si="11"/>
        <v>Vencido</v>
      </c>
      <c r="N247" s="10" t="s">
        <v>606</v>
      </c>
      <c r="O247" s="11">
        <v>46036</v>
      </c>
      <c r="P247" s="35">
        <f>IF(OR(O247="", J247=""), "", NETWORKDAYS(J247, O247, FESTIVOS!A246:A300))</f>
        <v>-40</v>
      </c>
    </row>
    <row r="248" spans="1:16" ht="47.25" x14ac:dyDescent="0.25">
      <c r="A248" s="10" t="s">
        <v>18</v>
      </c>
      <c r="B248" s="18" t="s">
        <v>380</v>
      </c>
      <c r="C248" s="18" t="s">
        <v>169</v>
      </c>
      <c r="D248" s="18" t="s">
        <v>381</v>
      </c>
      <c r="E248" s="16">
        <v>247</v>
      </c>
      <c r="F248" s="17">
        <v>46071</v>
      </c>
      <c r="G248" s="10"/>
      <c r="H248" s="10">
        <f t="shared" si="9"/>
        <v>15</v>
      </c>
      <c r="I248" s="10">
        <f ca="1">IF(AND(F248&lt;&gt;"", J248&lt;&gt;""), NETWORKDAYS(TODAY(), J248-1, FESTIVOS!A$1:A$55), "")</f>
        <v>-62</v>
      </c>
      <c r="J248" s="11">
        <f>IF(AND(F248&lt;&gt;"", H248&lt;&gt;""), WORKDAY(F248, H248, FESTIVOS!A$1:A$55), "")</f>
        <v>46092</v>
      </c>
      <c r="K248" s="10" t="s">
        <v>656</v>
      </c>
      <c r="L248" s="10">
        <f t="shared" ca="1" si="10"/>
        <v>0</v>
      </c>
      <c r="M248" s="10" t="str">
        <f t="shared" ca="1" si="11"/>
        <v>Vencido</v>
      </c>
      <c r="N248" s="10" t="s">
        <v>606</v>
      </c>
      <c r="O248" s="11">
        <v>46036</v>
      </c>
      <c r="P248" s="35">
        <f>IF(OR(O248="", J248=""), "", NETWORKDAYS(J248, O248, FESTIVOS!A247:A301))</f>
        <v>-41</v>
      </c>
    </row>
    <row r="249" spans="1:16" ht="47.25" x14ac:dyDescent="0.25">
      <c r="A249" s="10" t="s">
        <v>18</v>
      </c>
      <c r="B249" s="18" t="s">
        <v>380</v>
      </c>
      <c r="C249" s="18" t="s">
        <v>169</v>
      </c>
      <c r="D249" s="18" t="s">
        <v>382</v>
      </c>
      <c r="E249" s="16">
        <v>248</v>
      </c>
      <c r="F249" s="17">
        <v>46071</v>
      </c>
      <c r="G249" s="10"/>
      <c r="H249" s="10">
        <f t="shared" si="9"/>
        <v>15</v>
      </c>
      <c r="I249" s="10">
        <f ca="1">IF(AND(F249&lt;&gt;"", J249&lt;&gt;""), NETWORKDAYS(TODAY(), J249-1, FESTIVOS!A$1:A$55), "")</f>
        <v>-62</v>
      </c>
      <c r="J249" s="11">
        <f>IF(AND(F249&lt;&gt;"", H249&lt;&gt;""), WORKDAY(F249, H249, FESTIVOS!A$1:A$55), "")</f>
        <v>46092</v>
      </c>
      <c r="K249" s="10" t="s">
        <v>656</v>
      </c>
      <c r="L249" s="10">
        <f t="shared" ca="1" si="10"/>
        <v>0</v>
      </c>
      <c r="M249" s="10" t="str">
        <f t="shared" ca="1" si="11"/>
        <v>Vencido</v>
      </c>
      <c r="N249" s="10" t="s">
        <v>606</v>
      </c>
      <c r="O249" s="11">
        <v>46036</v>
      </c>
      <c r="P249" s="35">
        <f>IF(OR(O249="", J249=""), "", NETWORKDAYS(J249, O249, FESTIVOS!A248:A302))</f>
        <v>-41</v>
      </c>
    </row>
    <row r="250" spans="1:16" ht="47.25" x14ac:dyDescent="0.25">
      <c r="A250" s="10" t="s">
        <v>18</v>
      </c>
      <c r="B250" s="18" t="s">
        <v>383</v>
      </c>
      <c r="C250" s="18" t="s">
        <v>88</v>
      </c>
      <c r="D250" s="18" t="s">
        <v>384</v>
      </c>
      <c r="E250" s="16">
        <v>249</v>
      </c>
      <c r="F250" s="17">
        <v>46071</v>
      </c>
      <c r="G250" s="10"/>
      <c r="H250" s="10">
        <f t="shared" si="9"/>
        <v>15</v>
      </c>
      <c r="I250" s="10">
        <f ca="1">IF(AND(F250&lt;&gt;"", J250&lt;&gt;""), NETWORKDAYS(TODAY(), J250-1, FESTIVOS!A$1:A$55), "")</f>
        <v>-62</v>
      </c>
      <c r="J250" s="11">
        <f>IF(AND(F250&lt;&gt;"", H250&lt;&gt;""), WORKDAY(F250, H250, FESTIVOS!A$1:A$55), "")</f>
        <v>46092</v>
      </c>
      <c r="K250" s="10" t="s">
        <v>656</v>
      </c>
      <c r="L250" s="10">
        <f t="shared" ca="1" si="10"/>
        <v>0</v>
      </c>
      <c r="M250" s="10" t="str">
        <f t="shared" ca="1" si="11"/>
        <v>Vencido</v>
      </c>
      <c r="N250" s="10" t="s">
        <v>606</v>
      </c>
      <c r="O250" s="11">
        <v>46036</v>
      </c>
      <c r="P250" s="35">
        <f>IF(OR(O250="", J250=""), "", NETWORKDAYS(J250, O250, FESTIVOS!A249:A303))</f>
        <v>-41</v>
      </c>
    </row>
    <row r="251" spans="1:16" ht="15.75" x14ac:dyDescent="0.25">
      <c r="A251" s="10" t="s">
        <v>18</v>
      </c>
      <c r="B251" s="18" t="s">
        <v>114</v>
      </c>
      <c r="C251" s="18" t="s">
        <v>84</v>
      </c>
      <c r="D251" s="18" t="s">
        <v>39</v>
      </c>
      <c r="E251" s="16">
        <v>250</v>
      </c>
      <c r="F251" s="17">
        <v>46071</v>
      </c>
      <c r="G251" s="10"/>
      <c r="H251" s="10">
        <f t="shared" si="9"/>
        <v>15</v>
      </c>
      <c r="I251" s="10">
        <f ca="1">IF(AND(F251&lt;&gt;"", J251&lt;&gt;""), NETWORKDAYS(TODAY(), J251-1, FESTIVOS!A$1:A$55), "")</f>
        <v>-62</v>
      </c>
      <c r="J251" s="11">
        <f>IF(AND(F251&lt;&gt;"", H251&lt;&gt;""), WORKDAY(F251, H251, FESTIVOS!A$1:A$55), "")</f>
        <v>46092</v>
      </c>
      <c r="K251" s="10" t="s">
        <v>656</v>
      </c>
      <c r="L251" s="10">
        <f t="shared" ca="1" si="10"/>
        <v>0</v>
      </c>
      <c r="M251" s="10" t="str">
        <f t="shared" ca="1" si="11"/>
        <v>Vencido</v>
      </c>
      <c r="N251" s="10" t="s">
        <v>606</v>
      </c>
      <c r="O251" s="11">
        <v>46036</v>
      </c>
      <c r="P251" s="35">
        <f>IF(OR(O251="", J251=""), "", NETWORKDAYS(J251, O251, FESTIVOS!A250:A304))</f>
        <v>-41</v>
      </c>
    </row>
    <row r="252" spans="1:16" ht="15.75" x14ac:dyDescent="0.25">
      <c r="A252" s="10" t="s">
        <v>18</v>
      </c>
      <c r="B252" s="18" t="s">
        <v>114</v>
      </c>
      <c r="C252" s="18" t="s">
        <v>84</v>
      </c>
      <c r="D252" s="18" t="s">
        <v>39</v>
      </c>
      <c r="E252" s="16">
        <v>251</v>
      </c>
      <c r="F252" s="17">
        <v>46071</v>
      </c>
      <c r="G252" s="10"/>
      <c r="H252" s="10">
        <f t="shared" si="9"/>
        <v>15</v>
      </c>
      <c r="I252" s="10">
        <f ca="1">IF(AND(F252&lt;&gt;"", J252&lt;&gt;""), NETWORKDAYS(TODAY(), J252-1, FESTIVOS!A$1:A$55), "")</f>
        <v>-62</v>
      </c>
      <c r="J252" s="11">
        <f>IF(AND(F252&lt;&gt;"", H252&lt;&gt;""), WORKDAY(F252, H252, FESTIVOS!A$1:A$55), "")</f>
        <v>46092</v>
      </c>
      <c r="K252" s="10" t="s">
        <v>656</v>
      </c>
      <c r="L252" s="10">
        <f t="shared" ca="1" si="10"/>
        <v>0</v>
      </c>
      <c r="M252" s="10" t="str">
        <f t="shared" ca="1" si="11"/>
        <v>Vencido</v>
      </c>
      <c r="N252" s="10" t="s">
        <v>606</v>
      </c>
      <c r="O252" s="11">
        <v>46036</v>
      </c>
      <c r="P252" s="35">
        <f>IF(OR(O252="", J252=""), "", NETWORKDAYS(J252, O252, FESTIVOS!A251:A305))</f>
        <v>-41</v>
      </c>
    </row>
    <row r="253" spans="1:16" ht="15.75" x14ac:dyDescent="0.25">
      <c r="A253" s="10" t="s">
        <v>18</v>
      </c>
      <c r="B253" s="18" t="s">
        <v>114</v>
      </c>
      <c r="C253" s="18" t="s">
        <v>84</v>
      </c>
      <c r="D253" s="18" t="s">
        <v>39</v>
      </c>
      <c r="E253" s="16">
        <v>252</v>
      </c>
      <c r="F253" s="17">
        <v>46071</v>
      </c>
      <c r="G253" s="10"/>
      <c r="H253" s="10">
        <f t="shared" si="9"/>
        <v>15</v>
      </c>
      <c r="I253" s="10">
        <f ca="1">IF(AND(F253&lt;&gt;"", J253&lt;&gt;""), NETWORKDAYS(TODAY(), J253-1, FESTIVOS!A$1:A$55), "")</f>
        <v>-62</v>
      </c>
      <c r="J253" s="11">
        <f>IF(AND(F253&lt;&gt;"", H253&lt;&gt;""), WORKDAY(F253, H253, FESTIVOS!A$1:A$55), "")</f>
        <v>46092</v>
      </c>
      <c r="K253" s="10" t="s">
        <v>656</v>
      </c>
      <c r="L253" s="10">
        <f t="shared" ca="1" si="10"/>
        <v>0</v>
      </c>
      <c r="M253" s="10" t="str">
        <f t="shared" ca="1" si="11"/>
        <v>Vencido</v>
      </c>
      <c r="N253" s="10" t="s">
        <v>606</v>
      </c>
      <c r="O253" s="11">
        <v>46036</v>
      </c>
      <c r="P253" s="35">
        <f>IF(OR(O253="", J253=""), "", NETWORKDAYS(J253, O253, FESTIVOS!A252:A306))</f>
        <v>-41</v>
      </c>
    </row>
    <row r="254" spans="1:16" ht="15.75" x14ac:dyDescent="0.25">
      <c r="A254" s="10" t="s">
        <v>18</v>
      </c>
      <c r="B254" s="18" t="s">
        <v>114</v>
      </c>
      <c r="C254" s="18" t="s">
        <v>84</v>
      </c>
      <c r="D254" s="18" t="s">
        <v>39</v>
      </c>
      <c r="E254" s="16">
        <v>253</v>
      </c>
      <c r="F254" s="17">
        <v>46071</v>
      </c>
      <c r="G254" s="10"/>
      <c r="H254" s="10">
        <f t="shared" si="9"/>
        <v>15</v>
      </c>
      <c r="I254" s="10">
        <f ca="1">IF(AND(F254&lt;&gt;"", J254&lt;&gt;""), NETWORKDAYS(TODAY(), J254-1, FESTIVOS!A$1:A$55), "")</f>
        <v>-62</v>
      </c>
      <c r="J254" s="11">
        <f>IF(AND(F254&lt;&gt;"", H254&lt;&gt;""), WORKDAY(F254, H254, FESTIVOS!A$1:A$55), "")</f>
        <v>46092</v>
      </c>
      <c r="K254" s="10" t="s">
        <v>656</v>
      </c>
      <c r="L254" s="10">
        <f t="shared" ca="1" si="10"/>
        <v>0</v>
      </c>
      <c r="M254" s="10" t="str">
        <f t="shared" ca="1" si="11"/>
        <v>Vencido</v>
      </c>
      <c r="N254" s="10" t="s">
        <v>606</v>
      </c>
      <c r="O254" s="11">
        <v>46036</v>
      </c>
      <c r="P254" s="35">
        <f>IF(OR(O254="", J254=""), "", NETWORKDAYS(J254, O254, FESTIVOS!A253:A307))</f>
        <v>-41</v>
      </c>
    </row>
    <row r="255" spans="1:16" ht="15.75" x14ac:dyDescent="0.25">
      <c r="A255" s="10" t="s">
        <v>18</v>
      </c>
      <c r="B255" s="18" t="s">
        <v>114</v>
      </c>
      <c r="C255" s="18" t="s">
        <v>84</v>
      </c>
      <c r="D255" s="18" t="s">
        <v>39</v>
      </c>
      <c r="E255" s="16">
        <v>254</v>
      </c>
      <c r="F255" s="17">
        <v>46071</v>
      </c>
      <c r="G255" s="10"/>
      <c r="H255" s="10">
        <f t="shared" si="9"/>
        <v>15</v>
      </c>
      <c r="I255" s="10">
        <f ca="1">IF(AND(F255&lt;&gt;"", J255&lt;&gt;""), NETWORKDAYS(TODAY(), J255-1, FESTIVOS!A$1:A$55), "")</f>
        <v>-62</v>
      </c>
      <c r="J255" s="11">
        <f>IF(AND(F255&lt;&gt;"", H255&lt;&gt;""), WORKDAY(F255, H255, FESTIVOS!A$1:A$55), "")</f>
        <v>46092</v>
      </c>
      <c r="K255" s="10" t="s">
        <v>656</v>
      </c>
      <c r="L255" s="10">
        <f t="shared" ca="1" si="10"/>
        <v>0</v>
      </c>
      <c r="M255" s="10" t="str">
        <f t="shared" ca="1" si="11"/>
        <v>Vencido</v>
      </c>
      <c r="N255" s="10" t="s">
        <v>606</v>
      </c>
      <c r="O255" s="11">
        <v>46036</v>
      </c>
      <c r="P255" s="35">
        <f>IF(OR(O255="", J255=""), "", NETWORKDAYS(J255, O255, FESTIVOS!A254:A308))</f>
        <v>-41</v>
      </c>
    </row>
    <row r="256" spans="1:16" ht="15.75" x14ac:dyDescent="0.25">
      <c r="A256" s="10" t="s">
        <v>18</v>
      </c>
      <c r="B256" s="18" t="s">
        <v>114</v>
      </c>
      <c r="C256" s="18" t="s">
        <v>84</v>
      </c>
      <c r="D256" s="18" t="s">
        <v>39</v>
      </c>
      <c r="E256" s="16">
        <v>255</v>
      </c>
      <c r="F256" s="17">
        <v>46071</v>
      </c>
      <c r="G256" s="10"/>
      <c r="H256" s="10">
        <f t="shared" si="9"/>
        <v>15</v>
      </c>
      <c r="I256" s="10">
        <f ca="1">IF(AND(F256&lt;&gt;"", J256&lt;&gt;""), NETWORKDAYS(TODAY(), J256-1, FESTIVOS!A$1:A$55), "")</f>
        <v>-62</v>
      </c>
      <c r="J256" s="11">
        <f>IF(AND(F256&lt;&gt;"", H256&lt;&gt;""), WORKDAY(F256, H256, FESTIVOS!A$1:A$55), "")</f>
        <v>46092</v>
      </c>
      <c r="K256" s="10" t="s">
        <v>656</v>
      </c>
      <c r="L256" s="10">
        <f t="shared" ca="1" si="10"/>
        <v>0</v>
      </c>
      <c r="M256" s="10" t="str">
        <f t="shared" ca="1" si="11"/>
        <v>Vencido</v>
      </c>
      <c r="N256" s="10" t="s">
        <v>606</v>
      </c>
      <c r="O256" s="11">
        <v>46036</v>
      </c>
      <c r="P256" s="35">
        <f>IF(OR(O256="", J256=""), "", NETWORKDAYS(J256, O256, FESTIVOS!A255:A309))</f>
        <v>-41</v>
      </c>
    </row>
    <row r="257" spans="1:16" ht="15.75" x14ac:dyDescent="0.25">
      <c r="A257" s="10" t="s">
        <v>18</v>
      </c>
      <c r="B257" s="18" t="s">
        <v>114</v>
      </c>
      <c r="C257" s="18" t="s">
        <v>84</v>
      </c>
      <c r="D257" s="18" t="s">
        <v>39</v>
      </c>
      <c r="E257" s="16">
        <v>256</v>
      </c>
      <c r="F257" s="17">
        <v>46071</v>
      </c>
      <c r="G257" s="10"/>
      <c r="H257" s="10">
        <f t="shared" si="9"/>
        <v>15</v>
      </c>
      <c r="I257" s="10">
        <f ca="1">IF(AND(F257&lt;&gt;"", J257&lt;&gt;""), NETWORKDAYS(TODAY(), J257-1, FESTIVOS!A$1:A$55), "")</f>
        <v>-62</v>
      </c>
      <c r="J257" s="11">
        <f>IF(AND(F257&lt;&gt;"", H257&lt;&gt;""), WORKDAY(F257, H257, FESTIVOS!A$1:A$55), "")</f>
        <v>46092</v>
      </c>
      <c r="K257" s="10" t="s">
        <v>656</v>
      </c>
      <c r="L257" s="10">
        <f t="shared" ca="1" si="10"/>
        <v>0</v>
      </c>
      <c r="M257" s="10" t="str">
        <f t="shared" ca="1" si="11"/>
        <v>Vencido</v>
      </c>
      <c r="N257" s="10" t="s">
        <v>606</v>
      </c>
      <c r="O257" s="11">
        <v>46036</v>
      </c>
      <c r="P257" s="35">
        <f>IF(OR(O257="", J257=""), "", NETWORKDAYS(J257, O257, FESTIVOS!A256:A310))</f>
        <v>-41</v>
      </c>
    </row>
    <row r="258" spans="1:16" ht="15.75" x14ac:dyDescent="0.25">
      <c r="A258" s="10" t="s">
        <v>18</v>
      </c>
      <c r="B258" s="18" t="s">
        <v>114</v>
      </c>
      <c r="C258" s="18" t="s">
        <v>84</v>
      </c>
      <c r="D258" s="18" t="s">
        <v>39</v>
      </c>
      <c r="E258" s="16">
        <v>257</v>
      </c>
      <c r="F258" s="17">
        <v>46071</v>
      </c>
      <c r="G258" s="10"/>
      <c r="H258" s="10">
        <f t="shared" ref="H258:H299" si="12">IF(A258="INFORMACIÓN O DOCUMENTOS", 10, IF(A258="CONSULTA", 30, IF(A258="FACTURACIÓN Y COBROS", 15, IF(A258="VINCULACIÓN Y DESVINCULACIÓN", 15, IF(A258="NO ES DE NUESTRA COMPETENCIA", 5, IF(A258="OTRO", 15, ""))))))</f>
        <v>15</v>
      </c>
      <c r="I258" s="10">
        <f ca="1">IF(AND(F258&lt;&gt;"", J258&lt;&gt;""), NETWORKDAYS(TODAY(), J258-1, FESTIVOS!A$1:A$55), "")</f>
        <v>-62</v>
      </c>
      <c r="J258" s="11">
        <f>IF(AND(F258&lt;&gt;"", H258&lt;&gt;""), WORKDAY(F258, H258, FESTIVOS!A$1:A$55), "")</f>
        <v>46092</v>
      </c>
      <c r="K258" s="10" t="s">
        <v>656</v>
      </c>
      <c r="L258" s="10">
        <f t="shared" ref="L258:L309" ca="1" si="13">IF(I258="", "", MAX(0, I258 - (TODAY() - TODAY())))</f>
        <v>0</v>
      </c>
      <c r="M258" s="10" t="str">
        <f t="shared" ref="M258:M309" ca="1" si="14">IF(OR(I258="", H258=""), "", IF(I258&lt;0, "Vencido", IF(I258&gt;(H258/2), "Supere la mitad", "Bajo la mitad")))</f>
        <v>Vencido</v>
      </c>
      <c r="N258" s="10" t="s">
        <v>606</v>
      </c>
      <c r="O258" s="11">
        <v>46036</v>
      </c>
      <c r="P258" s="35">
        <f>IF(OR(O258="", J258=""), "", NETWORKDAYS(J258, O258, FESTIVOS!A257:A311))</f>
        <v>-41</v>
      </c>
    </row>
    <row r="259" spans="1:16" ht="47.25" x14ac:dyDescent="0.25">
      <c r="A259" s="10" t="s">
        <v>18</v>
      </c>
      <c r="B259" s="18" t="s">
        <v>385</v>
      </c>
      <c r="C259" s="18" t="s">
        <v>67</v>
      </c>
      <c r="D259" s="18" t="s">
        <v>386</v>
      </c>
      <c r="E259" s="16">
        <v>258</v>
      </c>
      <c r="F259" s="17">
        <v>46071</v>
      </c>
      <c r="G259" s="10"/>
      <c r="H259" s="10">
        <f t="shared" si="12"/>
        <v>15</v>
      </c>
      <c r="I259" s="10">
        <f ca="1">IF(AND(F259&lt;&gt;"", J259&lt;&gt;""), NETWORKDAYS(TODAY(), J259-1, FESTIVOS!A$1:A$55), "")</f>
        <v>-62</v>
      </c>
      <c r="J259" s="11">
        <f>IF(AND(F259&lt;&gt;"", H259&lt;&gt;""), WORKDAY(F259, H259, FESTIVOS!A$1:A$55), "")</f>
        <v>46092</v>
      </c>
      <c r="K259" s="10" t="s">
        <v>656</v>
      </c>
      <c r="L259" s="10">
        <f t="shared" ca="1" si="13"/>
        <v>0</v>
      </c>
      <c r="M259" s="10" t="str">
        <f t="shared" ca="1" si="14"/>
        <v>Vencido</v>
      </c>
      <c r="N259" s="10" t="s">
        <v>606</v>
      </c>
      <c r="O259" s="11">
        <v>46036</v>
      </c>
      <c r="P259" s="35">
        <f>IF(OR(O259="", J259=""), "", NETWORKDAYS(J259, O259, FESTIVOS!A258:A312))</f>
        <v>-41</v>
      </c>
    </row>
    <row r="260" spans="1:16" ht="31.5" x14ac:dyDescent="0.25">
      <c r="A260" s="10" t="s">
        <v>18</v>
      </c>
      <c r="B260" s="18" t="s">
        <v>387</v>
      </c>
      <c r="C260" s="18" t="s">
        <v>67</v>
      </c>
      <c r="D260" s="18" t="s">
        <v>388</v>
      </c>
      <c r="E260" s="16">
        <v>259</v>
      </c>
      <c r="F260" s="17">
        <v>46071</v>
      </c>
      <c r="G260" s="10"/>
      <c r="H260" s="10">
        <f t="shared" si="12"/>
        <v>15</v>
      </c>
      <c r="I260" s="10">
        <f ca="1">IF(AND(F260&lt;&gt;"", J260&lt;&gt;""), NETWORKDAYS(TODAY(), J260-1, FESTIVOS!A$1:A$55), "")</f>
        <v>-62</v>
      </c>
      <c r="J260" s="11">
        <f>IF(AND(F260&lt;&gt;"", H260&lt;&gt;""), WORKDAY(F260, H260, FESTIVOS!A$1:A$55), "")</f>
        <v>46092</v>
      </c>
      <c r="K260" s="10" t="s">
        <v>656</v>
      </c>
      <c r="L260" s="10">
        <f t="shared" ca="1" si="13"/>
        <v>0</v>
      </c>
      <c r="M260" s="10" t="str">
        <f t="shared" ca="1" si="14"/>
        <v>Vencido</v>
      </c>
      <c r="N260" s="10" t="s">
        <v>606</v>
      </c>
      <c r="O260" s="11">
        <v>46036</v>
      </c>
      <c r="P260" s="35">
        <f>IF(OR(O260="", J260=""), "", NETWORKDAYS(J260, O260, FESTIVOS!A259:A313))</f>
        <v>-41</v>
      </c>
    </row>
    <row r="261" spans="1:16" ht="31.5" x14ac:dyDescent="0.25">
      <c r="A261" s="10" t="s">
        <v>18</v>
      </c>
      <c r="B261" s="18" t="s">
        <v>387</v>
      </c>
      <c r="C261" s="18" t="s">
        <v>67</v>
      </c>
      <c r="D261" s="18" t="s">
        <v>389</v>
      </c>
      <c r="E261" s="16">
        <v>260</v>
      </c>
      <c r="F261" s="17">
        <v>46071</v>
      </c>
      <c r="G261" s="10"/>
      <c r="H261" s="10">
        <f t="shared" si="12"/>
        <v>15</v>
      </c>
      <c r="I261" s="10">
        <f ca="1">IF(AND(F261&lt;&gt;"", J261&lt;&gt;""), NETWORKDAYS(TODAY(), J261-1, FESTIVOS!A$1:A$55), "")</f>
        <v>-62</v>
      </c>
      <c r="J261" s="71">
        <f>IF(AND(F261&lt;&gt;"", H261&lt;&gt;""), WORKDAY(F261, H261, FESTIVOS!A$1:A$55), "")</f>
        <v>46092</v>
      </c>
      <c r="K261" s="72" t="s">
        <v>656</v>
      </c>
      <c r="L261" s="72">
        <f t="shared" ca="1" si="13"/>
        <v>0</v>
      </c>
      <c r="M261" s="72" t="str">
        <f t="shared" ca="1" si="14"/>
        <v>Vencido</v>
      </c>
      <c r="N261" s="72" t="s">
        <v>762</v>
      </c>
      <c r="O261" s="71">
        <v>46073</v>
      </c>
      <c r="P261" s="35">
        <f>IF(OR(O261="", J261=""), "", NETWORKDAYS(J261, O261, FESTIVOS!A260:A314))</f>
        <v>-14</v>
      </c>
    </row>
    <row r="262" spans="1:16" ht="31.5" x14ac:dyDescent="0.25">
      <c r="A262" s="10" t="s">
        <v>18</v>
      </c>
      <c r="B262" s="18" t="s">
        <v>390</v>
      </c>
      <c r="C262" s="18" t="s">
        <v>88</v>
      </c>
      <c r="D262" s="18" t="s">
        <v>168</v>
      </c>
      <c r="E262" s="16">
        <v>261</v>
      </c>
      <c r="F262" s="17">
        <v>46072</v>
      </c>
      <c r="G262" s="10"/>
      <c r="H262" s="10">
        <f t="shared" si="12"/>
        <v>15</v>
      </c>
      <c r="I262" s="10">
        <f ca="1">IF(AND(F262&lt;&gt;"", J262&lt;&gt;""), NETWORKDAYS(TODAY(), J262-1, FESTIVOS!A$1:A$55), "")</f>
        <v>-61</v>
      </c>
      <c r="J262" s="49">
        <f>IF(AND(F262&lt;&gt;"", H262&lt;&gt;""), WORKDAY(F262, H262, FESTIVOS!A$1:A$55), "")</f>
        <v>46093</v>
      </c>
      <c r="K262" s="50" t="s">
        <v>656</v>
      </c>
      <c r="L262" s="50">
        <f t="shared" ca="1" si="13"/>
        <v>0</v>
      </c>
      <c r="M262" s="50" t="str">
        <f t="shared" ca="1" si="14"/>
        <v>Vencido</v>
      </c>
      <c r="N262" s="50" t="s">
        <v>647</v>
      </c>
      <c r="O262" s="49">
        <v>46073</v>
      </c>
      <c r="P262" s="35">
        <f>IF(OR(O262="", J262=""), "", NETWORKDAYS(J262, O262, FESTIVOS!A261:A315))</f>
        <v>-15</v>
      </c>
    </row>
    <row r="263" spans="1:16" ht="15.75" x14ac:dyDescent="0.25">
      <c r="A263" s="10" t="s">
        <v>18</v>
      </c>
      <c r="B263" s="18" t="s">
        <v>391</v>
      </c>
      <c r="C263" s="18" t="s">
        <v>88</v>
      </c>
      <c r="D263" s="9" t="s">
        <v>392</v>
      </c>
      <c r="E263" s="16">
        <v>262</v>
      </c>
      <c r="F263" s="17">
        <v>46072</v>
      </c>
      <c r="G263" s="10"/>
      <c r="H263" s="10">
        <f t="shared" si="12"/>
        <v>15</v>
      </c>
      <c r="I263" s="10">
        <f ca="1">IF(AND(F263&lt;&gt;"", J263&lt;&gt;""), NETWORKDAYS(TODAY(), J263-1, FESTIVOS!A$1:A$55), "")</f>
        <v>-61</v>
      </c>
      <c r="J263" s="49">
        <f>IF(AND(F263&lt;&gt;"", H263&lt;&gt;""), WORKDAY(F263, H263, FESTIVOS!A$1:A$55), "")</f>
        <v>46093</v>
      </c>
      <c r="K263" s="50" t="s">
        <v>656</v>
      </c>
      <c r="L263" s="50">
        <f t="shared" ca="1" si="13"/>
        <v>0</v>
      </c>
      <c r="M263" s="50" t="str">
        <f t="shared" ca="1" si="14"/>
        <v>Vencido</v>
      </c>
      <c r="N263" s="50" t="s">
        <v>761</v>
      </c>
      <c r="O263" s="49">
        <v>46085</v>
      </c>
      <c r="P263" s="35">
        <f>IF(OR(O263="", J263=""), "", NETWORKDAYS(J263, O263, FESTIVOS!A262:A316))</f>
        <v>-7</v>
      </c>
    </row>
    <row r="264" spans="1:16" ht="63" x14ac:dyDescent="0.25">
      <c r="A264" s="10" t="s">
        <v>18</v>
      </c>
      <c r="B264" s="18" t="s">
        <v>393</v>
      </c>
      <c r="C264" s="18" t="s">
        <v>110</v>
      </c>
      <c r="D264" s="18" t="s">
        <v>394</v>
      </c>
      <c r="E264" s="16">
        <v>263</v>
      </c>
      <c r="F264" s="17">
        <v>46072</v>
      </c>
      <c r="G264" s="10"/>
      <c r="H264" s="10">
        <f t="shared" si="12"/>
        <v>15</v>
      </c>
      <c r="I264" s="10">
        <f ca="1">IF(AND(F264&lt;&gt;"", J264&lt;&gt;""), NETWORKDAYS(TODAY(), J264-1, FESTIVOS!A$1:A$55), "")</f>
        <v>-61</v>
      </c>
      <c r="J264" s="66">
        <f>IF(AND(F264&lt;&gt;"", H264&lt;&gt;""), WORKDAY(F264, H264, FESTIVOS!A$1:A$55), "")</f>
        <v>46093</v>
      </c>
      <c r="K264" s="67" t="s">
        <v>656</v>
      </c>
      <c r="L264" s="67">
        <f t="shared" ca="1" si="13"/>
        <v>0</v>
      </c>
      <c r="M264" s="67" t="str">
        <f t="shared" ca="1" si="14"/>
        <v>Vencido</v>
      </c>
      <c r="N264" s="68" t="s">
        <v>652</v>
      </c>
      <c r="O264" s="66"/>
      <c r="P264" s="35" t="str">
        <f>IF(OR(O264="", J264=""), "", NETWORKDAYS(J264, O264, FESTIVOS!A263:A317))</f>
        <v/>
      </c>
    </row>
    <row r="265" spans="1:16" ht="30" x14ac:dyDescent="0.25">
      <c r="A265" s="10" t="s">
        <v>18</v>
      </c>
      <c r="B265" s="18" t="s">
        <v>395</v>
      </c>
      <c r="C265" s="18" t="s">
        <v>88</v>
      </c>
      <c r="D265" s="9" t="s">
        <v>396</v>
      </c>
      <c r="E265" s="16">
        <v>264</v>
      </c>
      <c r="F265" s="17">
        <v>46072</v>
      </c>
      <c r="G265" s="10"/>
      <c r="H265" s="10">
        <f t="shared" si="12"/>
        <v>15</v>
      </c>
      <c r="I265" s="10">
        <f ca="1">IF(AND(F265&lt;&gt;"", J265&lt;&gt;""), NETWORKDAYS(TODAY(), J265-1, FESTIVOS!A$1:A$55), "")</f>
        <v>-61</v>
      </c>
      <c r="J265" s="49">
        <f>IF(AND(F265&lt;&gt;"", H265&lt;&gt;""), WORKDAY(F265, H265, FESTIVOS!A$1:A$55), "")</f>
        <v>46093</v>
      </c>
      <c r="K265" s="50" t="s">
        <v>656</v>
      </c>
      <c r="L265" s="50">
        <f t="shared" ca="1" si="13"/>
        <v>0</v>
      </c>
      <c r="M265" s="50" t="str">
        <f t="shared" ca="1" si="14"/>
        <v>Vencido</v>
      </c>
      <c r="N265" s="50" t="s">
        <v>739</v>
      </c>
      <c r="O265" s="49">
        <v>46076</v>
      </c>
      <c r="P265" s="35">
        <f>IF(OR(O265="", J265=""), "", NETWORKDAYS(J265, O265, FESTIVOS!A264:A318))</f>
        <v>-14</v>
      </c>
    </row>
    <row r="266" spans="1:16" ht="28.5" x14ac:dyDescent="0.25">
      <c r="A266" s="10" t="s">
        <v>18</v>
      </c>
      <c r="B266" s="18" t="s">
        <v>397</v>
      </c>
      <c r="C266" s="18" t="s">
        <v>67</v>
      </c>
      <c r="D266" s="28" t="s">
        <v>398</v>
      </c>
      <c r="E266" s="16">
        <v>265</v>
      </c>
      <c r="F266" s="17">
        <v>46072</v>
      </c>
      <c r="G266" s="10"/>
      <c r="H266" s="10">
        <f t="shared" si="12"/>
        <v>15</v>
      </c>
      <c r="I266" s="10">
        <f ca="1">IF(AND(F266&lt;&gt;"", J266&lt;&gt;""), NETWORKDAYS(TODAY(), J266-1, FESTIVOS!A$1:A$55), "")</f>
        <v>-61</v>
      </c>
      <c r="J266" s="47">
        <f>IF(AND(F266&lt;&gt;"", H266&lt;&gt;""), WORKDAY(F266, H266, FESTIVOS!A$1:A$55), "")</f>
        <v>46093</v>
      </c>
      <c r="K266" s="48" t="s">
        <v>656</v>
      </c>
      <c r="L266" s="48">
        <f t="shared" ca="1" si="13"/>
        <v>0</v>
      </c>
      <c r="M266" s="48" t="str">
        <f t="shared" ca="1" si="14"/>
        <v>Vencido</v>
      </c>
      <c r="N266" s="48" t="s">
        <v>738</v>
      </c>
      <c r="O266" s="47">
        <v>46090</v>
      </c>
      <c r="P266" s="35">
        <f>IF(OR(O266="", J266=""), "", NETWORKDAYS(J266, O266, FESTIVOS!A265:A319))</f>
        <v>-4</v>
      </c>
    </row>
    <row r="267" spans="1:16" ht="42.75" x14ac:dyDescent="0.25">
      <c r="A267" s="10" t="s">
        <v>18</v>
      </c>
      <c r="B267" s="18" t="s">
        <v>399</v>
      </c>
      <c r="C267" s="18" t="s">
        <v>169</v>
      </c>
      <c r="D267" s="29" t="s">
        <v>400</v>
      </c>
      <c r="E267" s="16">
        <v>266</v>
      </c>
      <c r="F267" s="17">
        <v>46072</v>
      </c>
      <c r="G267" s="10"/>
      <c r="H267" s="10">
        <f t="shared" si="12"/>
        <v>15</v>
      </c>
      <c r="I267" s="10">
        <f ca="1">IF(AND(F267&lt;&gt;"", J267&lt;&gt;""), NETWORKDAYS(TODAY(), J267-1, FESTIVOS!A$1:A$55), "")</f>
        <v>-61</v>
      </c>
      <c r="J267" s="49">
        <f>IF(AND(F267&lt;&gt;"", H267&lt;&gt;""), WORKDAY(F267, H267, FESTIVOS!A$1:A$55), "")</f>
        <v>46093</v>
      </c>
      <c r="K267" s="50" t="s">
        <v>656</v>
      </c>
      <c r="L267" s="50">
        <f t="shared" ca="1" si="13"/>
        <v>0</v>
      </c>
      <c r="M267" s="50" t="str">
        <f t="shared" ca="1" si="14"/>
        <v>Vencido</v>
      </c>
      <c r="N267" s="50" t="s">
        <v>737</v>
      </c>
      <c r="O267" s="49">
        <v>46093</v>
      </c>
      <c r="P267" s="35">
        <f>IF(OR(O267="", J267=""), "", NETWORKDAYS(J267, O267, FESTIVOS!A266:A320))</f>
        <v>1</v>
      </c>
    </row>
    <row r="268" spans="1:16" ht="15.75" x14ac:dyDescent="0.25">
      <c r="A268" s="10" t="s">
        <v>18</v>
      </c>
      <c r="B268" s="18" t="s">
        <v>401</v>
      </c>
      <c r="C268" s="18" t="s">
        <v>67</v>
      </c>
      <c r="D268" s="18" t="s">
        <v>30</v>
      </c>
      <c r="E268" s="16">
        <v>267</v>
      </c>
      <c r="F268" s="17">
        <v>46072</v>
      </c>
      <c r="G268" s="10"/>
      <c r="H268" s="10">
        <f t="shared" si="12"/>
        <v>15</v>
      </c>
      <c r="I268" s="10">
        <f ca="1">IF(AND(F268&lt;&gt;"", J268&lt;&gt;""), NETWORKDAYS(TODAY(), J268-1, FESTIVOS!A$1:A$55), "")</f>
        <v>-61</v>
      </c>
      <c r="J268" s="49">
        <f>IF(AND(F268&lt;&gt;"", H268&lt;&gt;""), WORKDAY(F268, H268, FESTIVOS!A$1:A$55), "")</f>
        <v>46093</v>
      </c>
      <c r="K268" s="50" t="s">
        <v>656</v>
      </c>
      <c r="L268" s="50">
        <f t="shared" ca="1" si="13"/>
        <v>0</v>
      </c>
      <c r="M268" s="50" t="str">
        <f t="shared" ca="1" si="14"/>
        <v>Vencido</v>
      </c>
      <c r="N268" s="50" t="s">
        <v>736</v>
      </c>
      <c r="O268" s="49">
        <v>46107</v>
      </c>
      <c r="P268" s="35">
        <f>IF(OR(O268="", J268=""), "", NETWORKDAYS(J268, O268, FESTIVOS!A267:A321))</f>
        <v>11</v>
      </c>
    </row>
    <row r="269" spans="1:16" ht="15.75" x14ac:dyDescent="0.25">
      <c r="A269" s="10" t="s">
        <v>18</v>
      </c>
      <c r="B269" s="18" t="s">
        <v>402</v>
      </c>
      <c r="C269" s="18" t="s">
        <v>67</v>
      </c>
      <c r="D269" s="18" t="s">
        <v>118</v>
      </c>
      <c r="E269" s="16">
        <v>268</v>
      </c>
      <c r="F269" s="17">
        <v>46073</v>
      </c>
      <c r="G269" s="10"/>
      <c r="H269" s="10">
        <f t="shared" si="12"/>
        <v>15</v>
      </c>
      <c r="I269" s="10">
        <f ca="1">IF(AND(F269&lt;&gt;"", J269&lt;&gt;""), NETWORKDAYS(TODAY(), J269-1, FESTIVOS!A$1:A$55), "")</f>
        <v>-60</v>
      </c>
      <c r="J269" s="47">
        <f>IF(AND(F269&lt;&gt;"", H269&lt;&gt;""), WORKDAY(F269, H269, FESTIVOS!A$1:A$55), "")</f>
        <v>46094</v>
      </c>
      <c r="K269" s="48" t="s">
        <v>656</v>
      </c>
      <c r="L269" s="48">
        <f t="shared" ca="1" si="13"/>
        <v>0</v>
      </c>
      <c r="M269" s="48" t="str">
        <f t="shared" ca="1" si="14"/>
        <v>Vencido</v>
      </c>
      <c r="N269" s="48" t="s">
        <v>735</v>
      </c>
      <c r="O269" s="47">
        <v>46085</v>
      </c>
      <c r="P269" s="35">
        <f>IF(OR(O269="", J269=""), "", NETWORKDAYS(J269, O269, FESTIVOS!A268:A322))</f>
        <v>-8</v>
      </c>
    </row>
    <row r="270" spans="1:16" ht="31.5" x14ac:dyDescent="0.25">
      <c r="A270" s="10" t="s">
        <v>18</v>
      </c>
      <c r="B270" s="18" t="s">
        <v>218</v>
      </c>
      <c r="C270" s="18" t="s">
        <v>88</v>
      </c>
      <c r="D270" s="18" t="s">
        <v>403</v>
      </c>
      <c r="E270" s="16">
        <v>269</v>
      </c>
      <c r="F270" s="17">
        <v>46073</v>
      </c>
      <c r="G270" s="10"/>
      <c r="H270" s="10">
        <f t="shared" si="12"/>
        <v>15</v>
      </c>
      <c r="I270" s="10">
        <f ca="1">IF(AND(F270&lt;&gt;"", J270&lt;&gt;""), NETWORKDAYS(TODAY(), J270-1, FESTIVOS!A$1:A$55), "")</f>
        <v>-60</v>
      </c>
      <c r="J270" s="49">
        <f>IF(AND(F270&lt;&gt;"", H270&lt;&gt;""), WORKDAY(F270, H270, FESTIVOS!A$1:A$55), "")</f>
        <v>46094</v>
      </c>
      <c r="K270" s="50" t="s">
        <v>656</v>
      </c>
      <c r="L270" s="50">
        <f t="shared" ca="1" si="13"/>
        <v>0</v>
      </c>
      <c r="M270" s="50" t="str">
        <f t="shared" ca="1" si="14"/>
        <v>Vencido</v>
      </c>
      <c r="N270" s="50" t="s">
        <v>734</v>
      </c>
      <c r="O270" s="49">
        <v>46085</v>
      </c>
      <c r="P270" s="35">
        <f>IF(OR(O270="", J270=""), "", NETWORKDAYS(J270, O270, FESTIVOS!A269:A323))</f>
        <v>-8</v>
      </c>
    </row>
    <row r="271" spans="1:16" ht="47.25" x14ac:dyDescent="0.25">
      <c r="A271" s="10" t="s">
        <v>18</v>
      </c>
      <c r="B271" s="18" t="s">
        <v>404</v>
      </c>
      <c r="C271" s="18" t="s">
        <v>67</v>
      </c>
      <c r="D271" s="18" t="s">
        <v>405</v>
      </c>
      <c r="E271" s="16">
        <v>270</v>
      </c>
      <c r="F271" s="17">
        <v>46073</v>
      </c>
      <c r="G271" s="10"/>
      <c r="H271" s="10">
        <f t="shared" si="12"/>
        <v>15</v>
      </c>
      <c r="I271" s="10">
        <f ca="1">IF(AND(F271&lt;&gt;"", J271&lt;&gt;""), NETWORKDAYS(TODAY(), J271-1, FESTIVOS!A$1:A$55), "")</f>
        <v>-60</v>
      </c>
      <c r="J271" s="47">
        <f>IF(AND(F271&lt;&gt;"", H271&lt;&gt;""), WORKDAY(F271, H271, FESTIVOS!A$1:A$55), "")</f>
        <v>46094</v>
      </c>
      <c r="K271" s="48" t="s">
        <v>656</v>
      </c>
      <c r="L271" s="48">
        <f t="shared" ca="1" si="13"/>
        <v>0</v>
      </c>
      <c r="M271" s="48" t="str">
        <f t="shared" ca="1" si="14"/>
        <v>Vencido</v>
      </c>
      <c r="N271" s="48" t="s">
        <v>733</v>
      </c>
      <c r="O271" s="47">
        <v>46079</v>
      </c>
      <c r="P271" s="35">
        <f>IF(OR(O271="", J271=""), "", NETWORKDAYS(J271, O271, FESTIVOS!A270:A324))</f>
        <v>-12</v>
      </c>
    </row>
    <row r="272" spans="1:16" ht="15.75" x14ac:dyDescent="0.25">
      <c r="A272" s="10" t="s">
        <v>18</v>
      </c>
      <c r="B272" s="18" t="s">
        <v>56</v>
      </c>
      <c r="C272" s="18" t="s">
        <v>84</v>
      </c>
      <c r="D272" s="18" t="s">
        <v>45</v>
      </c>
      <c r="E272" s="16">
        <v>271</v>
      </c>
      <c r="F272" s="17">
        <v>46073</v>
      </c>
      <c r="G272" s="10" t="s">
        <v>615</v>
      </c>
      <c r="H272" s="10">
        <f t="shared" si="12"/>
        <v>15</v>
      </c>
      <c r="I272" s="10">
        <f ca="1">IF(AND(F272&lt;&gt;"", J272&lt;&gt;""), NETWORKDAYS(TODAY(), J272-1, FESTIVOS!A$1:A$55), "")</f>
        <v>-60</v>
      </c>
      <c r="J272" s="49">
        <f>IF(AND(F272&lt;&gt;"", H272&lt;&gt;""), WORKDAY(F272, H272, FESTIVOS!A$1:A$55), "")</f>
        <v>46094</v>
      </c>
      <c r="K272" s="50" t="s">
        <v>656</v>
      </c>
      <c r="L272" s="50">
        <f t="shared" ca="1" si="13"/>
        <v>0</v>
      </c>
      <c r="M272" s="50" t="str">
        <f t="shared" ca="1" si="14"/>
        <v>Vencido</v>
      </c>
      <c r="N272" s="60" t="s">
        <v>714</v>
      </c>
      <c r="O272" s="60">
        <v>46091</v>
      </c>
      <c r="P272" s="35"/>
    </row>
    <row r="273" spans="1:16" ht="15.75" x14ac:dyDescent="0.25">
      <c r="A273" s="10" t="s">
        <v>18</v>
      </c>
      <c r="B273" s="18" t="s">
        <v>56</v>
      </c>
      <c r="C273" s="18" t="s">
        <v>84</v>
      </c>
      <c r="D273" s="18" t="s">
        <v>45</v>
      </c>
      <c r="E273" s="16">
        <v>272</v>
      </c>
      <c r="F273" s="17">
        <v>46073</v>
      </c>
      <c r="G273" s="10" t="s">
        <v>615</v>
      </c>
      <c r="H273" s="10">
        <f t="shared" si="12"/>
        <v>15</v>
      </c>
      <c r="I273" s="10">
        <f ca="1">IF(AND(F273&lt;&gt;"", J273&lt;&gt;""), NETWORKDAYS(TODAY(), J273-1, FESTIVOS!A$1:A$55), "")</f>
        <v>-60</v>
      </c>
      <c r="J273" s="49">
        <f>IF(AND(F273&lt;&gt;"", H273&lt;&gt;""), WORKDAY(F273, H273, FESTIVOS!A$1:A$55), "")</f>
        <v>46094</v>
      </c>
      <c r="K273" s="50" t="s">
        <v>656</v>
      </c>
      <c r="L273" s="50">
        <f t="shared" ca="1" si="13"/>
        <v>0</v>
      </c>
      <c r="M273" s="50" t="str">
        <f t="shared" ca="1" si="14"/>
        <v>Vencido</v>
      </c>
      <c r="N273" s="60" t="s">
        <v>715</v>
      </c>
      <c r="O273" s="60" t="s">
        <v>726</v>
      </c>
      <c r="P273" s="35"/>
    </row>
    <row r="274" spans="1:16" ht="15.75" x14ac:dyDescent="0.25">
      <c r="A274" s="10" t="s">
        <v>18</v>
      </c>
      <c r="B274" s="18" t="s">
        <v>56</v>
      </c>
      <c r="C274" s="18" t="s">
        <v>84</v>
      </c>
      <c r="D274" s="18" t="s">
        <v>45</v>
      </c>
      <c r="E274" s="16">
        <v>273</v>
      </c>
      <c r="F274" s="17">
        <v>46073</v>
      </c>
      <c r="G274" s="10" t="s">
        <v>615</v>
      </c>
      <c r="H274" s="10">
        <f t="shared" si="12"/>
        <v>15</v>
      </c>
      <c r="I274" s="10">
        <f ca="1">IF(AND(F274&lt;&gt;"", J274&lt;&gt;""), NETWORKDAYS(TODAY(), J274-1, FESTIVOS!A$1:A$55), "")</f>
        <v>-60</v>
      </c>
      <c r="J274" s="49">
        <f>IF(AND(F274&lt;&gt;"", H274&lt;&gt;""), WORKDAY(F274, H274, FESTIVOS!A$1:A$55), "")</f>
        <v>46094</v>
      </c>
      <c r="K274" s="50" t="s">
        <v>656</v>
      </c>
      <c r="L274" s="50">
        <f t="shared" ca="1" si="13"/>
        <v>0</v>
      </c>
      <c r="M274" s="50" t="str">
        <f t="shared" ca="1" si="14"/>
        <v>Vencido</v>
      </c>
      <c r="N274" s="60" t="s">
        <v>716</v>
      </c>
      <c r="O274" s="60" t="s">
        <v>726</v>
      </c>
      <c r="P274" s="35"/>
    </row>
    <row r="275" spans="1:16" ht="15.75" x14ac:dyDescent="0.25">
      <c r="A275" s="10" t="s">
        <v>18</v>
      </c>
      <c r="B275" s="18" t="s">
        <v>56</v>
      </c>
      <c r="C275" s="18" t="s">
        <v>84</v>
      </c>
      <c r="D275" s="18" t="s">
        <v>45</v>
      </c>
      <c r="E275" s="16">
        <v>274</v>
      </c>
      <c r="F275" s="17">
        <v>46073</v>
      </c>
      <c r="G275" s="10" t="s">
        <v>615</v>
      </c>
      <c r="H275" s="10">
        <f t="shared" si="12"/>
        <v>15</v>
      </c>
      <c r="I275" s="10">
        <f ca="1">IF(AND(F275&lt;&gt;"", J275&lt;&gt;""), NETWORKDAYS(TODAY(), J275-1, FESTIVOS!A$1:A$55), "")</f>
        <v>-60</v>
      </c>
      <c r="J275" s="49">
        <f>IF(AND(F275&lt;&gt;"", H275&lt;&gt;""), WORKDAY(F275, H275, FESTIVOS!A$1:A$55), "")</f>
        <v>46094</v>
      </c>
      <c r="K275" s="50" t="s">
        <v>656</v>
      </c>
      <c r="L275" s="50">
        <f t="shared" ca="1" si="13"/>
        <v>0</v>
      </c>
      <c r="M275" s="50" t="str">
        <f t="shared" ca="1" si="14"/>
        <v>Vencido</v>
      </c>
      <c r="N275" s="60" t="s">
        <v>717</v>
      </c>
      <c r="O275" s="60" t="s">
        <v>726</v>
      </c>
      <c r="P275" s="35"/>
    </row>
    <row r="276" spans="1:16" ht="15.75" x14ac:dyDescent="0.25">
      <c r="A276" s="10" t="s">
        <v>18</v>
      </c>
      <c r="B276" s="18" t="s">
        <v>56</v>
      </c>
      <c r="C276" s="18" t="s">
        <v>84</v>
      </c>
      <c r="D276" s="18" t="s">
        <v>45</v>
      </c>
      <c r="E276" s="16">
        <v>275</v>
      </c>
      <c r="F276" s="17">
        <v>46073</v>
      </c>
      <c r="G276" s="10" t="s">
        <v>615</v>
      </c>
      <c r="H276" s="10">
        <f t="shared" si="12"/>
        <v>15</v>
      </c>
      <c r="I276" s="10">
        <f ca="1">IF(AND(F276&lt;&gt;"", J276&lt;&gt;""), NETWORKDAYS(TODAY(), J276-1, FESTIVOS!A$1:A$55), "")</f>
        <v>-60</v>
      </c>
      <c r="J276" s="49">
        <f>IF(AND(F276&lt;&gt;"", H276&lt;&gt;""), WORKDAY(F276, H276, FESTIVOS!A$1:A$55), "")</f>
        <v>46094</v>
      </c>
      <c r="K276" s="50" t="s">
        <v>656</v>
      </c>
      <c r="L276" s="50">
        <f t="shared" ca="1" si="13"/>
        <v>0</v>
      </c>
      <c r="M276" s="50" t="str">
        <f t="shared" ca="1" si="14"/>
        <v>Vencido</v>
      </c>
      <c r="N276" s="60" t="s">
        <v>718</v>
      </c>
      <c r="O276" s="60">
        <v>46095</v>
      </c>
      <c r="P276" s="35"/>
    </row>
    <row r="277" spans="1:16" ht="15.75" x14ac:dyDescent="0.25">
      <c r="A277" s="10" t="s">
        <v>18</v>
      </c>
      <c r="B277" s="18" t="s">
        <v>56</v>
      </c>
      <c r="C277" s="18" t="s">
        <v>84</v>
      </c>
      <c r="D277" s="18" t="s">
        <v>45</v>
      </c>
      <c r="E277" s="16">
        <v>276</v>
      </c>
      <c r="F277" s="17">
        <v>46073</v>
      </c>
      <c r="G277" s="10" t="s">
        <v>615</v>
      </c>
      <c r="H277" s="10">
        <f t="shared" si="12"/>
        <v>15</v>
      </c>
      <c r="I277" s="10">
        <f ca="1">IF(AND(F277&lt;&gt;"", J277&lt;&gt;""), NETWORKDAYS(TODAY(), J277-1, FESTIVOS!A$1:A$55), "")</f>
        <v>-60</v>
      </c>
      <c r="J277" s="49">
        <f>IF(AND(F277&lt;&gt;"", H277&lt;&gt;""), WORKDAY(F277, H277, FESTIVOS!A$1:A$55), "")</f>
        <v>46094</v>
      </c>
      <c r="K277" s="50" t="s">
        <v>656</v>
      </c>
      <c r="L277" s="50">
        <f t="shared" ca="1" si="13"/>
        <v>0</v>
      </c>
      <c r="M277" s="50" t="str">
        <f t="shared" ca="1" si="14"/>
        <v>Vencido</v>
      </c>
      <c r="N277" s="60" t="s">
        <v>719</v>
      </c>
      <c r="O277" s="61">
        <v>46085</v>
      </c>
      <c r="P277" s="35"/>
    </row>
    <row r="278" spans="1:16" ht="15.75" x14ac:dyDescent="0.25">
      <c r="A278" s="10" t="s">
        <v>18</v>
      </c>
      <c r="B278" s="18" t="s">
        <v>56</v>
      </c>
      <c r="C278" s="18" t="s">
        <v>84</v>
      </c>
      <c r="D278" s="18" t="s">
        <v>45</v>
      </c>
      <c r="E278" s="16">
        <v>277</v>
      </c>
      <c r="F278" s="17">
        <v>46073</v>
      </c>
      <c r="G278" s="10" t="s">
        <v>615</v>
      </c>
      <c r="H278" s="10">
        <f t="shared" si="12"/>
        <v>15</v>
      </c>
      <c r="I278" s="10">
        <f ca="1">IF(AND(F278&lt;&gt;"", J278&lt;&gt;""), NETWORKDAYS(TODAY(), J278-1, FESTIVOS!A$1:A$55), "")</f>
        <v>-60</v>
      </c>
      <c r="J278" s="49">
        <f>IF(AND(F278&lt;&gt;"", H278&lt;&gt;""), WORKDAY(F278, H278, FESTIVOS!A$1:A$55), "")</f>
        <v>46094</v>
      </c>
      <c r="K278" s="50" t="s">
        <v>656</v>
      </c>
      <c r="L278" s="50">
        <f t="shared" ca="1" si="13"/>
        <v>0</v>
      </c>
      <c r="M278" s="50" t="str">
        <f t="shared" ca="1" si="14"/>
        <v>Vencido</v>
      </c>
      <c r="N278" s="60" t="s">
        <v>720</v>
      </c>
      <c r="O278" s="62" t="s">
        <v>726</v>
      </c>
      <c r="P278" s="35"/>
    </row>
    <row r="279" spans="1:16" ht="15.75" x14ac:dyDescent="0.25">
      <c r="A279" s="10" t="s">
        <v>18</v>
      </c>
      <c r="B279" s="18" t="s">
        <v>406</v>
      </c>
      <c r="C279" s="18" t="s">
        <v>67</v>
      </c>
      <c r="D279" s="9" t="s">
        <v>24</v>
      </c>
      <c r="E279" s="16">
        <v>278</v>
      </c>
      <c r="F279" s="17">
        <v>46073</v>
      </c>
      <c r="G279" s="10" t="s">
        <v>615</v>
      </c>
      <c r="H279" s="10">
        <f t="shared" si="12"/>
        <v>15</v>
      </c>
      <c r="I279" s="10">
        <f ca="1">IF(AND(F279&lt;&gt;"", J279&lt;&gt;""), NETWORKDAYS(TODAY(), J279-1, FESTIVOS!A$1:A$55), "")</f>
        <v>-60</v>
      </c>
      <c r="J279" s="49">
        <f>IF(AND(F279&lt;&gt;"", H279&lt;&gt;""), WORKDAY(F279, H279, FESTIVOS!A$1:A$55), "")</f>
        <v>46094</v>
      </c>
      <c r="K279" s="50" t="s">
        <v>656</v>
      </c>
      <c r="L279" s="50">
        <f t="shared" ca="1" si="13"/>
        <v>0</v>
      </c>
      <c r="M279" s="50" t="str">
        <f t="shared" ca="1" si="14"/>
        <v>Vencido</v>
      </c>
      <c r="N279" s="60" t="s">
        <v>721</v>
      </c>
      <c r="O279" s="61">
        <v>46090</v>
      </c>
      <c r="P279" s="35"/>
    </row>
    <row r="280" spans="1:16" ht="15.75" x14ac:dyDescent="0.25">
      <c r="A280" s="10" t="s">
        <v>18</v>
      </c>
      <c r="B280" s="18" t="s">
        <v>56</v>
      </c>
      <c r="C280" s="18" t="s">
        <v>84</v>
      </c>
      <c r="D280" s="18" t="s">
        <v>45</v>
      </c>
      <c r="E280" s="16">
        <v>279</v>
      </c>
      <c r="F280" s="17">
        <v>46073</v>
      </c>
      <c r="G280" s="10" t="s">
        <v>615</v>
      </c>
      <c r="H280" s="10">
        <f t="shared" si="12"/>
        <v>15</v>
      </c>
      <c r="I280" s="10">
        <f ca="1">IF(AND(F280&lt;&gt;"", J280&lt;&gt;""), NETWORKDAYS(TODAY(), J280-1, FESTIVOS!A$1:A$55), "")</f>
        <v>-60</v>
      </c>
      <c r="J280" s="49">
        <f>IF(AND(F280&lt;&gt;"", H280&lt;&gt;""), WORKDAY(F280, H280, FESTIVOS!A$1:A$55), "")</f>
        <v>46094</v>
      </c>
      <c r="K280" s="50" t="s">
        <v>656</v>
      </c>
      <c r="L280" s="50">
        <f t="shared" ca="1" si="13"/>
        <v>0</v>
      </c>
      <c r="M280" s="50" t="str">
        <f t="shared" ca="1" si="14"/>
        <v>Vencido</v>
      </c>
      <c r="N280" s="60" t="s">
        <v>722</v>
      </c>
      <c r="O280" s="61">
        <v>46090</v>
      </c>
      <c r="P280" s="35"/>
    </row>
    <row r="281" spans="1:16" ht="15.75" x14ac:dyDescent="0.25">
      <c r="A281" s="10" t="s">
        <v>18</v>
      </c>
      <c r="B281" s="18" t="s">
        <v>407</v>
      </c>
      <c r="C281" s="18" t="s">
        <v>67</v>
      </c>
      <c r="D281" s="18" t="s">
        <v>408</v>
      </c>
      <c r="E281" s="16">
        <v>280</v>
      </c>
      <c r="F281" s="17">
        <v>46073</v>
      </c>
      <c r="G281" s="10" t="s">
        <v>615</v>
      </c>
      <c r="H281" s="10">
        <f t="shared" si="12"/>
        <v>15</v>
      </c>
      <c r="I281" s="10">
        <f ca="1">IF(AND(F281&lt;&gt;"", J281&lt;&gt;""), NETWORKDAYS(TODAY(), J281-1, FESTIVOS!A$1:A$55), "")</f>
        <v>-60</v>
      </c>
      <c r="J281" s="49">
        <f>IF(AND(F281&lt;&gt;"", H281&lt;&gt;""), WORKDAY(F281, H281, FESTIVOS!A$1:A$55), "")</f>
        <v>46094</v>
      </c>
      <c r="K281" s="50" t="s">
        <v>656</v>
      </c>
      <c r="L281" s="50">
        <f t="shared" ca="1" si="13"/>
        <v>0</v>
      </c>
      <c r="M281" s="50" t="str">
        <f t="shared" ca="1" si="14"/>
        <v>Vencido</v>
      </c>
      <c r="N281" s="60" t="s">
        <v>723</v>
      </c>
      <c r="O281" s="61">
        <v>46094</v>
      </c>
      <c r="P281" s="35"/>
    </row>
    <row r="282" spans="1:16" ht="15.75" x14ac:dyDescent="0.25">
      <c r="A282" s="10" t="s">
        <v>18</v>
      </c>
      <c r="B282" s="18" t="s">
        <v>409</v>
      </c>
      <c r="C282" s="18" t="s">
        <v>67</v>
      </c>
      <c r="D282" s="18" t="s">
        <v>410</v>
      </c>
      <c r="E282" s="16">
        <v>281</v>
      </c>
      <c r="F282" s="17">
        <v>46076</v>
      </c>
      <c r="G282" s="10" t="s">
        <v>614</v>
      </c>
      <c r="H282" s="10">
        <f t="shared" si="12"/>
        <v>15</v>
      </c>
      <c r="I282" s="10">
        <f ca="1">IF(AND(F282&lt;&gt;"", J282&lt;&gt;""), NETWORKDAYS(TODAY(), J282-1, FESTIVOS!A$1:A$55), "")</f>
        <v>-58</v>
      </c>
      <c r="J282" s="47">
        <f>IF(AND(F282&lt;&gt;"", H282&lt;&gt;""), WORKDAY(F282, H282, FESTIVOS!A$1:A$55), "")</f>
        <v>46097</v>
      </c>
      <c r="K282" s="48" t="s">
        <v>656</v>
      </c>
      <c r="L282" s="48">
        <f t="shared" ca="1" si="13"/>
        <v>0</v>
      </c>
      <c r="M282" s="48" t="str">
        <f t="shared" ca="1" si="14"/>
        <v>Vencido</v>
      </c>
      <c r="N282" s="63" t="s">
        <v>724</v>
      </c>
      <c r="O282" s="64">
        <v>46080</v>
      </c>
      <c r="P282" s="35"/>
    </row>
    <row r="283" spans="1:16" ht="15.75" x14ac:dyDescent="0.25">
      <c r="A283" s="10" t="s">
        <v>18</v>
      </c>
      <c r="B283" s="18" t="s">
        <v>315</v>
      </c>
      <c r="C283" s="18" t="s">
        <v>67</v>
      </c>
      <c r="D283" s="18" t="s">
        <v>24</v>
      </c>
      <c r="E283" s="16">
        <v>282</v>
      </c>
      <c r="F283" s="17">
        <v>46076</v>
      </c>
      <c r="G283" s="10" t="s">
        <v>615</v>
      </c>
      <c r="H283" s="10">
        <f t="shared" si="12"/>
        <v>15</v>
      </c>
      <c r="I283" s="10">
        <f ca="1">IF(AND(F283&lt;&gt;"", J283&lt;&gt;""), NETWORKDAYS(TODAY(), J283-1, FESTIVOS!A$1:A$55), "")</f>
        <v>-58</v>
      </c>
      <c r="J283" s="49">
        <f>IF(AND(F283&lt;&gt;"", H283&lt;&gt;""), WORKDAY(F283, H283, FESTIVOS!A$1:A$55), "")</f>
        <v>46097</v>
      </c>
      <c r="K283" s="50" t="s">
        <v>656</v>
      </c>
      <c r="L283" s="50">
        <f t="shared" ca="1" si="13"/>
        <v>0</v>
      </c>
      <c r="M283" s="50" t="str">
        <f t="shared" ca="1" si="14"/>
        <v>Vencido</v>
      </c>
      <c r="N283" s="60" t="s">
        <v>635</v>
      </c>
      <c r="O283" s="61">
        <v>46086</v>
      </c>
      <c r="P283" s="35"/>
    </row>
    <row r="284" spans="1:16" ht="15.75" x14ac:dyDescent="0.25">
      <c r="A284" s="10" t="s">
        <v>18</v>
      </c>
      <c r="B284" s="18" t="s">
        <v>411</v>
      </c>
      <c r="C284" s="18" t="s">
        <v>67</v>
      </c>
      <c r="D284" s="18" t="s">
        <v>21</v>
      </c>
      <c r="E284" s="16">
        <v>283</v>
      </c>
      <c r="F284" s="17">
        <v>46076</v>
      </c>
      <c r="G284" s="10" t="s">
        <v>615</v>
      </c>
      <c r="H284" s="10">
        <f t="shared" si="12"/>
        <v>15</v>
      </c>
      <c r="I284" s="10">
        <f ca="1">IF(AND(F284&lt;&gt;"", J284&lt;&gt;""), NETWORKDAYS(TODAY(), J284-1, FESTIVOS!A$1:A$55), "")</f>
        <v>-58</v>
      </c>
      <c r="J284" s="49">
        <f>IF(AND(F284&lt;&gt;"", H284&lt;&gt;""), WORKDAY(F284, H284, FESTIVOS!A$1:A$55), "")</f>
        <v>46097</v>
      </c>
      <c r="K284" s="50" t="s">
        <v>656</v>
      </c>
      <c r="L284" s="50">
        <f t="shared" ca="1" si="13"/>
        <v>0</v>
      </c>
      <c r="M284" s="50" t="str">
        <f t="shared" ca="1" si="14"/>
        <v>Vencido</v>
      </c>
      <c r="N284" s="60" t="s">
        <v>725</v>
      </c>
      <c r="O284" s="61">
        <v>46079</v>
      </c>
      <c r="P284" s="35">
        <f>IF(OR(O284="", J284=""), "", NETWORKDAYS(J284, O284, FESTIVOS!A283:A337))</f>
        <v>-13</v>
      </c>
    </row>
    <row r="285" spans="1:16" ht="31.5" x14ac:dyDescent="0.25">
      <c r="A285" s="10" t="s">
        <v>18</v>
      </c>
      <c r="B285" s="18" t="s">
        <v>412</v>
      </c>
      <c r="C285" s="18" t="s">
        <v>67</v>
      </c>
      <c r="D285" s="18" t="s">
        <v>413</v>
      </c>
      <c r="E285" s="16">
        <v>284</v>
      </c>
      <c r="F285" s="17">
        <v>46076</v>
      </c>
      <c r="G285" s="10" t="s">
        <v>617</v>
      </c>
      <c r="H285" s="10">
        <f t="shared" si="12"/>
        <v>15</v>
      </c>
      <c r="I285" s="10">
        <f ca="1">IF(AND(F285&lt;&gt;"", J285&lt;&gt;""), NETWORKDAYS(TODAY(), J285-1, FESTIVOS!A$1:A$55), "")</f>
        <v>-58</v>
      </c>
      <c r="J285" s="66">
        <f>IF(AND(F285&lt;&gt;"", H285&lt;&gt;""), WORKDAY(F285, H285, FESTIVOS!A$1:A$55), "")</f>
        <v>46097</v>
      </c>
      <c r="K285" s="67" t="s">
        <v>656</v>
      </c>
      <c r="L285" s="67">
        <f t="shared" ca="1" si="13"/>
        <v>0</v>
      </c>
      <c r="M285" s="67" t="str">
        <f t="shared" ca="1" si="14"/>
        <v>Vencido</v>
      </c>
      <c r="N285" s="68" t="s">
        <v>652</v>
      </c>
      <c r="O285" s="66"/>
      <c r="P285" s="35" t="str">
        <f>IF(OR(O285="", J285=""), "", NETWORKDAYS(J285, O285, FESTIVOS!A284:A338))</f>
        <v/>
      </c>
    </row>
    <row r="286" spans="1:16" ht="15.75" x14ac:dyDescent="0.25">
      <c r="A286" s="10" t="s">
        <v>18</v>
      </c>
      <c r="B286" s="18" t="s">
        <v>414</v>
      </c>
      <c r="C286" s="18" t="s">
        <v>67</v>
      </c>
      <c r="D286" s="18" t="s">
        <v>415</v>
      </c>
      <c r="E286" s="16">
        <v>285</v>
      </c>
      <c r="F286" s="17">
        <v>46076</v>
      </c>
      <c r="G286" s="10" t="s">
        <v>614</v>
      </c>
      <c r="H286" s="10">
        <f t="shared" si="12"/>
        <v>15</v>
      </c>
      <c r="I286" s="10">
        <f ca="1">IF(AND(F286&lt;&gt;"", J286&lt;&gt;""), NETWORKDAYS(TODAY(), J286-1, FESTIVOS!A$1:A$55), "")</f>
        <v>-58</v>
      </c>
      <c r="J286" s="47">
        <f>IF(AND(F286&lt;&gt;"", H286&lt;&gt;""), WORKDAY(F286, H286, FESTIVOS!A$1:A$55), "")</f>
        <v>46097</v>
      </c>
      <c r="K286" s="48" t="s">
        <v>656</v>
      </c>
      <c r="L286" s="48">
        <f t="shared" ca="1" si="13"/>
        <v>0</v>
      </c>
      <c r="M286" s="48" t="str">
        <f t="shared" ca="1" si="14"/>
        <v>Vencido</v>
      </c>
      <c r="N286" s="48" t="s">
        <v>654</v>
      </c>
      <c r="O286" s="47">
        <v>46094</v>
      </c>
      <c r="P286" s="35">
        <f>IF(OR(O286="", J286=""), "", NETWORKDAYS(J286, O286, FESTIVOS!A285:A339))</f>
        <v>-2</v>
      </c>
    </row>
    <row r="287" spans="1:16" ht="15.75" x14ac:dyDescent="0.25">
      <c r="A287" s="10" t="s">
        <v>18</v>
      </c>
      <c r="B287" s="18" t="s">
        <v>416</v>
      </c>
      <c r="C287" s="18" t="s">
        <v>67</v>
      </c>
      <c r="D287" s="18" t="s">
        <v>417</v>
      </c>
      <c r="E287" s="16">
        <v>286</v>
      </c>
      <c r="F287" s="17">
        <v>46076</v>
      </c>
      <c r="G287" s="10"/>
      <c r="H287" s="10">
        <f t="shared" si="12"/>
        <v>15</v>
      </c>
      <c r="I287" s="10">
        <f ca="1">IF(AND(F287&lt;&gt;"", J287&lt;&gt;""), NETWORKDAYS(TODAY(), J287-1, FESTIVOS!A$1:A$55), "")</f>
        <v>-58</v>
      </c>
      <c r="J287" s="47">
        <f>IF(AND(F287&lt;&gt;"", H287&lt;&gt;""), WORKDAY(F287, H287, FESTIVOS!A$1:A$55), "")</f>
        <v>46097</v>
      </c>
      <c r="K287" s="48" t="s">
        <v>656</v>
      </c>
      <c r="L287" s="48">
        <f t="shared" ca="1" si="13"/>
        <v>0</v>
      </c>
      <c r="M287" s="48" t="str">
        <f t="shared" ca="1" si="14"/>
        <v>Vencido</v>
      </c>
      <c r="N287" s="48" t="s">
        <v>653</v>
      </c>
      <c r="O287" s="47">
        <v>46079</v>
      </c>
      <c r="P287" s="35">
        <f>IF(OR(O287="", J287=""), "", NETWORKDAYS(J287, O287, FESTIVOS!A286:A340))</f>
        <v>-13</v>
      </c>
    </row>
    <row r="288" spans="1:16" ht="47.25" x14ac:dyDescent="0.25">
      <c r="A288" s="10" t="s">
        <v>18</v>
      </c>
      <c r="B288" s="18" t="s">
        <v>418</v>
      </c>
      <c r="C288" s="18" t="s">
        <v>67</v>
      </c>
      <c r="D288" s="18" t="s">
        <v>419</v>
      </c>
      <c r="E288" s="16">
        <v>287</v>
      </c>
      <c r="F288" s="17">
        <v>46076</v>
      </c>
      <c r="G288" s="10" t="s">
        <v>617</v>
      </c>
      <c r="H288" s="10">
        <f t="shared" si="12"/>
        <v>15</v>
      </c>
      <c r="I288" s="10">
        <f ca="1">IF(AND(F288&lt;&gt;"", J288&lt;&gt;""), NETWORKDAYS(TODAY(), J288-1, FESTIVOS!A$1:A$55), "")</f>
        <v>-58</v>
      </c>
      <c r="J288" s="49">
        <f>IF(AND(F288&lt;&gt;"", H288&lt;&gt;""), WORKDAY(F288, H288, FESTIVOS!A$1:A$55), "")</f>
        <v>46097</v>
      </c>
      <c r="K288" s="50" t="s">
        <v>656</v>
      </c>
      <c r="L288" s="50">
        <f t="shared" ca="1" si="13"/>
        <v>0</v>
      </c>
      <c r="M288" s="50"/>
      <c r="N288" s="51" t="s">
        <v>652</v>
      </c>
      <c r="O288" s="49"/>
      <c r="P288" s="35" t="str">
        <f>IF(OR(O288="", J288=""), "", NETWORKDAYS(J288, O288, FESTIVOS!A287:A341))</f>
        <v/>
      </c>
    </row>
    <row r="289" spans="1:16" ht="31.5" x14ac:dyDescent="0.25">
      <c r="A289" s="10" t="s">
        <v>18</v>
      </c>
      <c r="B289" s="18" t="s">
        <v>301</v>
      </c>
      <c r="C289" s="18" t="s">
        <v>88</v>
      </c>
      <c r="D289" s="18" t="s">
        <v>420</v>
      </c>
      <c r="E289" s="16">
        <v>288</v>
      </c>
      <c r="F289" s="17">
        <v>46076</v>
      </c>
      <c r="G289" s="10" t="s">
        <v>615</v>
      </c>
      <c r="H289" s="10">
        <f t="shared" si="12"/>
        <v>15</v>
      </c>
      <c r="I289" s="10">
        <f ca="1">IF(AND(F289&lt;&gt;"", J289&lt;&gt;""), NETWORKDAYS(TODAY(), J289-1, FESTIVOS!A$1:A$55), "")</f>
        <v>-58</v>
      </c>
      <c r="J289" s="49">
        <f>IF(AND(F289&lt;&gt;"", H289&lt;&gt;""), WORKDAY(F289, H289, FESTIVOS!A$1:A$55), "")</f>
        <v>46097</v>
      </c>
      <c r="K289" s="50" t="s">
        <v>656</v>
      </c>
      <c r="L289" s="50">
        <f t="shared" ca="1" si="13"/>
        <v>0</v>
      </c>
      <c r="M289" s="50" t="str">
        <f t="shared" ca="1" si="14"/>
        <v>Vencido</v>
      </c>
      <c r="N289" s="50" t="s">
        <v>651</v>
      </c>
      <c r="O289" s="49">
        <v>46084</v>
      </c>
      <c r="P289" s="35">
        <f>IF(OR(O289="", J289=""), "", NETWORKDAYS(J289, O289, FESTIVOS!A288:A342))</f>
        <v>-10</v>
      </c>
    </row>
    <row r="290" spans="1:16" ht="78.75" x14ac:dyDescent="0.25">
      <c r="A290" s="10" t="s">
        <v>18</v>
      </c>
      <c r="B290" s="18" t="s">
        <v>376</v>
      </c>
      <c r="C290" s="18" t="s">
        <v>88</v>
      </c>
      <c r="D290" s="18" t="s">
        <v>421</v>
      </c>
      <c r="E290" s="16">
        <v>289</v>
      </c>
      <c r="F290" s="17">
        <v>46076</v>
      </c>
      <c r="G290" s="10" t="s">
        <v>615</v>
      </c>
      <c r="H290" s="10">
        <f t="shared" si="12"/>
        <v>15</v>
      </c>
      <c r="I290" s="10">
        <f ca="1">IF(AND(F290&lt;&gt;"", J290&lt;&gt;""), NETWORKDAYS(TODAY(), J290-1, FESTIVOS!A$1:A$55), "")</f>
        <v>-58</v>
      </c>
      <c r="J290" s="49">
        <f>IF(AND(F290&lt;&gt;"", H290&lt;&gt;""), WORKDAY(F290, H290, FESTIVOS!A$1:A$55), "")</f>
        <v>46097</v>
      </c>
      <c r="K290" s="50" t="s">
        <v>656</v>
      </c>
      <c r="L290" s="50">
        <f t="shared" ca="1" si="13"/>
        <v>0</v>
      </c>
      <c r="M290" s="50" t="str">
        <f t="shared" ca="1" si="14"/>
        <v>Vencido</v>
      </c>
      <c r="N290" s="50" t="s">
        <v>650</v>
      </c>
      <c r="O290" s="49">
        <v>46097</v>
      </c>
      <c r="P290" s="35">
        <f>IF(OR(O290="", J290=""), "", NETWORKDAYS(J290, O290, FESTIVOS!A289:A343))</f>
        <v>1</v>
      </c>
    </row>
    <row r="291" spans="1:16" ht="15.75" x14ac:dyDescent="0.25">
      <c r="A291" s="10" t="s">
        <v>18</v>
      </c>
      <c r="B291" s="18" t="s">
        <v>422</v>
      </c>
      <c r="C291" s="18" t="s">
        <v>67</v>
      </c>
      <c r="D291" s="18" t="s">
        <v>30</v>
      </c>
      <c r="E291" s="16">
        <v>290</v>
      </c>
      <c r="F291" s="17">
        <v>46076</v>
      </c>
      <c r="G291" s="10" t="s">
        <v>615</v>
      </c>
      <c r="H291" s="10">
        <f t="shared" si="12"/>
        <v>15</v>
      </c>
      <c r="I291" s="10">
        <f ca="1">IF(AND(F291&lt;&gt;"", J291&lt;&gt;""), NETWORKDAYS(TODAY(), J291-1, FESTIVOS!A$1:A$55), "")</f>
        <v>-58</v>
      </c>
      <c r="J291" s="49">
        <f>IF(AND(F291&lt;&gt;"", H291&lt;&gt;""), WORKDAY(F291, H291, FESTIVOS!A$1:A$55), "")</f>
        <v>46097</v>
      </c>
      <c r="K291" s="50" t="s">
        <v>656</v>
      </c>
      <c r="L291" s="50">
        <f t="shared" ca="1" si="13"/>
        <v>0</v>
      </c>
      <c r="M291" s="50" t="str">
        <f t="shared" ca="1" si="14"/>
        <v>Vencido</v>
      </c>
      <c r="N291" s="58" t="s">
        <v>649</v>
      </c>
      <c r="O291" s="49">
        <v>46085</v>
      </c>
      <c r="P291" s="35">
        <f>IF(OR(O291="", J291=""), "", NETWORKDAYS(J291, O291, FESTIVOS!A290:A344))</f>
        <v>-9</v>
      </c>
    </row>
    <row r="292" spans="1:16" ht="47.25" x14ac:dyDescent="0.25">
      <c r="A292" s="10" t="s">
        <v>18</v>
      </c>
      <c r="B292" s="18" t="s">
        <v>423</v>
      </c>
      <c r="C292" s="18" t="s">
        <v>67</v>
      </c>
      <c r="D292" s="18" t="s">
        <v>424</v>
      </c>
      <c r="E292" s="16">
        <v>291</v>
      </c>
      <c r="F292" s="17">
        <v>46077</v>
      </c>
      <c r="G292" s="10" t="s">
        <v>615</v>
      </c>
      <c r="H292" s="10">
        <f t="shared" si="12"/>
        <v>15</v>
      </c>
      <c r="I292" s="10">
        <f ca="1">IF(AND(F292&lt;&gt;"", J292&lt;&gt;""), NETWORKDAYS(TODAY(), J292-1, FESTIVOS!A$1:A$55), "")</f>
        <v>-58</v>
      </c>
      <c r="J292" s="49">
        <f>IF(AND(F292&lt;&gt;"", H292&lt;&gt;""), WORKDAY(F292, H292, FESTIVOS!A$1:A$55), "")</f>
        <v>46098</v>
      </c>
      <c r="K292" s="50" t="s">
        <v>656</v>
      </c>
      <c r="L292" s="50">
        <f t="shared" ca="1" si="13"/>
        <v>0</v>
      </c>
      <c r="M292" s="50" t="str">
        <f t="shared" ca="1" si="14"/>
        <v>Vencido</v>
      </c>
      <c r="N292" s="58" t="s">
        <v>648</v>
      </c>
      <c r="O292" s="49">
        <v>46079</v>
      </c>
      <c r="P292" s="35">
        <f>IF(OR(O292="", J292=""), "", NETWORKDAYS(J292, O292, FESTIVOS!A291:A345))</f>
        <v>-14</v>
      </c>
    </row>
    <row r="293" spans="1:16" ht="31.5" x14ac:dyDescent="0.25">
      <c r="A293" s="10" t="s">
        <v>18</v>
      </c>
      <c r="B293" s="18" t="s">
        <v>62</v>
      </c>
      <c r="C293" s="18" t="s">
        <v>88</v>
      </c>
      <c r="D293" s="18" t="s">
        <v>168</v>
      </c>
      <c r="E293" s="16">
        <v>292</v>
      </c>
      <c r="F293" s="17">
        <v>46077</v>
      </c>
      <c r="G293" s="10" t="s">
        <v>615</v>
      </c>
      <c r="H293" s="10">
        <f t="shared" si="12"/>
        <v>15</v>
      </c>
      <c r="I293" s="10">
        <f ca="1">IF(AND(F293&lt;&gt;"", J293&lt;&gt;""), NETWORKDAYS(TODAY(), J293-1, FESTIVOS!A$1:A$55), "")</f>
        <v>-58</v>
      </c>
      <c r="J293" s="49">
        <f>IF(AND(F293&lt;&gt;"", H293&lt;&gt;""), WORKDAY(F293, H293, FESTIVOS!A$1:A$55), "")</f>
        <v>46098</v>
      </c>
      <c r="K293" s="50" t="s">
        <v>656</v>
      </c>
      <c r="L293" s="50">
        <f t="shared" ca="1" si="13"/>
        <v>0</v>
      </c>
      <c r="M293" s="50" t="str">
        <f t="shared" ca="1" si="14"/>
        <v>Vencido</v>
      </c>
      <c r="N293" s="58" t="s">
        <v>647</v>
      </c>
      <c r="O293" s="49">
        <v>46094</v>
      </c>
      <c r="P293" s="35">
        <f>IF(OR(O293="", J293=""), "", NETWORKDAYS(J293, O293, FESTIVOS!A292:A346))</f>
        <v>-3</v>
      </c>
    </row>
    <row r="294" spans="1:16" ht="47.25" x14ac:dyDescent="0.25">
      <c r="A294" s="10" t="s">
        <v>18</v>
      </c>
      <c r="B294" s="18" t="s">
        <v>425</v>
      </c>
      <c r="C294" s="18" t="s">
        <v>67</v>
      </c>
      <c r="D294" s="18" t="s">
        <v>426</v>
      </c>
      <c r="E294" s="16">
        <v>293</v>
      </c>
      <c r="F294" s="17">
        <v>46077</v>
      </c>
      <c r="G294" s="10" t="s">
        <v>615</v>
      </c>
      <c r="H294" s="10">
        <f t="shared" si="12"/>
        <v>15</v>
      </c>
      <c r="I294" s="10">
        <f ca="1">IF(AND(F294&lt;&gt;"", J294&lt;&gt;""), NETWORKDAYS(TODAY(), J294-1, FESTIVOS!A$1:A$55), "")</f>
        <v>-58</v>
      </c>
      <c r="J294" s="49">
        <f>IF(AND(F294&lt;&gt;"", H294&lt;&gt;""), WORKDAY(F294, H294, FESTIVOS!A$1:A$55), "")</f>
        <v>46098</v>
      </c>
      <c r="K294" s="50" t="s">
        <v>656</v>
      </c>
      <c r="L294" s="50">
        <f t="shared" ca="1" si="13"/>
        <v>0</v>
      </c>
      <c r="M294" s="50" t="str">
        <f t="shared" ca="1" si="14"/>
        <v>Vencido</v>
      </c>
      <c r="N294" s="59" t="s">
        <v>645</v>
      </c>
      <c r="O294" s="49">
        <v>46098</v>
      </c>
      <c r="P294" s="35">
        <f>IF(OR(O294="", J294=""), "", NETWORKDAYS(J294, O294, FESTIVOS!A293:A347))</f>
        <v>1</v>
      </c>
    </row>
    <row r="295" spans="1:16" ht="63" x14ac:dyDescent="0.25">
      <c r="A295" s="10" t="s">
        <v>18</v>
      </c>
      <c r="B295" s="18" t="s">
        <v>427</v>
      </c>
      <c r="C295" s="18" t="s">
        <v>67</v>
      </c>
      <c r="D295" s="18" t="s">
        <v>428</v>
      </c>
      <c r="E295" s="16">
        <v>294</v>
      </c>
      <c r="F295" s="17">
        <v>46077</v>
      </c>
      <c r="G295" s="10" t="s">
        <v>615</v>
      </c>
      <c r="H295" s="10">
        <f t="shared" si="12"/>
        <v>15</v>
      </c>
      <c r="I295" s="10">
        <f ca="1">IF(AND(F295&lt;&gt;"", J295&lt;&gt;""), NETWORKDAYS(TODAY(), J295-1, FESTIVOS!A$1:A$55), "")</f>
        <v>-58</v>
      </c>
      <c r="J295" s="49">
        <f>IF(AND(F295&lt;&gt;"", H295&lt;&gt;""), WORKDAY(F295, H295, FESTIVOS!A$1:A$55), "")</f>
        <v>46098</v>
      </c>
      <c r="K295" s="50" t="s">
        <v>656</v>
      </c>
      <c r="L295" s="50">
        <f t="shared" ca="1" si="13"/>
        <v>0</v>
      </c>
      <c r="M295" s="50" t="str">
        <f t="shared" ca="1" si="14"/>
        <v>Vencido</v>
      </c>
      <c r="N295" s="50" t="s">
        <v>636</v>
      </c>
      <c r="O295" s="49">
        <v>46097</v>
      </c>
      <c r="P295" s="35">
        <f>IF(OR(O295="", J295=""), "", NETWORKDAYS(J295, O295, FESTIVOS!A294:A348))</f>
        <v>-2</v>
      </c>
    </row>
    <row r="296" spans="1:16" ht="15.75" x14ac:dyDescent="0.25">
      <c r="A296" s="10" t="s">
        <v>18</v>
      </c>
      <c r="B296" s="18" t="s">
        <v>315</v>
      </c>
      <c r="C296" s="18" t="s">
        <v>67</v>
      </c>
      <c r="D296" s="18" t="s">
        <v>24</v>
      </c>
      <c r="E296" s="16">
        <v>295</v>
      </c>
      <c r="F296" s="17">
        <v>46078</v>
      </c>
      <c r="G296" s="10" t="s">
        <v>615</v>
      </c>
      <c r="H296" s="10">
        <f t="shared" si="12"/>
        <v>15</v>
      </c>
      <c r="I296" s="10">
        <f ca="1">IF(AND(F296&lt;&gt;"", J296&lt;&gt;""), NETWORKDAYS(TODAY(), J296-1, FESTIVOS!A$1:A$55), "")</f>
        <v>-57</v>
      </c>
      <c r="J296" s="49">
        <f>IF(AND(F296&lt;&gt;"", H296&lt;&gt;""), WORKDAY(F296, H296, FESTIVOS!A$1:A$55), "")</f>
        <v>46099</v>
      </c>
      <c r="K296" s="50" t="s">
        <v>656</v>
      </c>
      <c r="L296" s="50">
        <f t="shared" ca="1" si="13"/>
        <v>0</v>
      </c>
      <c r="M296" s="50" t="str">
        <f t="shared" ca="1" si="14"/>
        <v>Vencido</v>
      </c>
      <c r="N296" s="50" t="s">
        <v>635</v>
      </c>
      <c r="O296" s="49">
        <v>46086</v>
      </c>
      <c r="P296" s="35">
        <f>IF(OR(O296="", J296=""), "", NETWORKDAYS(J296, O296, FESTIVOS!A295:A349))</f>
        <v>-10</v>
      </c>
    </row>
    <row r="297" spans="1:16" ht="47.25" x14ac:dyDescent="0.25">
      <c r="A297" s="10" t="s">
        <v>18</v>
      </c>
      <c r="B297" s="18" t="s">
        <v>429</v>
      </c>
      <c r="C297" s="18" t="s">
        <v>65</v>
      </c>
      <c r="D297" s="18" t="s">
        <v>430</v>
      </c>
      <c r="E297" s="16">
        <v>296</v>
      </c>
      <c r="F297" s="17">
        <v>46078</v>
      </c>
      <c r="G297" s="10" t="s">
        <v>646</v>
      </c>
      <c r="H297" s="10">
        <f t="shared" si="12"/>
        <v>15</v>
      </c>
      <c r="I297" s="10">
        <f ca="1">IF(AND(F297&lt;&gt;"", J297&lt;&gt;""), NETWORKDAYS(TODAY(), J297-1, FESTIVOS!A$1:A$55), "")</f>
        <v>-57</v>
      </c>
      <c r="J297" s="49">
        <f>IF(AND(F297&lt;&gt;"", H297&lt;&gt;""), WORKDAY(F297, H297, FESTIVOS!A$1:A$55), "")</f>
        <v>46099</v>
      </c>
      <c r="K297" s="50" t="s">
        <v>656</v>
      </c>
      <c r="L297" s="50">
        <f t="shared" ca="1" si="13"/>
        <v>0</v>
      </c>
      <c r="M297" s="50" t="str">
        <f t="shared" ca="1" si="14"/>
        <v>Vencido</v>
      </c>
      <c r="N297" s="50" t="s">
        <v>606</v>
      </c>
      <c r="O297" s="49">
        <v>46036</v>
      </c>
      <c r="P297" s="35">
        <f>IF(OR(O297="", J297=""), "", NETWORKDAYS(J297, O297, FESTIVOS!A296:A350))</f>
        <v>-46</v>
      </c>
    </row>
    <row r="298" spans="1:16" ht="31.5" x14ac:dyDescent="0.25">
      <c r="A298" s="10" t="s">
        <v>18</v>
      </c>
      <c r="B298" s="18" t="s">
        <v>331</v>
      </c>
      <c r="C298" s="18" t="s">
        <v>88</v>
      </c>
      <c r="D298" s="18" t="s">
        <v>431</v>
      </c>
      <c r="E298" s="16">
        <v>297</v>
      </c>
      <c r="F298" s="17">
        <v>46078</v>
      </c>
      <c r="G298" s="10" t="s">
        <v>614</v>
      </c>
      <c r="H298" s="10">
        <f t="shared" si="12"/>
        <v>15</v>
      </c>
      <c r="I298" s="10">
        <f ca="1">IF(AND(F298&lt;&gt;"", J298&lt;&gt;""), NETWORKDAYS(TODAY(), J298-1, FESTIVOS!A$1:A$55), "")</f>
        <v>-57</v>
      </c>
      <c r="J298" s="47">
        <f>IF(AND(F298&lt;&gt;"", H298&lt;&gt;""), WORKDAY(F298, H298, FESTIVOS!A$1:A$55), "")</f>
        <v>46099</v>
      </c>
      <c r="K298" s="48" t="s">
        <v>656</v>
      </c>
      <c r="L298" s="48">
        <f t="shared" ca="1" si="13"/>
        <v>0</v>
      </c>
      <c r="M298" s="48" t="str">
        <f t="shared" ca="1" si="14"/>
        <v>Vencido</v>
      </c>
      <c r="N298" s="48" t="s">
        <v>634</v>
      </c>
      <c r="O298" s="47">
        <v>46084</v>
      </c>
      <c r="P298" s="35">
        <f>IF(OR(O298="", J298=""), "", NETWORKDAYS(J298, O298, FESTIVOS!A297:A351))</f>
        <v>-12</v>
      </c>
    </row>
    <row r="299" spans="1:16" ht="28.15" customHeight="1" x14ac:dyDescent="0.25">
      <c r="A299" s="10" t="s">
        <v>18</v>
      </c>
      <c r="B299" s="18" t="s">
        <v>313</v>
      </c>
      <c r="C299" s="18" t="s">
        <v>67</v>
      </c>
      <c r="D299" s="18" t="s">
        <v>432</v>
      </c>
      <c r="E299" s="16">
        <v>298</v>
      </c>
      <c r="F299" s="17">
        <v>46078</v>
      </c>
      <c r="G299" s="10" t="s">
        <v>615</v>
      </c>
      <c r="H299" s="10">
        <f t="shared" si="12"/>
        <v>15</v>
      </c>
      <c r="I299" s="10">
        <f ca="1">IF(AND(F299&lt;&gt;"", J299&lt;&gt;""), NETWORKDAYS(TODAY(), J299-1, FESTIVOS!A$1:A$55), "")</f>
        <v>-57</v>
      </c>
      <c r="J299" s="55">
        <f>IF(AND(F299&lt;&gt;"", H299&lt;&gt;""), WORKDAY(F299, H299, FESTIVOS!A$1:A$55), "")</f>
        <v>46099</v>
      </c>
      <c r="K299" s="51" t="s">
        <v>656</v>
      </c>
      <c r="L299" s="51">
        <f t="shared" ca="1" si="13"/>
        <v>0</v>
      </c>
      <c r="M299" s="51" t="str">
        <f t="shared" ca="1" si="14"/>
        <v>Vencido</v>
      </c>
      <c r="N299" s="51" t="s">
        <v>652</v>
      </c>
      <c r="O299" s="55"/>
      <c r="P299" s="35"/>
    </row>
    <row r="300" spans="1:16" ht="31.5" x14ac:dyDescent="0.25">
      <c r="A300" s="10" t="s">
        <v>18</v>
      </c>
      <c r="B300" s="18" t="s">
        <v>433</v>
      </c>
      <c r="C300" s="18" t="s">
        <v>67</v>
      </c>
      <c r="D300" s="18" t="s">
        <v>434</v>
      </c>
      <c r="E300" s="16">
        <v>299</v>
      </c>
      <c r="F300" s="17">
        <v>46078</v>
      </c>
      <c r="G300" s="10" t="s">
        <v>615</v>
      </c>
      <c r="H300" s="10">
        <f t="shared" ref="H300:H309" si="15">IF(A300="INFORMACIÓN O DOCUMENTOS", 10, IF(A300="CONSULTA", 30, IF(A300="FACTURACIÓN Y COBROS", 15, IF(A300="VINCULACIÓN Y DESVINCULACIÓN", 15, IF(A300="NO ES DE NUESTRA COMPETENCIA", 5, IF(A300="OTRO", 15, ""))))))</f>
        <v>15</v>
      </c>
      <c r="I300" s="10">
        <f ca="1">IF(AND(F300&lt;&gt;"", J300&lt;&gt;""), NETWORKDAYS(TODAY(), J300-1, FESTIVOS!A$1:A$55), "")</f>
        <v>-57</v>
      </c>
      <c r="J300" s="49">
        <f>IF(AND(F300&lt;&gt;"", H300&lt;&gt;""), WORKDAY(F300, H300, FESTIVOS!A$1:A$55), "")</f>
        <v>46099</v>
      </c>
      <c r="K300" s="50" t="s">
        <v>656</v>
      </c>
      <c r="L300" s="50">
        <f t="shared" ca="1" si="13"/>
        <v>0</v>
      </c>
      <c r="M300" s="50" t="str">
        <f t="shared" ca="1" si="14"/>
        <v>Vencido</v>
      </c>
      <c r="N300" s="50" t="s">
        <v>713</v>
      </c>
      <c r="O300" s="49">
        <v>46105</v>
      </c>
      <c r="P300" s="35">
        <f>IF(OR(O300="", J300=""), "", NETWORKDAYS(J300, O300, FESTIVOS!A299:A353))</f>
        <v>5</v>
      </c>
    </row>
    <row r="301" spans="1:16" ht="15.75" x14ac:dyDescent="0.25">
      <c r="A301" s="10" t="s">
        <v>18</v>
      </c>
      <c r="B301" s="18" t="s">
        <v>435</v>
      </c>
      <c r="C301" s="18" t="s">
        <v>67</v>
      </c>
      <c r="D301" s="18" t="s">
        <v>392</v>
      </c>
      <c r="E301" s="16">
        <v>300</v>
      </c>
      <c r="F301" s="17">
        <v>46078</v>
      </c>
      <c r="G301" s="10" t="s">
        <v>615</v>
      </c>
      <c r="H301" s="10">
        <f t="shared" si="15"/>
        <v>15</v>
      </c>
      <c r="I301" s="10">
        <f ca="1">IF(AND(F301&lt;&gt;"", J301&lt;&gt;""), NETWORKDAYS(TODAY(), J301-1, FESTIVOS!A$1:A$55), "")</f>
        <v>-57</v>
      </c>
      <c r="J301" s="49">
        <f>IF(AND(F301&lt;&gt;"", H301&lt;&gt;""), WORKDAY(F301, H301, FESTIVOS!A$1:A$55), "")</f>
        <v>46099</v>
      </c>
      <c r="K301" s="50" t="s">
        <v>656</v>
      </c>
      <c r="L301" s="50">
        <f t="shared" ca="1" si="13"/>
        <v>0</v>
      </c>
      <c r="M301" s="50" t="str">
        <f t="shared" ca="1" si="14"/>
        <v>Vencido</v>
      </c>
      <c r="N301" s="50" t="s">
        <v>633</v>
      </c>
      <c r="O301" s="49">
        <v>46097</v>
      </c>
      <c r="P301" s="35">
        <f>IF(OR(O301="", J301=""), "", NETWORKDAYS(J301, O301, FESTIVOS!A300:A354))</f>
        <v>-3</v>
      </c>
    </row>
    <row r="302" spans="1:16" ht="31.5" x14ac:dyDescent="0.25">
      <c r="A302" s="10" t="s">
        <v>18</v>
      </c>
      <c r="B302" s="18" t="s">
        <v>436</v>
      </c>
      <c r="C302" s="18" t="s">
        <v>67</v>
      </c>
      <c r="D302" s="18" t="s">
        <v>437</v>
      </c>
      <c r="E302" s="16">
        <v>301</v>
      </c>
      <c r="F302" s="17">
        <v>46078</v>
      </c>
      <c r="G302" s="10" t="s">
        <v>614</v>
      </c>
      <c r="H302" s="10">
        <f t="shared" si="15"/>
        <v>15</v>
      </c>
      <c r="I302" s="10">
        <f ca="1">IF(AND(F302&lt;&gt;"", J302&lt;&gt;""), NETWORKDAYS(TODAY(), J302-1, FESTIVOS!A$1:A$55), "")</f>
        <v>-57</v>
      </c>
      <c r="J302" s="47">
        <f>IF(AND(F302&lt;&gt;"", H302&lt;&gt;""), WORKDAY(F302, H302, FESTIVOS!A$1:A$55), "")</f>
        <v>46099</v>
      </c>
      <c r="K302" s="48" t="s">
        <v>656</v>
      </c>
      <c r="L302" s="48">
        <f t="shared" ca="1" si="13"/>
        <v>0</v>
      </c>
      <c r="M302" s="48" t="str">
        <f t="shared" ca="1" si="14"/>
        <v>Vencido</v>
      </c>
      <c r="N302" s="48" t="s">
        <v>632</v>
      </c>
      <c r="O302" s="47">
        <v>46084</v>
      </c>
      <c r="P302" s="35">
        <f>IF(OR(O302="", J302=""), "", NETWORKDAYS(J302, O302, FESTIVOS!A301:A355))</f>
        <v>-12</v>
      </c>
    </row>
    <row r="303" spans="1:16" ht="15.75" x14ac:dyDescent="0.25">
      <c r="A303" s="10" t="s">
        <v>18</v>
      </c>
      <c r="B303" s="18" t="s">
        <v>438</v>
      </c>
      <c r="C303" s="18" t="s">
        <v>67</v>
      </c>
      <c r="D303" s="18" t="s">
        <v>30</v>
      </c>
      <c r="E303" s="16">
        <v>302</v>
      </c>
      <c r="F303" s="17">
        <v>46079</v>
      </c>
      <c r="G303" s="10" t="s">
        <v>615</v>
      </c>
      <c r="H303" s="10">
        <f t="shared" si="15"/>
        <v>15</v>
      </c>
      <c r="I303" s="10">
        <f ca="1">IF(AND(F303&lt;&gt;"", J303&lt;&gt;""), NETWORKDAYS(TODAY(), J303-1, FESTIVOS!A$1:A$55), "")</f>
        <v>-56</v>
      </c>
      <c r="J303" s="49">
        <f>IF(AND(F303&lt;&gt;"", H303&lt;&gt;""), WORKDAY(F303, H303, FESTIVOS!A$1:A$55), "")</f>
        <v>46100</v>
      </c>
      <c r="K303" s="50" t="s">
        <v>656</v>
      </c>
      <c r="L303" s="50">
        <f t="shared" ca="1" si="13"/>
        <v>0</v>
      </c>
      <c r="M303" s="50" t="str">
        <f t="shared" ca="1" si="14"/>
        <v>Vencido</v>
      </c>
      <c r="N303" s="50" t="s">
        <v>631</v>
      </c>
      <c r="O303" s="49">
        <v>46097</v>
      </c>
      <c r="P303" s="35">
        <f>IF(OR(O303="", J303=""), "", NETWORKDAYS(J303, O303, FESTIVOS!A302:A356))</f>
        <v>-4</v>
      </c>
    </row>
    <row r="304" spans="1:16" ht="31.5" x14ac:dyDescent="0.25">
      <c r="A304" s="10" t="s">
        <v>18</v>
      </c>
      <c r="B304" s="18" t="s">
        <v>439</v>
      </c>
      <c r="C304" s="18" t="s">
        <v>67</v>
      </c>
      <c r="D304" s="18" t="s">
        <v>278</v>
      </c>
      <c r="E304" s="16">
        <v>303</v>
      </c>
      <c r="F304" s="17">
        <v>46079</v>
      </c>
      <c r="G304" s="10" t="s">
        <v>615</v>
      </c>
      <c r="H304" s="10">
        <f t="shared" si="15"/>
        <v>15</v>
      </c>
      <c r="I304" s="10">
        <f ca="1">IF(AND(F304&lt;&gt;"", J304&lt;&gt;""), NETWORKDAYS(TODAY(), J304-1, FESTIVOS!A$1:A$55), "")</f>
        <v>-56</v>
      </c>
      <c r="J304" s="49">
        <f>IF(AND(F304&lt;&gt;"", H304&lt;&gt;""), WORKDAY(F304, H304, FESTIVOS!A$1:A$55), "")</f>
        <v>46100</v>
      </c>
      <c r="K304" s="50" t="s">
        <v>656</v>
      </c>
      <c r="L304" s="50">
        <f t="shared" ca="1" si="13"/>
        <v>0</v>
      </c>
      <c r="M304" s="50" t="str">
        <f t="shared" ca="1" si="14"/>
        <v>Vencido</v>
      </c>
      <c r="N304" s="50" t="s">
        <v>630</v>
      </c>
      <c r="O304" s="49">
        <v>46094</v>
      </c>
      <c r="P304" s="35">
        <f>IF(OR(O304="", J304=""), "", NETWORKDAYS(J304, O304, FESTIVOS!A303:A357))</f>
        <v>-5</v>
      </c>
    </row>
    <row r="305" spans="1:16" ht="47.25" x14ac:dyDescent="0.25">
      <c r="A305" s="10" t="s">
        <v>18</v>
      </c>
      <c r="B305" s="18" t="s">
        <v>440</v>
      </c>
      <c r="C305" s="18" t="s">
        <v>67</v>
      </c>
      <c r="D305" s="18" t="s">
        <v>441</v>
      </c>
      <c r="E305" s="16">
        <v>304</v>
      </c>
      <c r="F305" s="17">
        <v>46079</v>
      </c>
      <c r="G305" s="10" t="s">
        <v>615</v>
      </c>
      <c r="H305" s="10">
        <f t="shared" si="15"/>
        <v>15</v>
      </c>
      <c r="I305" s="10">
        <f ca="1">IF(AND(F305&lt;&gt;"", J305&lt;&gt;""), NETWORKDAYS(TODAY(), J305-1, FESTIVOS!A$1:A$55), "")</f>
        <v>-56</v>
      </c>
      <c r="J305" s="49">
        <f>IF(AND(F305&lt;&gt;"", H305&lt;&gt;""), WORKDAY(F305, H305, FESTIVOS!A$1:A$55), "")</f>
        <v>46100</v>
      </c>
      <c r="K305" s="50" t="s">
        <v>656</v>
      </c>
      <c r="L305" s="50">
        <f t="shared" ca="1" si="13"/>
        <v>0</v>
      </c>
      <c r="M305" s="50" t="str">
        <f t="shared" ca="1" si="14"/>
        <v>Vencido</v>
      </c>
      <c r="N305" s="50" t="s">
        <v>671</v>
      </c>
      <c r="O305" s="49">
        <v>46100</v>
      </c>
      <c r="P305" s="35">
        <f>IF(OR(O305="", J305=""), "", NETWORKDAYS(J305, O305, FESTIVOS!A304:A358))</f>
        <v>1</v>
      </c>
    </row>
    <row r="306" spans="1:16" ht="31.5" x14ac:dyDescent="0.25">
      <c r="A306" s="10" t="s">
        <v>18</v>
      </c>
      <c r="B306" s="18" t="s">
        <v>442</v>
      </c>
      <c r="C306" s="18" t="s">
        <v>67</v>
      </c>
      <c r="D306" s="18" t="s">
        <v>443</v>
      </c>
      <c r="E306" s="16">
        <v>305</v>
      </c>
      <c r="F306" s="17">
        <v>46079</v>
      </c>
      <c r="G306" s="10" t="s">
        <v>617</v>
      </c>
      <c r="H306" s="10">
        <v>10</v>
      </c>
      <c r="I306" s="10">
        <f ca="1">IF(AND(F306&lt;&gt;"", J306&lt;&gt;""), NETWORKDAYS(TODAY(), J306-1, FESTIVOS!A$1:A$55), "")</f>
        <v>-61</v>
      </c>
      <c r="J306" s="56">
        <f>IF(AND(F306&lt;&gt;"", H306&lt;&gt;""), WORKDAY(F306, H306, FESTIVOS!A$1:A$55), "")</f>
        <v>46093</v>
      </c>
      <c r="K306" s="57" t="s">
        <v>656</v>
      </c>
      <c r="L306" s="57">
        <f t="shared" ca="1" si="13"/>
        <v>0</v>
      </c>
      <c r="M306" s="57" t="str">
        <f t="shared" ca="1" si="14"/>
        <v>Vencido</v>
      </c>
      <c r="N306" s="57" t="s">
        <v>665</v>
      </c>
      <c r="O306" s="56">
        <v>46093</v>
      </c>
      <c r="P306" s="35">
        <f>IF(OR(O306="", J306=""), "", NETWORKDAYS(J306, O306, FESTIVOS!A305:A359))</f>
        <v>1</v>
      </c>
    </row>
    <row r="307" spans="1:16" ht="15.75" x14ac:dyDescent="0.25">
      <c r="A307" s="10" t="s">
        <v>18</v>
      </c>
      <c r="B307" s="16" t="s">
        <v>409</v>
      </c>
      <c r="C307" s="18" t="s">
        <v>67</v>
      </c>
      <c r="D307" s="18" t="s">
        <v>148</v>
      </c>
      <c r="E307" s="16">
        <v>306</v>
      </c>
      <c r="F307" s="17">
        <v>46079</v>
      </c>
      <c r="G307" s="10" t="s">
        <v>615</v>
      </c>
      <c r="H307" s="10">
        <f t="shared" si="15"/>
        <v>15</v>
      </c>
      <c r="I307" s="10">
        <f ca="1">IF(AND(F307&lt;&gt;"", J307&lt;&gt;""), NETWORKDAYS(TODAY(), J307-1, FESTIVOS!A$1:A$55), "")</f>
        <v>-56</v>
      </c>
      <c r="J307" s="49">
        <f>IF(AND(F307&lt;&gt;"", H307&lt;&gt;""), WORKDAY(F307, H307, FESTIVOS!A$1:A$55), "")</f>
        <v>46100</v>
      </c>
      <c r="K307" s="50" t="s">
        <v>656</v>
      </c>
      <c r="L307" s="50">
        <f t="shared" ca="1" si="13"/>
        <v>0</v>
      </c>
      <c r="M307" s="50" t="str">
        <f t="shared" ca="1" si="14"/>
        <v>Vencido</v>
      </c>
      <c r="N307" s="50" t="s">
        <v>659</v>
      </c>
      <c r="O307" s="49">
        <v>46099</v>
      </c>
      <c r="P307" s="35">
        <f>IF(OR(O307="", J307=""), "", NETWORKDAYS(J307, O307, FESTIVOS!A306:A360))</f>
        <v>-2</v>
      </c>
    </row>
    <row r="308" spans="1:16" ht="15.75" x14ac:dyDescent="0.25">
      <c r="A308" s="10" t="s">
        <v>18</v>
      </c>
      <c r="B308" s="18" t="s">
        <v>444</v>
      </c>
      <c r="C308" s="18" t="s">
        <v>67</v>
      </c>
      <c r="D308" s="18" t="s">
        <v>239</v>
      </c>
      <c r="E308" s="16">
        <v>307</v>
      </c>
      <c r="F308" s="17">
        <v>46079</v>
      </c>
      <c r="G308" s="10" t="s">
        <v>614</v>
      </c>
      <c r="H308" s="10">
        <f t="shared" si="15"/>
        <v>15</v>
      </c>
      <c r="I308" s="10">
        <f ca="1">IF(AND(F308&lt;&gt;"", J308&lt;&gt;""), NETWORKDAYS(TODAY(), J308-1, FESTIVOS!A$1:A$55), "")</f>
        <v>-56</v>
      </c>
      <c r="J308" s="47">
        <f>IF(AND(F308&lt;&gt;"", H308&lt;&gt;""), WORKDAY(F308, H308, FESTIVOS!A$1:A$55), "")</f>
        <v>46100</v>
      </c>
      <c r="K308" s="48" t="s">
        <v>656</v>
      </c>
      <c r="L308" s="48">
        <f t="shared" ca="1" si="13"/>
        <v>0</v>
      </c>
      <c r="M308" s="48" t="str">
        <f t="shared" ca="1" si="14"/>
        <v>Vencido</v>
      </c>
      <c r="N308" s="48" t="s">
        <v>629</v>
      </c>
      <c r="O308" s="47">
        <v>46084</v>
      </c>
      <c r="P308" s="35">
        <f>IF(OR(O308="", J308=""), "", NETWORKDAYS(J308, O308, FESTIVOS!A307:A361))</f>
        <v>-13</v>
      </c>
    </row>
    <row r="309" spans="1:16" ht="15.75" x14ac:dyDescent="0.25">
      <c r="A309" s="10" t="s">
        <v>18</v>
      </c>
      <c r="B309" s="18" t="s">
        <v>56</v>
      </c>
      <c r="C309" s="18" t="s">
        <v>84</v>
      </c>
      <c r="D309" s="18" t="s">
        <v>445</v>
      </c>
      <c r="E309" s="16">
        <v>308</v>
      </c>
      <c r="F309" s="17">
        <v>46079</v>
      </c>
      <c r="G309" s="10" t="s">
        <v>615</v>
      </c>
      <c r="H309" s="10">
        <f t="shared" si="15"/>
        <v>15</v>
      </c>
      <c r="I309" s="10">
        <f ca="1">IF(AND(F309&lt;&gt;"", J309&lt;&gt;""), NETWORKDAYS(TODAY(), J309-1, FESTIVOS!A$1:A$55), "")</f>
        <v>-56</v>
      </c>
      <c r="J309" s="49">
        <f>IF(AND(F309&lt;&gt;"", H309&lt;&gt;""), WORKDAY(F309, H309, FESTIVOS!A$1:A$55), "")</f>
        <v>46100</v>
      </c>
      <c r="K309" s="50" t="s">
        <v>656</v>
      </c>
      <c r="L309" s="50">
        <f t="shared" ca="1" si="13"/>
        <v>0</v>
      </c>
      <c r="M309" s="50" t="str">
        <f t="shared" ca="1" si="14"/>
        <v>Vencido</v>
      </c>
      <c r="N309" s="50" t="s">
        <v>628</v>
      </c>
      <c r="O309" s="49">
        <v>46094</v>
      </c>
      <c r="P309" s="35">
        <f>IF(OR(O309="", J309=""), "", NETWORKDAYS(J309, O309, FESTIVOS!A308:A362))</f>
        <v>-5</v>
      </c>
    </row>
    <row r="310" spans="1:16" ht="31.5" x14ac:dyDescent="0.25">
      <c r="A310" s="10" t="s">
        <v>18</v>
      </c>
      <c r="B310" s="18" t="s">
        <v>446</v>
      </c>
      <c r="C310" s="18" t="s">
        <v>67</v>
      </c>
      <c r="D310" s="18" t="s">
        <v>447</v>
      </c>
      <c r="E310" s="16">
        <v>309</v>
      </c>
      <c r="F310" s="17">
        <v>46079</v>
      </c>
      <c r="G310" s="10" t="s">
        <v>615</v>
      </c>
      <c r="H310" s="10">
        <f t="shared" ref="H310" si="16">IF(A310="INFORMACIÓN O DOCUMENTOS", 10, IF(A310="CONSULTA", 30, IF(A310="FACTURACIÓN Y COBROS", 15, IF(A310="VINCULACIÓN Y DESVINCULACIÓN", 15, IF(A310="NO ES DE NUESTRA COMPETENCIA", 5, IF(A310="OTRO", 15, ""))))))</f>
        <v>15</v>
      </c>
      <c r="I310" s="10">
        <f ca="1">IF(AND(F310&lt;&gt;"", J310&lt;&gt;""), NETWORKDAYS(TODAY(), J310-1, FESTIVOS!A$1:A$55), "")</f>
        <v>-56</v>
      </c>
      <c r="J310" s="49">
        <f>IF(AND(F310&lt;&gt;"", H310&lt;&gt;""), WORKDAY(F310, H310, FESTIVOS!A$1:A$55), "")</f>
        <v>46100</v>
      </c>
      <c r="K310" s="50" t="s">
        <v>656</v>
      </c>
      <c r="L310" s="50">
        <f t="shared" ref="L310" ca="1" si="17">IF(I310="", "", MAX(0, I310 - (TODAY() - TODAY())))</f>
        <v>0</v>
      </c>
      <c r="M310" s="50" t="str">
        <f t="shared" ref="M310" ca="1" si="18">IF(OR(I310="", H310=""), "", IF(I310&lt;0, "Vencido", IF(I310&gt;(H310/2), "Supere la mitad", "Bajo la mitad")))</f>
        <v>Vencido</v>
      </c>
      <c r="N310" s="50" t="s">
        <v>627</v>
      </c>
      <c r="O310" s="49">
        <v>46097</v>
      </c>
      <c r="P310" s="35">
        <f>IF(OR(O310="", J310=""), "", NETWORKDAYS(J310, O310, FESTIVOS!A309:A363))</f>
        <v>-4</v>
      </c>
    </row>
    <row r="311" spans="1:16" ht="15.75" x14ac:dyDescent="0.25">
      <c r="A311" s="10" t="s">
        <v>18</v>
      </c>
      <c r="B311" s="18" t="s">
        <v>448</v>
      </c>
      <c r="C311" s="18" t="s">
        <v>67</v>
      </c>
      <c r="D311" s="18" t="s">
        <v>449</v>
      </c>
      <c r="E311" s="16">
        <v>310</v>
      </c>
      <c r="F311" s="17">
        <v>46079</v>
      </c>
      <c r="G311" s="10" t="s">
        <v>614</v>
      </c>
      <c r="H311" s="10">
        <f t="shared" ref="H311:H374" si="19">IF(A311="INFORMACIÓN O DOCUMENTOS", 10, IF(A311="CONSULTA", 30, IF(A311="FACTURACIÓN Y COBROS", 15, IF(A311="VINCULACIÓN Y DESVINCULACIÓN", 15, IF(A311="NO ES DE NUESTRA COMPETENCIA", 5, IF(A311="OTRO", 15, ""))))))</f>
        <v>15</v>
      </c>
      <c r="I311" s="10">
        <f ca="1">IF(AND(F311&lt;&gt;"", J311&lt;&gt;""), NETWORKDAYS(TODAY(), J311-1, FESTIVOS!A$1:A$55), "")</f>
        <v>-56</v>
      </c>
      <c r="J311" s="47">
        <f>IF(AND(F311&lt;&gt;"", H311&lt;&gt;""), WORKDAY(F311, H311, FESTIVOS!A$1:A$55), "")</f>
        <v>46100</v>
      </c>
      <c r="K311" s="48" t="s">
        <v>656</v>
      </c>
      <c r="L311" s="48">
        <f t="shared" ref="L311:L374" ca="1" si="20">IF(I311="", "", MAX(0, I311 - (TODAY() - TODAY())))</f>
        <v>0</v>
      </c>
      <c r="M311" s="48" t="str">
        <f t="shared" ref="M311:M374" ca="1" si="21">IF(OR(I311="", H311=""), "", IF(I311&lt;0, "Vencido", IF(I311&gt;(H311/2), "Supere la mitad", "Bajo la mitad")))</f>
        <v>Vencido</v>
      </c>
      <c r="N311" s="48" t="s">
        <v>711</v>
      </c>
      <c r="O311" s="47">
        <v>46093</v>
      </c>
      <c r="P311" s="35" t="s">
        <v>712</v>
      </c>
    </row>
    <row r="312" spans="1:16" ht="47.25" x14ac:dyDescent="0.25">
      <c r="A312" s="10" t="s">
        <v>18</v>
      </c>
      <c r="B312" s="18" t="s">
        <v>77</v>
      </c>
      <c r="C312" s="18" t="s">
        <v>169</v>
      </c>
      <c r="D312" s="18" t="s">
        <v>450</v>
      </c>
      <c r="E312" s="16">
        <v>311</v>
      </c>
      <c r="F312" s="17">
        <v>46079</v>
      </c>
      <c r="G312" s="10" t="s">
        <v>615</v>
      </c>
      <c r="H312" s="10">
        <f t="shared" si="19"/>
        <v>15</v>
      </c>
      <c r="I312" s="10">
        <f ca="1">IF(AND(F312&lt;&gt;"", J312&lt;&gt;""), NETWORKDAYS(TODAY(), J312-1, FESTIVOS!A$1:A$55), "")</f>
        <v>-56</v>
      </c>
      <c r="J312" s="55">
        <f>IF(AND(F312&lt;&gt;"", H312&lt;&gt;""), WORKDAY(F312, H312, FESTIVOS!A$1:A$55), "")</f>
        <v>46100</v>
      </c>
      <c r="K312" s="51" t="s">
        <v>656</v>
      </c>
      <c r="L312" s="51">
        <f t="shared" ca="1" si="20"/>
        <v>0</v>
      </c>
      <c r="M312" s="51" t="str">
        <f t="shared" ca="1" si="21"/>
        <v>Vencido</v>
      </c>
      <c r="N312" s="51" t="s">
        <v>652</v>
      </c>
      <c r="O312" s="55"/>
      <c r="P312" s="35" t="str">
        <f>IF(OR(O312="", J312=""), "", NETWORKDAYS(J312, O312, FESTIVOS!A311:A365))</f>
        <v/>
      </c>
    </row>
    <row r="313" spans="1:16" ht="47.25" x14ac:dyDescent="0.25">
      <c r="A313" s="10" t="s">
        <v>18</v>
      </c>
      <c r="B313" s="18" t="s">
        <v>451</v>
      </c>
      <c r="C313" s="18" t="s">
        <v>269</v>
      </c>
      <c r="D313" s="18" t="s">
        <v>452</v>
      </c>
      <c r="E313" s="16">
        <v>312</v>
      </c>
      <c r="F313" s="17">
        <v>46079</v>
      </c>
      <c r="G313" s="10" t="s">
        <v>615</v>
      </c>
      <c r="H313" s="10">
        <f t="shared" si="19"/>
        <v>15</v>
      </c>
      <c r="I313" s="10">
        <f ca="1">IF(AND(F313&lt;&gt;"", J313&lt;&gt;""), NETWORKDAYS(TODAY(), J313-1, FESTIVOS!A$1:A$55), "")</f>
        <v>-56</v>
      </c>
      <c r="J313" s="49">
        <f>IF(AND(F313&lt;&gt;"", H313&lt;&gt;""), WORKDAY(F313, H313, FESTIVOS!A$1:A$55), "")</f>
        <v>46100</v>
      </c>
      <c r="K313" s="50" t="s">
        <v>656</v>
      </c>
      <c r="L313" s="50">
        <f t="shared" ca="1" si="20"/>
        <v>0</v>
      </c>
      <c r="M313" s="50" t="str">
        <f t="shared" ca="1" si="21"/>
        <v>Vencido</v>
      </c>
      <c r="N313" s="50" t="s">
        <v>670</v>
      </c>
      <c r="O313" s="49">
        <v>46099</v>
      </c>
      <c r="P313" s="35">
        <f>IF(OR(O313="", J313=""), "", NETWORKDAYS(J313, O313, FESTIVOS!A312:A366))</f>
        <v>-2</v>
      </c>
    </row>
    <row r="314" spans="1:16" ht="15.75" x14ac:dyDescent="0.25">
      <c r="A314" s="10" t="s">
        <v>18</v>
      </c>
      <c r="B314" s="18" t="s">
        <v>453</v>
      </c>
      <c r="C314" s="18" t="s">
        <v>67</v>
      </c>
      <c r="D314" s="18" t="s">
        <v>449</v>
      </c>
      <c r="E314" s="16">
        <v>313</v>
      </c>
      <c r="F314" s="17">
        <v>46080</v>
      </c>
      <c r="G314" s="10" t="s">
        <v>614</v>
      </c>
      <c r="H314" s="10">
        <f t="shared" si="19"/>
        <v>15</v>
      </c>
      <c r="I314" s="10">
        <f ca="1">IF(AND(F314&lt;&gt;"", J314&lt;&gt;""), NETWORKDAYS(TODAY(), J314-1, FESTIVOS!A$1:A$55), "")</f>
        <v>-55</v>
      </c>
      <c r="J314" s="47">
        <f>IF(AND(F314&lt;&gt;"", H314&lt;&gt;""), WORKDAY(F314, H314, FESTIVOS!A$1:A$55), "")</f>
        <v>46101</v>
      </c>
      <c r="K314" s="48" t="s">
        <v>656</v>
      </c>
      <c r="L314" s="48">
        <f t="shared" ca="1" si="20"/>
        <v>0</v>
      </c>
      <c r="M314" s="48" t="str">
        <f t="shared" ca="1" si="21"/>
        <v>Vencido</v>
      </c>
      <c r="N314" s="48" t="s">
        <v>673</v>
      </c>
      <c r="O314" s="47">
        <v>46084</v>
      </c>
      <c r="P314" s="35">
        <f>IF(OR(O314="", J314=""), "", NETWORKDAYS(J314, O314, FESTIVOS!A313:A367))</f>
        <v>-14</v>
      </c>
    </row>
    <row r="315" spans="1:16" ht="15.75" x14ac:dyDescent="0.25">
      <c r="A315" s="10" t="s">
        <v>18</v>
      </c>
      <c r="B315" s="18" t="s">
        <v>409</v>
      </c>
      <c r="C315" s="18" t="s">
        <v>67</v>
      </c>
      <c r="D315" s="18" t="s">
        <v>454</v>
      </c>
      <c r="E315" s="16">
        <v>314</v>
      </c>
      <c r="F315" s="17">
        <v>46080</v>
      </c>
      <c r="G315" s="10" t="s">
        <v>614</v>
      </c>
      <c r="H315" s="10">
        <f t="shared" si="19"/>
        <v>15</v>
      </c>
      <c r="I315" s="10">
        <f ca="1">IF(AND(F315&lt;&gt;"", J315&lt;&gt;""), NETWORKDAYS(TODAY(), J315-1, FESTIVOS!A$1:A$55), "")</f>
        <v>-55</v>
      </c>
      <c r="J315" s="47">
        <f>IF(AND(F315&lt;&gt;"", H315&lt;&gt;""), WORKDAY(F315, H315, FESTIVOS!A$1:A$55), "")</f>
        <v>46101</v>
      </c>
      <c r="K315" s="48" t="s">
        <v>656</v>
      </c>
      <c r="L315" s="48">
        <f t="shared" ca="1" si="20"/>
        <v>0</v>
      </c>
      <c r="M315" s="48" t="str">
        <f t="shared" ca="1" si="21"/>
        <v>Vencido</v>
      </c>
      <c r="N315" s="48" t="s">
        <v>727</v>
      </c>
      <c r="O315" s="47">
        <v>46084</v>
      </c>
      <c r="P315" s="35">
        <f>IF(OR(O315="", J315=""), "", NETWORKDAYS(J315, O315, FESTIVOS!A314:A368))</f>
        <v>-14</v>
      </c>
    </row>
    <row r="316" spans="1:16" ht="25.5" x14ac:dyDescent="0.25">
      <c r="A316" s="10" t="s">
        <v>18</v>
      </c>
      <c r="B316" s="18" t="s">
        <v>114</v>
      </c>
      <c r="C316" s="18" t="s">
        <v>84</v>
      </c>
      <c r="D316" s="18" t="s">
        <v>39</v>
      </c>
      <c r="E316" s="16">
        <v>315</v>
      </c>
      <c r="F316" s="17">
        <v>46080</v>
      </c>
      <c r="G316" s="10" t="s">
        <v>615</v>
      </c>
      <c r="H316" s="10">
        <f t="shared" si="19"/>
        <v>15</v>
      </c>
      <c r="I316" s="10">
        <f ca="1">IF(AND(F316&lt;&gt;"", J316&lt;&gt;""), NETWORKDAYS(TODAY(), J316-1, FESTIVOS!A$1:A$55), "")</f>
        <v>-55</v>
      </c>
      <c r="J316" s="49">
        <f>IF(AND(F316&lt;&gt;"", H316&lt;&gt;""), WORKDAY(F316, H316, FESTIVOS!A$1:A$55), "")</f>
        <v>46101</v>
      </c>
      <c r="K316" s="50" t="s">
        <v>656</v>
      </c>
      <c r="L316" s="50">
        <f t="shared" ca="1" si="20"/>
        <v>0</v>
      </c>
      <c r="M316" s="50" t="str">
        <f t="shared" ca="1" si="21"/>
        <v>Vencido</v>
      </c>
      <c r="N316" s="51" t="s">
        <v>729</v>
      </c>
      <c r="O316" s="49"/>
      <c r="P316" s="65" t="str">
        <f>IF(OR(O316="", J316=""), "", NETWORKDAYS(J316, O316, FESTIVOS!A315:A369))</f>
        <v/>
      </c>
    </row>
    <row r="317" spans="1:16" ht="15.75" x14ac:dyDescent="0.25">
      <c r="A317" s="10" t="s">
        <v>18</v>
      </c>
      <c r="B317" s="18" t="s">
        <v>114</v>
      </c>
      <c r="C317" s="18" t="s">
        <v>84</v>
      </c>
      <c r="D317" s="18" t="s">
        <v>39</v>
      </c>
      <c r="E317" s="16">
        <v>316</v>
      </c>
      <c r="F317" s="17">
        <v>46080</v>
      </c>
      <c r="G317" s="10" t="s">
        <v>615</v>
      </c>
      <c r="H317" s="10">
        <f t="shared" si="19"/>
        <v>15</v>
      </c>
      <c r="I317" s="10">
        <f ca="1">IF(AND(F317&lt;&gt;"", J317&lt;&gt;""), NETWORKDAYS(TODAY(), J317-1, FESTIVOS!A$1:A$55), "")</f>
        <v>-55</v>
      </c>
      <c r="J317" s="49">
        <f>IF(AND(F317&lt;&gt;"", H317&lt;&gt;""), WORKDAY(F317, H317, FESTIVOS!A$1:A$55), "")</f>
        <v>46101</v>
      </c>
      <c r="K317" s="50" t="s">
        <v>656</v>
      </c>
      <c r="L317" s="50">
        <f t="shared" ca="1" si="20"/>
        <v>0</v>
      </c>
      <c r="M317" s="50" t="str">
        <f t="shared" ca="1" si="21"/>
        <v>Vencido</v>
      </c>
      <c r="N317" s="51" t="s">
        <v>728</v>
      </c>
      <c r="O317" s="49">
        <v>46097</v>
      </c>
      <c r="P317" s="65" t="s">
        <v>712</v>
      </c>
    </row>
    <row r="318" spans="1:16" ht="15.75" x14ac:dyDescent="0.25">
      <c r="A318" s="10" t="s">
        <v>18</v>
      </c>
      <c r="B318" s="18" t="s">
        <v>114</v>
      </c>
      <c r="C318" s="18" t="s">
        <v>84</v>
      </c>
      <c r="D318" s="18" t="s">
        <v>39</v>
      </c>
      <c r="E318" s="16">
        <v>317</v>
      </c>
      <c r="F318" s="17">
        <v>46080</v>
      </c>
      <c r="G318" s="10" t="s">
        <v>615</v>
      </c>
      <c r="H318" s="10">
        <f t="shared" si="19"/>
        <v>15</v>
      </c>
      <c r="I318" s="10">
        <f ca="1">IF(AND(F318&lt;&gt;"", J318&lt;&gt;""), NETWORKDAYS(TODAY(), J318-1, FESTIVOS!A$1:A$55), "")</f>
        <v>-55</v>
      </c>
      <c r="J318" s="49">
        <f>IF(AND(F318&lt;&gt;"", H318&lt;&gt;""), WORKDAY(F318, H318, FESTIVOS!A$1:A$55), "")</f>
        <v>46101</v>
      </c>
      <c r="K318" s="50" t="s">
        <v>656</v>
      </c>
      <c r="L318" s="50">
        <f t="shared" ca="1" si="20"/>
        <v>0</v>
      </c>
      <c r="M318" s="50" t="str">
        <f t="shared" ca="1" si="21"/>
        <v>Vencido</v>
      </c>
      <c r="N318" s="51" t="s">
        <v>730</v>
      </c>
      <c r="O318" s="49"/>
      <c r="P318" s="65" t="str">
        <f>IF(OR(O318="", J318=""), "", NETWORKDAYS(J318, O318, FESTIVOS!A317:A371))</f>
        <v/>
      </c>
    </row>
    <row r="319" spans="1:16" ht="15.75" x14ac:dyDescent="0.25">
      <c r="A319" s="10" t="s">
        <v>18</v>
      </c>
      <c r="B319" s="18" t="s">
        <v>114</v>
      </c>
      <c r="C319" s="18" t="s">
        <v>84</v>
      </c>
      <c r="D319" s="18" t="s">
        <v>39</v>
      </c>
      <c r="E319" s="16">
        <v>318</v>
      </c>
      <c r="F319" s="17">
        <v>46080</v>
      </c>
      <c r="G319" s="10" t="s">
        <v>615</v>
      </c>
      <c r="H319" s="10">
        <f t="shared" si="19"/>
        <v>15</v>
      </c>
      <c r="I319" s="10">
        <f ca="1">IF(AND(F319&lt;&gt;"", J319&lt;&gt;""), NETWORKDAYS(TODAY(), J319-1, FESTIVOS!A$1:A$55), "")</f>
        <v>-55</v>
      </c>
      <c r="J319" s="49">
        <f>IF(AND(F319&lt;&gt;"", H319&lt;&gt;""), WORKDAY(F319, H319, FESTIVOS!A$1:A$55), "")</f>
        <v>46101</v>
      </c>
      <c r="K319" s="50" t="s">
        <v>656</v>
      </c>
      <c r="L319" s="50">
        <f t="shared" ca="1" si="20"/>
        <v>0</v>
      </c>
      <c r="M319" s="50" t="str">
        <f t="shared" ca="1" si="21"/>
        <v>Vencido</v>
      </c>
      <c r="N319" s="51" t="s">
        <v>730</v>
      </c>
      <c r="O319" s="49"/>
      <c r="P319" s="65" t="str">
        <f>IF(OR(O319="", J319=""), "", NETWORKDAYS(J319, O319, FESTIVOS!A318:A372))</f>
        <v/>
      </c>
    </row>
    <row r="320" spans="1:16" ht="15.75" x14ac:dyDescent="0.25">
      <c r="A320" s="10" t="s">
        <v>18</v>
      </c>
      <c r="B320" s="18" t="s">
        <v>114</v>
      </c>
      <c r="C320" s="18" t="s">
        <v>84</v>
      </c>
      <c r="D320" s="18" t="s">
        <v>39</v>
      </c>
      <c r="E320" s="16">
        <v>319</v>
      </c>
      <c r="F320" s="17">
        <v>46080</v>
      </c>
      <c r="G320" s="10" t="s">
        <v>615</v>
      </c>
      <c r="H320" s="10">
        <f t="shared" si="19"/>
        <v>15</v>
      </c>
      <c r="I320" s="10">
        <f ca="1">IF(AND(F320&lt;&gt;"", J320&lt;&gt;""), NETWORKDAYS(TODAY(), J320-1, FESTIVOS!A$1:A$55), "")</f>
        <v>-55</v>
      </c>
      <c r="J320" s="49">
        <f>IF(AND(F320&lt;&gt;"", H320&lt;&gt;""), WORKDAY(F320, H320, FESTIVOS!A$1:A$55), "")</f>
        <v>46101</v>
      </c>
      <c r="K320" s="50" t="s">
        <v>656</v>
      </c>
      <c r="L320" s="50">
        <f t="shared" ca="1" si="20"/>
        <v>0</v>
      </c>
      <c r="M320" s="50" t="str">
        <f t="shared" ca="1" si="21"/>
        <v>Vencido</v>
      </c>
      <c r="N320" s="51" t="s">
        <v>731</v>
      </c>
      <c r="O320" s="49">
        <v>46094</v>
      </c>
      <c r="P320" s="65" t="s">
        <v>712</v>
      </c>
    </row>
    <row r="321" spans="1:16" ht="15.75" x14ac:dyDescent="0.25">
      <c r="A321" s="10" t="s">
        <v>18</v>
      </c>
      <c r="B321" s="18" t="s">
        <v>114</v>
      </c>
      <c r="C321" s="18" t="s">
        <v>84</v>
      </c>
      <c r="D321" s="18" t="s">
        <v>39</v>
      </c>
      <c r="E321" s="16">
        <v>320</v>
      </c>
      <c r="F321" s="17">
        <v>46080</v>
      </c>
      <c r="G321" s="10" t="s">
        <v>615</v>
      </c>
      <c r="H321" s="10">
        <f t="shared" si="19"/>
        <v>15</v>
      </c>
      <c r="I321" s="10">
        <f ca="1">IF(AND(F321&lt;&gt;"", J321&lt;&gt;""), NETWORKDAYS(TODAY(), J321-1, FESTIVOS!A$1:A$55), "")</f>
        <v>-55</v>
      </c>
      <c r="J321" s="49">
        <f>IF(AND(F321&lt;&gt;"", H321&lt;&gt;""), WORKDAY(F321, H321, FESTIVOS!A$1:A$55), "")</f>
        <v>46101</v>
      </c>
      <c r="K321" s="50" t="s">
        <v>656</v>
      </c>
      <c r="L321" s="50">
        <f t="shared" ca="1" si="20"/>
        <v>0</v>
      </c>
      <c r="M321" s="50" t="str">
        <f t="shared" ca="1" si="21"/>
        <v>Vencido</v>
      </c>
      <c r="N321" s="51" t="s">
        <v>626</v>
      </c>
      <c r="O321" s="49">
        <v>46094</v>
      </c>
      <c r="P321" s="65" t="s">
        <v>712</v>
      </c>
    </row>
    <row r="322" spans="1:16" ht="15.75" x14ac:dyDescent="0.25">
      <c r="A322" s="10" t="s">
        <v>18</v>
      </c>
      <c r="B322" s="18" t="s">
        <v>114</v>
      </c>
      <c r="C322" s="18" t="s">
        <v>84</v>
      </c>
      <c r="D322" s="18" t="s">
        <v>39</v>
      </c>
      <c r="E322" s="16">
        <v>321</v>
      </c>
      <c r="F322" s="17">
        <v>46080</v>
      </c>
      <c r="G322" s="10" t="s">
        <v>615</v>
      </c>
      <c r="H322" s="10">
        <f t="shared" si="19"/>
        <v>15</v>
      </c>
      <c r="I322" s="10">
        <f ca="1">IF(AND(F322&lt;&gt;"", J322&lt;&gt;""), NETWORKDAYS(TODAY(), J322-1, FESTIVOS!A$1:A$55), "")</f>
        <v>-55</v>
      </c>
      <c r="J322" s="49">
        <f>IF(AND(F322&lt;&gt;"", H322&lt;&gt;""), WORKDAY(F322, H322, FESTIVOS!A$1:A$55), "")</f>
        <v>46101</v>
      </c>
      <c r="K322" s="50" t="s">
        <v>656</v>
      </c>
      <c r="L322" s="50">
        <f t="shared" ca="1" si="20"/>
        <v>0</v>
      </c>
      <c r="M322" s="50" t="str">
        <f t="shared" ca="1" si="21"/>
        <v>Vencido</v>
      </c>
      <c r="N322" s="51" t="s">
        <v>732</v>
      </c>
      <c r="O322" s="49">
        <v>46094</v>
      </c>
      <c r="P322" s="65">
        <f>IF(OR(O322="", J322=""), "", NETWORKDAYS(J322, O322, FESTIVOS!A321:A375))</f>
        <v>-6</v>
      </c>
    </row>
    <row r="323" spans="1:16" ht="15.75" x14ac:dyDescent="0.25">
      <c r="A323" s="10" t="s">
        <v>18</v>
      </c>
      <c r="B323" s="18" t="s">
        <v>114</v>
      </c>
      <c r="C323" s="18" t="s">
        <v>84</v>
      </c>
      <c r="D323" s="18" t="s">
        <v>39</v>
      </c>
      <c r="E323" s="16">
        <v>322</v>
      </c>
      <c r="F323" s="17">
        <v>46080</v>
      </c>
      <c r="G323" s="10" t="s">
        <v>615</v>
      </c>
      <c r="H323" s="10">
        <f t="shared" si="19"/>
        <v>15</v>
      </c>
      <c r="I323" s="10">
        <f ca="1">IF(AND(F323&lt;&gt;"", J323&lt;&gt;""), NETWORKDAYS(TODAY(), J323-1, FESTIVOS!A$1:A$55), "")</f>
        <v>-55</v>
      </c>
      <c r="J323" s="49">
        <f>IF(AND(F323&lt;&gt;"", H323&lt;&gt;""), WORKDAY(F323, H323, FESTIVOS!A$1:A$55), "")</f>
        <v>46101</v>
      </c>
      <c r="K323" s="50" t="s">
        <v>656</v>
      </c>
      <c r="L323" s="50">
        <f t="shared" ca="1" si="20"/>
        <v>0</v>
      </c>
      <c r="M323" s="50" t="str">
        <f t="shared" ca="1" si="21"/>
        <v>Vencido</v>
      </c>
      <c r="N323" s="51" t="s">
        <v>732</v>
      </c>
      <c r="O323" s="49"/>
      <c r="P323" s="65" t="str">
        <f>IF(OR(O323="", J323=""), "", NETWORKDAYS(J323, O323, FESTIVOS!A322:A376))</f>
        <v/>
      </c>
    </row>
    <row r="324" spans="1:16" ht="15.75" x14ac:dyDescent="0.25">
      <c r="A324" s="10" t="s">
        <v>18</v>
      </c>
      <c r="B324" s="18" t="s">
        <v>114</v>
      </c>
      <c r="C324" s="18" t="s">
        <v>84</v>
      </c>
      <c r="D324" s="18" t="s">
        <v>39</v>
      </c>
      <c r="E324" s="16">
        <v>323</v>
      </c>
      <c r="F324" s="17">
        <v>46080</v>
      </c>
      <c r="G324" s="10" t="s">
        <v>615</v>
      </c>
      <c r="H324" s="10">
        <f t="shared" si="19"/>
        <v>15</v>
      </c>
      <c r="I324" s="10">
        <f ca="1">IF(AND(F324&lt;&gt;"", J324&lt;&gt;""), NETWORKDAYS(TODAY(), J324-1, FESTIVOS!A$1:A$55), "")</f>
        <v>-55</v>
      </c>
      <c r="J324" s="49">
        <f>IF(AND(F324&lt;&gt;"", H324&lt;&gt;""), WORKDAY(F324, H324, FESTIVOS!A$1:A$55), "")</f>
        <v>46101</v>
      </c>
      <c r="K324" s="50" t="s">
        <v>656</v>
      </c>
      <c r="L324" s="50">
        <f t="shared" ca="1" si="20"/>
        <v>0</v>
      </c>
      <c r="M324" s="50" t="str">
        <f t="shared" ca="1" si="21"/>
        <v>Vencido</v>
      </c>
      <c r="N324" s="51" t="s">
        <v>732</v>
      </c>
      <c r="O324" s="49"/>
      <c r="P324" s="65" t="str">
        <f>IF(OR(O324="", J324=""), "", NETWORKDAYS(J324, O324, FESTIVOS!A323:A377))</f>
        <v/>
      </c>
    </row>
    <row r="325" spans="1:16" ht="15.75" x14ac:dyDescent="0.25">
      <c r="A325" s="10" t="s">
        <v>18</v>
      </c>
      <c r="B325" s="18" t="s">
        <v>114</v>
      </c>
      <c r="C325" s="18" t="s">
        <v>84</v>
      </c>
      <c r="D325" s="18" t="s">
        <v>39</v>
      </c>
      <c r="E325" s="16">
        <v>324</v>
      </c>
      <c r="F325" s="17">
        <v>46080</v>
      </c>
      <c r="G325" s="10" t="s">
        <v>615</v>
      </c>
      <c r="H325" s="10">
        <f t="shared" si="19"/>
        <v>15</v>
      </c>
      <c r="I325" s="10">
        <f ca="1">IF(AND(F325&lt;&gt;"", J325&lt;&gt;""), NETWORKDAYS(TODAY(), J325-1, FESTIVOS!A$1:A$55), "")</f>
        <v>-55</v>
      </c>
      <c r="J325" s="49">
        <f>IF(AND(F325&lt;&gt;"", H325&lt;&gt;""), WORKDAY(F325, H325, FESTIVOS!A$1:A$55), "")</f>
        <v>46101</v>
      </c>
      <c r="K325" s="50" t="s">
        <v>656</v>
      </c>
      <c r="L325" s="50">
        <f t="shared" ca="1" si="20"/>
        <v>0</v>
      </c>
      <c r="M325" s="50" t="str">
        <f t="shared" ca="1" si="21"/>
        <v>Vencido</v>
      </c>
      <c r="N325" s="51" t="s">
        <v>732</v>
      </c>
      <c r="O325" s="49"/>
      <c r="P325" s="65" t="str">
        <f>IF(OR(O325="", J325=""), "", NETWORKDAYS(J325, O325, FESTIVOS!A324:A378))</f>
        <v/>
      </c>
    </row>
    <row r="326" spans="1:16" ht="15.75" x14ac:dyDescent="0.25">
      <c r="A326" s="10" t="s">
        <v>18</v>
      </c>
      <c r="B326" s="18" t="s">
        <v>114</v>
      </c>
      <c r="C326" s="18" t="s">
        <v>84</v>
      </c>
      <c r="D326" s="18" t="s">
        <v>39</v>
      </c>
      <c r="E326" s="16">
        <v>325</v>
      </c>
      <c r="F326" s="17">
        <v>46080</v>
      </c>
      <c r="G326" s="10" t="s">
        <v>615</v>
      </c>
      <c r="H326" s="10">
        <f t="shared" si="19"/>
        <v>15</v>
      </c>
      <c r="I326" s="10">
        <f ca="1">IF(AND(F326&lt;&gt;"", J326&lt;&gt;""), NETWORKDAYS(TODAY(), J326-1, FESTIVOS!A$1:A$55), "")</f>
        <v>-55</v>
      </c>
      <c r="J326" s="49">
        <f>IF(AND(F326&lt;&gt;"", H326&lt;&gt;""), WORKDAY(F326, H326, FESTIVOS!A$1:A$55), "")</f>
        <v>46101</v>
      </c>
      <c r="K326" s="50" t="s">
        <v>656</v>
      </c>
      <c r="L326" s="50">
        <f t="shared" ca="1" si="20"/>
        <v>0</v>
      </c>
      <c r="M326" s="50" t="str">
        <f t="shared" ca="1" si="21"/>
        <v>Vencido</v>
      </c>
      <c r="N326" s="51" t="s">
        <v>732</v>
      </c>
      <c r="O326" s="49"/>
      <c r="P326" s="65" t="str">
        <f>IF(OR(O326="", J326=""), "", NETWORKDAYS(J326, O326, FESTIVOS!A325:A379))</f>
        <v/>
      </c>
    </row>
    <row r="327" spans="1:16" ht="25.5" x14ac:dyDescent="0.25">
      <c r="A327" s="10" t="s">
        <v>18</v>
      </c>
      <c r="B327" s="18" t="s">
        <v>114</v>
      </c>
      <c r="C327" s="18" t="s">
        <v>84</v>
      </c>
      <c r="D327" s="18" t="s">
        <v>39</v>
      </c>
      <c r="E327" s="16">
        <v>326</v>
      </c>
      <c r="F327" s="17">
        <v>46080</v>
      </c>
      <c r="G327" s="10" t="s">
        <v>615</v>
      </c>
      <c r="H327" s="10">
        <f t="shared" si="19"/>
        <v>15</v>
      </c>
      <c r="I327" s="10">
        <f ca="1">IF(AND(F327&lt;&gt;"", J327&lt;&gt;""), NETWORKDAYS(TODAY(), J327-1, FESTIVOS!A$1:A$55), "")</f>
        <v>-55</v>
      </c>
      <c r="J327" s="49">
        <f>IF(AND(F327&lt;&gt;"", H327&lt;&gt;""), WORKDAY(F327, H327, FESTIVOS!A$1:A$55), "")</f>
        <v>46101</v>
      </c>
      <c r="K327" s="50" t="s">
        <v>656</v>
      </c>
      <c r="L327" s="50">
        <f t="shared" ca="1" si="20"/>
        <v>0</v>
      </c>
      <c r="M327" s="50" t="str">
        <f t="shared" ca="1" si="21"/>
        <v>Vencido</v>
      </c>
      <c r="N327" s="51" t="s">
        <v>729</v>
      </c>
      <c r="O327" s="49"/>
      <c r="P327" s="65" t="str">
        <f>IF(OR(O327="", J327=""), "", NETWORKDAYS(J327, O327, FESTIVOS!A326:A380))</f>
        <v/>
      </c>
    </row>
    <row r="328" spans="1:16" ht="47.25" x14ac:dyDescent="0.25">
      <c r="A328" s="10" t="s">
        <v>18</v>
      </c>
      <c r="B328" s="18" t="s">
        <v>77</v>
      </c>
      <c r="C328" s="18" t="s">
        <v>169</v>
      </c>
      <c r="D328" s="18" t="s">
        <v>455</v>
      </c>
      <c r="E328" s="16">
        <v>327</v>
      </c>
      <c r="F328" s="17">
        <v>46080</v>
      </c>
      <c r="G328" s="10" t="s">
        <v>615</v>
      </c>
      <c r="H328" s="10">
        <f t="shared" si="19"/>
        <v>15</v>
      </c>
      <c r="I328" s="10">
        <f ca="1">IF(AND(F328&lt;&gt;"", J328&lt;&gt;""), NETWORKDAYS(TODAY(), J328-1, FESTIVOS!A$1:A$55), "")</f>
        <v>-55</v>
      </c>
      <c r="J328" s="49">
        <f>IF(AND(F328&lt;&gt;"", H328&lt;&gt;""), WORKDAY(F328, H328, FESTIVOS!A$1:A$55), "")</f>
        <v>46101</v>
      </c>
      <c r="K328" s="50" t="s">
        <v>656</v>
      </c>
      <c r="L328" s="50">
        <f t="shared" ca="1" si="20"/>
        <v>0</v>
      </c>
      <c r="M328" s="50" t="str">
        <f t="shared" ca="1" si="21"/>
        <v>Vencido</v>
      </c>
      <c r="N328" s="51" t="s">
        <v>652</v>
      </c>
      <c r="O328" s="49"/>
      <c r="P328" s="35" t="str">
        <f>IF(OR(O328="", J328=""), "", NETWORKDAYS(J328, O328, FESTIVOS!A327:A381))</f>
        <v/>
      </c>
    </row>
    <row r="329" spans="1:16" ht="47.25" x14ac:dyDescent="0.25">
      <c r="A329" s="10" t="s">
        <v>18</v>
      </c>
      <c r="B329" s="18" t="s">
        <v>345</v>
      </c>
      <c r="C329" s="18" t="s">
        <v>65</v>
      </c>
      <c r="D329" s="18" t="s">
        <v>456</v>
      </c>
      <c r="E329" s="16">
        <v>328</v>
      </c>
      <c r="F329" s="17">
        <v>46080</v>
      </c>
      <c r="G329" s="10" t="s">
        <v>614</v>
      </c>
      <c r="H329" s="10">
        <f t="shared" si="19"/>
        <v>15</v>
      </c>
      <c r="I329" s="10">
        <f ca="1">IF(AND(F329&lt;&gt;"", J329&lt;&gt;""), NETWORKDAYS(TODAY(), J329-1, FESTIVOS!A$1:A$55), "")</f>
        <v>-55</v>
      </c>
      <c r="J329" s="11">
        <f>IF(AND(F329&lt;&gt;"", H329&lt;&gt;""), WORKDAY(F329, H329, FESTIVOS!A$1:A$55), "")</f>
        <v>46101</v>
      </c>
      <c r="K329" s="10" t="s">
        <v>656</v>
      </c>
      <c r="L329" s="10">
        <f t="shared" ca="1" si="20"/>
        <v>0</v>
      </c>
      <c r="M329" s="10" t="str">
        <f t="shared" ca="1" si="21"/>
        <v>Vencido</v>
      </c>
      <c r="N329" s="10"/>
      <c r="O329" s="11"/>
      <c r="P329" s="35" t="str">
        <f>IF(OR(O329="", J329=""), "", NETWORKDAYS(J329, O329, FESTIVOS!A328:A382))</f>
        <v/>
      </c>
    </row>
    <row r="330" spans="1:16" ht="47.25" x14ac:dyDescent="0.25">
      <c r="A330" s="10" t="s">
        <v>18</v>
      </c>
      <c r="B330" s="30" t="s">
        <v>376</v>
      </c>
      <c r="C330" s="18" t="s">
        <v>88</v>
      </c>
      <c r="D330" s="18" t="s">
        <v>457</v>
      </c>
      <c r="E330" s="16">
        <v>329</v>
      </c>
      <c r="F330" s="17">
        <v>46083</v>
      </c>
      <c r="G330" s="10" t="s">
        <v>615</v>
      </c>
      <c r="H330" s="10">
        <f t="shared" si="19"/>
        <v>15</v>
      </c>
      <c r="I330" s="10">
        <f ca="1">IF(AND(F330&lt;&gt;"", J330&lt;&gt;""), NETWORKDAYS(TODAY(), J330-1, FESTIVOS!A$1:A$55), "")</f>
        <v>-53</v>
      </c>
      <c r="J330" s="49">
        <f>IF(AND(F330&lt;&gt;"", H330&lt;&gt;""), WORKDAY(F330, H330, FESTIVOS!A$1:A$55), "")</f>
        <v>46105</v>
      </c>
      <c r="K330" s="50" t="s">
        <v>656</v>
      </c>
      <c r="L330" s="50">
        <f t="shared" ca="1" si="20"/>
        <v>0</v>
      </c>
      <c r="M330" s="50" t="str">
        <f t="shared" ca="1" si="21"/>
        <v>Vencido</v>
      </c>
      <c r="N330" s="50" t="s">
        <v>597</v>
      </c>
      <c r="O330" s="49">
        <v>46097</v>
      </c>
      <c r="P330" s="35">
        <f>IF(OR(O330="", J330=""), "", NETWORKDAYS(J330, O330, FESTIVOS!A329:A383))</f>
        <v>-7</v>
      </c>
    </row>
    <row r="331" spans="1:16" ht="15.75" x14ac:dyDescent="0.25">
      <c r="A331" s="10" t="s">
        <v>18</v>
      </c>
      <c r="B331" s="18" t="s">
        <v>458</v>
      </c>
      <c r="C331" s="18" t="s">
        <v>67</v>
      </c>
      <c r="D331" s="18" t="s">
        <v>118</v>
      </c>
      <c r="E331" s="16">
        <v>330</v>
      </c>
      <c r="F331" s="17">
        <v>46083</v>
      </c>
      <c r="G331" s="10" t="s">
        <v>614</v>
      </c>
      <c r="H331" s="10">
        <f t="shared" si="19"/>
        <v>15</v>
      </c>
      <c r="I331" s="10">
        <f ca="1">IF(AND(F331&lt;&gt;"", J331&lt;&gt;""), NETWORKDAYS(TODAY(), J331-1, FESTIVOS!A$1:A$55), "")</f>
        <v>-53</v>
      </c>
      <c r="J331" s="47">
        <f>IF(AND(F331&lt;&gt;"", H331&lt;&gt;""), WORKDAY(F331, H331, FESTIVOS!A$1:A$55), "")</f>
        <v>46105</v>
      </c>
      <c r="K331" s="48" t="s">
        <v>656</v>
      </c>
      <c r="L331" s="48">
        <f t="shared" ca="1" si="20"/>
        <v>0</v>
      </c>
      <c r="M331" s="48" t="str">
        <f t="shared" ca="1" si="21"/>
        <v>Vencido</v>
      </c>
      <c r="N331" s="53" t="s">
        <v>692</v>
      </c>
      <c r="O331" s="47">
        <v>46092</v>
      </c>
      <c r="P331" s="35">
        <f>IF(OR(O331="", J331=""), "", NETWORKDAYS(J331, O331, FESTIVOS!A330:A384))</f>
        <v>-10</v>
      </c>
    </row>
    <row r="332" spans="1:16" ht="15.75" x14ac:dyDescent="0.25">
      <c r="A332" s="10" t="s">
        <v>18</v>
      </c>
      <c r="B332" s="18" t="s">
        <v>459</v>
      </c>
      <c r="C332" s="18" t="s">
        <v>67</v>
      </c>
      <c r="D332" s="18" t="s">
        <v>21</v>
      </c>
      <c r="E332" s="16">
        <v>331</v>
      </c>
      <c r="F332" s="17">
        <v>46083</v>
      </c>
      <c r="G332" s="10" t="s">
        <v>615</v>
      </c>
      <c r="H332" s="10">
        <f t="shared" si="19"/>
        <v>15</v>
      </c>
      <c r="I332" s="10">
        <f ca="1">IF(AND(F332&lt;&gt;"", J332&lt;&gt;""), NETWORKDAYS(TODAY(), J332-1, FESTIVOS!A$1:A$55), "")</f>
        <v>-53</v>
      </c>
      <c r="J332" s="49">
        <f>IF(AND(F332&lt;&gt;"", H332&lt;&gt;""), WORKDAY(F332, H332, FESTIVOS!A$1:A$55), "")</f>
        <v>46105</v>
      </c>
      <c r="K332" s="50" t="s">
        <v>656</v>
      </c>
      <c r="L332" s="50">
        <f t="shared" ca="1" si="20"/>
        <v>0</v>
      </c>
      <c r="M332" s="50" t="str">
        <f t="shared" ca="1" si="21"/>
        <v>Vencido</v>
      </c>
      <c r="N332" s="54" t="s">
        <v>690</v>
      </c>
      <c r="O332" s="49">
        <v>11</v>
      </c>
      <c r="P332" s="35">
        <f>IF(OR(O332="", J332=""), "", NETWORKDAYS(J332, O332, FESTIVOS!A331:A385))</f>
        <v>-32925</v>
      </c>
    </row>
    <row r="333" spans="1:16" ht="31.5" x14ac:dyDescent="0.25">
      <c r="A333" s="10" t="s">
        <v>18</v>
      </c>
      <c r="B333" s="18" t="s">
        <v>460</v>
      </c>
      <c r="C333" s="18" t="s">
        <v>88</v>
      </c>
      <c r="D333" s="18" t="s">
        <v>461</v>
      </c>
      <c r="E333" s="16">
        <v>332</v>
      </c>
      <c r="F333" s="17">
        <v>46083</v>
      </c>
      <c r="G333" s="10" t="s">
        <v>615</v>
      </c>
      <c r="H333" s="10">
        <f t="shared" si="19"/>
        <v>15</v>
      </c>
      <c r="I333" s="10">
        <f ca="1">IF(AND(F333&lt;&gt;"", J333&lt;&gt;""), NETWORKDAYS(TODAY(), J333-1, FESTIVOS!A$1:A$55), "")</f>
        <v>-53</v>
      </c>
      <c r="J333" s="49">
        <f>IF(AND(F333&lt;&gt;"", H333&lt;&gt;""), WORKDAY(F333, H333, FESTIVOS!A$1:A$55), "")</f>
        <v>46105</v>
      </c>
      <c r="K333" s="50" t="s">
        <v>656</v>
      </c>
      <c r="L333" s="50">
        <f t="shared" ca="1" si="20"/>
        <v>0</v>
      </c>
      <c r="M333" s="50" t="str">
        <f t="shared" ca="1" si="21"/>
        <v>Vencido</v>
      </c>
      <c r="N333" s="51" t="s">
        <v>652</v>
      </c>
      <c r="O333" s="49"/>
      <c r="P333" s="35"/>
    </row>
    <row r="334" spans="1:16" ht="31.5" x14ac:dyDescent="0.25">
      <c r="A334" s="10" t="s">
        <v>18</v>
      </c>
      <c r="B334" s="18" t="s">
        <v>462</v>
      </c>
      <c r="C334" s="18" t="s">
        <v>67</v>
      </c>
      <c r="D334" s="18" t="s">
        <v>463</v>
      </c>
      <c r="E334" s="16">
        <v>333</v>
      </c>
      <c r="F334" s="17">
        <v>46083</v>
      </c>
      <c r="G334" s="10" t="s">
        <v>615</v>
      </c>
      <c r="H334" s="10">
        <f t="shared" si="19"/>
        <v>15</v>
      </c>
      <c r="I334" s="10">
        <f ca="1">IF(AND(F334&lt;&gt;"", J334&lt;&gt;""), NETWORKDAYS(TODAY(), J334-1, FESTIVOS!A$1:A$55), "")</f>
        <v>-53</v>
      </c>
      <c r="J334" s="49">
        <f>IF(AND(F334&lt;&gt;"", H334&lt;&gt;""), WORKDAY(F334, H334, FESTIVOS!A$1:A$55), "")</f>
        <v>46105</v>
      </c>
      <c r="K334" s="50" t="s">
        <v>656</v>
      </c>
      <c r="L334" s="50">
        <f t="shared" ca="1" si="20"/>
        <v>0</v>
      </c>
      <c r="M334" s="50" t="str">
        <f t="shared" ca="1" si="21"/>
        <v>Vencido</v>
      </c>
      <c r="N334" s="51" t="s">
        <v>625</v>
      </c>
      <c r="O334" s="49">
        <v>46097</v>
      </c>
      <c r="P334" s="35">
        <f>IF(OR(O334="", J334=""), "", NETWORKDAYS(J334, O334, FESTIVOS!A333:A387))</f>
        <v>-7</v>
      </c>
    </row>
    <row r="335" spans="1:16" ht="63" x14ac:dyDescent="0.25">
      <c r="A335" s="10" t="s">
        <v>18</v>
      </c>
      <c r="B335" s="18" t="s">
        <v>464</v>
      </c>
      <c r="C335" s="18" t="s">
        <v>269</v>
      </c>
      <c r="D335" s="18" t="s">
        <v>465</v>
      </c>
      <c r="E335" s="16">
        <v>334</v>
      </c>
      <c r="F335" s="17">
        <v>46083</v>
      </c>
      <c r="G335" s="10" t="s">
        <v>615</v>
      </c>
      <c r="H335" s="10">
        <f t="shared" si="19"/>
        <v>15</v>
      </c>
      <c r="I335" s="10">
        <f ca="1">IF(AND(F335&lt;&gt;"", J335&lt;&gt;""), NETWORKDAYS(TODAY(), J335-1, FESTIVOS!A$1:A$55), "")</f>
        <v>-53</v>
      </c>
      <c r="J335" s="49">
        <f>IF(AND(F335&lt;&gt;"", H335&lt;&gt;""), WORKDAY(F335, H335, FESTIVOS!A$1:A$55), "")</f>
        <v>46105</v>
      </c>
      <c r="K335" s="50" t="s">
        <v>656</v>
      </c>
      <c r="L335" s="50">
        <f t="shared" ca="1" si="20"/>
        <v>0</v>
      </c>
      <c r="M335" s="50" t="str">
        <f t="shared" ca="1" si="21"/>
        <v>Vencido</v>
      </c>
      <c r="N335" s="51" t="s">
        <v>624</v>
      </c>
      <c r="O335" s="49">
        <v>46086</v>
      </c>
      <c r="P335" s="35">
        <f>IF(OR(O335="", J335=""), "", NETWORKDAYS(J335, O335, FESTIVOS!A334:A388))</f>
        <v>-14</v>
      </c>
    </row>
    <row r="336" spans="1:16" ht="27.6" customHeight="1" x14ac:dyDescent="0.25">
      <c r="A336" s="10" t="s">
        <v>18</v>
      </c>
      <c r="B336" s="18" t="s">
        <v>466</v>
      </c>
      <c r="C336" s="18" t="s">
        <v>67</v>
      </c>
      <c r="D336" s="18" t="s">
        <v>467</v>
      </c>
      <c r="E336" s="16">
        <v>335</v>
      </c>
      <c r="F336" s="17">
        <v>46084</v>
      </c>
      <c r="G336" s="10" t="s">
        <v>615</v>
      </c>
      <c r="H336" s="10">
        <f t="shared" si="19"/>
        <v>15</v>
      </c>
      <c r="I336" s="10">
        <f ca="1">IF(AND(F336&lt;&gt;"", J336&lt;&gt;""), NETWORKDAYS(TODAY(), J336-1, FESTIVOS!A$1:A$55), "")</f>
        <v>-53</v>
      </c>
      <c r="J336" s="49">
        <f>IF(AND(F336&lt;&gt;"", H336&lt;&gt;""), WORKDAY(F336, H336, FESTIVOS!A$1:A$55), "")</f>
        <v>46106</v>
      </c>
      <c r="K336" s="50" t="s">
        <v>656</v>
      </c>
      <c r="L336" s="50">
        <f t="shared" ca="1" si="20"/>
        <v>0</v>
      </c>
      <c r="M336" s="50" t="str">
        <f t="shared" ca="1" si="21"/>
        <v>Vencido</v>
      </c>
      <c r="N336" s="51" t="s">
        <v>652</v>
      </c>
      <c r="O336" s="49"/>
      <c r="P336" s="35" t="str">
        <f>IF(OR(O336="", J336=""), "", NETWORKDAYS(J336, O336, FESTIVOS!A335:A389))</f>
        <v/>
      </c>
    </row>
    <row r="337" spans="1:16" ht="15.75" x14ac:dyDescent="0.25">
      <c r="A337" s="10" t="s">
        <v>18</v>
      </c>
      <c r="B337" s="18" t="s">
        <v>468</v>
      </c>
      <c r="C337" s="18" t="s">
        <v>67</v>
      </c>
      <c r="D337" s="18" t="s">
        <v>469</v>
      </c>
      <c r="E337" s="16">
        <v>336</v>
      </c>
      <c r="F337" s="17">
        <v>46084</v>
      </c>
      <c r="G337" s="10"/>
      <c r="H337" s="10">
        <f t="shared" si="19"/>
        <v>15</v>
      </c>
      <c r="I337" s="10">
        <f ca="1">IF(AND(F337&lt;&gt;"", J337&lt;&gt;""), NETWORKDAYS(TODAY(), J337-1, FESTIVOS!A$1:A$55), "")</f>
        <v>-53</v>
      </c>
      <c r="J337" s="49">
        <f>IF(AND(F337&lt;&gt;"", H337&lt;&gt;""), WORKDAY(F337, H337, FESTIVOS!A$1:A$55), "")</f>
        <v>46106</v>
      </c>
      <c r="K337" s="50" t="s">
        <v>656</v>
      </c>
      <c r="L337" s="50">
        <f t="shared" ca="1" si="20"/>
        <v>0</v>
      </c>
      <c r="M337" s="50" t="str">
        <f t="shared" ca="1" si="21"/>
        <v>Vencido</v>
      </c>
      <c r="N337" s="50" t="s">
        <v>622</v>
      </c>
      <c r="O337" s="49">
        <v>46097</v>
      </c>
      <c r="P337" s="35">
        <f>IF(OR(O337="", J337=""), "", NETWORKDAYS(J337, O337, FESTIVOS!A336:A390))</f>
        <v>-8</v>
      </c>
    </row>
    <row r="338" spans="1:16" ht="15.75" x14ac:dyDescent="0.25">
      <c r="A338" s="10" t="s">
        <v>18</v>
      </c>
      <c r="B338" s="18" t="s">
        <v>470</v>
      </c>
      <c r="C338" s="18" t="s">
        <v>67</v>
      </c>
      <c r="D338" s="18" t="s">
        <v>471</v>
      </c>
      <c r="E338" s="16">
        <v>337</v>
      </c>
      <c r="F338" s="17">
        <v>46084</v>
      </c>
      <c r="G338" s="10" t="s">
        <v>615</v>
      </c>
      <c r="H338" s="10">
        <f t="shared" si="19"/>
        <v>15</v>
      </c>
      <c r="I338" s="10">
        <f ca="1">IF(AND(F338&lt;&gt;"", J338&lt;&gt;""), NETWORKDAYS(TODAY(), J338-1, FESTIVOS!A$1:A$55), "")</f>
        <v>-53</v>
      </c>
      <c r="J338" s="49">
        <f>IF(AND(F338&lt;&gt;"", H338&lt;&gt;""), WORKDAY(F338, H338, FESTIVOS!A$1:A$55), "")</f>
        <v>46106</v>
      </c>
      <c r="K338" s="50" t="s">
        <v>656</v>
      </c>
      <c r="L338" s="50">
        <f t="shared" ca="1" si="20"/>
        <v>0</v>
      </c>
      <c r="M338" s="50" t="str">
        <f t="shared" ca="1" si="21"/>
        <v>Vencido</v>
      </c>
      <c r="N338" s="50" t="s">
        <v>623</v>
      </c>
      <c r="O338" s="49">
        <v>46097</v>
      </c>
      <c r="P338" s="35">
        <f>IF(OR(O338="", J338=""), "", NETWORKDAYS(J338, O338, FESTIVOS!A337:A391))</f>
        <v>-8</v>
      </c>
    </row>
    <row r="339" spans="1:16" ht="31.5" x14ac:dyDescent="0.25">
      <c r="A339" s="10" t="s">
        <v>18</v>
      </c>
      <c r="B339" s="18" t="s">
        <v>472</v>
      </c>
      <c r="C339" s="18" t="s">
        <v>65</v>
      </c>
      <c r="D339" s="18" t="s">
        <v>473</v>
      </c>
      <c r="E339" s="16">
        <v>338</v>
      </c>
      <c r="F339" s="17">
        <v>46084</v>
      </c>
      <c r="G339" s="10" t="s">
        <v>646</v>
      </c>
      <c r="H339" s="10">
        <f t="shared" si="19"/>
        <v>15</v>
      </c>
      <c r="I339" s="10">
        <f ca="1">IF(AND(F339&lt;&gt;"", J339&lt;&gt;""), NETWORKDAYS(TODAY(), J339-1, FESTIVOS!A$1:A$55), "")</f>
        <v>-53</v>
      </c>
      <c r="J339" s="49">
        <f>IF(AND(F339&lt;&gt;"", H339&lt;&gt;""), WORKDAY(F339, H339, FESTIVOS!A$1:A$55), "")</f>
        <v>46106</v>
      </c>
      <c r="K339" s="50" t="s">
        <v>656</v>
      </c>
      <c r="L339" s="50">
        <f t="shared" ca="1" si="20"/>
        <v>0</v>
      </c>
      <c r="M339" s="50" t="str">
        <f t="shared" ca="1" si="21"/>
        <v>Vencido</v>
      </c>
      <c r="N339" s="51" t="s">
        <v>652</v>
      </c>
      <c r="O339" s="49"/>
      <c r="P339" s="35" t="str">
        <f>IF(OR(O339="", J339=""), "", NETWORKDAYS(J339, O339, FESTIVOS!A338:A392))</f>
        <v/>
      </c>
    </row>
    <row r="340" spans="1:16" ht="15.75" x14ac:dyDescent="0.25">
      <c r="A340" s="10" t="s">
        <v>18</v>
      </c>
      <c r="B340" s="18" t="s">
        <v>474</v>
      </c>
      <c r="C340" s="18" t="s">
        <v>67</v>
      </c>
      <c r="D340" s="18" t="s">
        <v>52</v>
      </c>
      <c r="E340" s="16">
        <v>339</v>
      </c>
      <c r="F340" s="17">
        <v>46084</v>
      </c>
      <c r="G340" s="10" t="s">
        <v>615</v>
      </c>
      <c r="H340" s="10">
        <f t="shared" si="19"/>
        <v>15</v>
      </c>
      <c r="I340" s="10">
        <f ca="1">IF(AND(F340&lt;&gt;"", J340&lt;&gt;""), NETWORKDAYS(TODAY(), J340-1, FESTIVOS!A$1:A$55), "")</f>
        <v>-53</v>
      </c>
      <c r="J340" s="49">
        <f>IF(AND(F340&lt;&gt;"", H340&lt;&gt;""), WORKDAY(F340, H340, FESTIVOS!A$1:A$55), "")</f>
        <v>46106</v>
      </c>
      <c r="K340" s="50" t="s">
        <v>656</v>
      </c>
      <c r="L340" s="50">
        <f t="shared" ca="1" si="20"/>
        <v>0</v>
      </c>
      <c r="M340" s="50" t="str">
        <f t="shared" ca="1" si="21"/>
        <v>Vencido</v>
      </c>
      <c r="N340" s="50" t="s">
        <v>621</v>
      </c>
      <c r="O340" s="49">
        <v>46097</v>
      </c>
      <c r="P340" s="35">
        <f>IF(OR(O340="", J340=""), "", NETWORKDAYS(J340, O340, FESTIVOS!A339:A393))</f>
        <v>-8</v>
      </c>
    </row>
    <row r="341" spans="1:16" ht="15.75" x14ac:dyDescent="0.25">
      <c r="A341" s="10" t="s">
        <v>18</v>
      </c>
      <c r="B341" s="18" t="s">
        <v>475</v>
      </c>
      <c r="C341" s="18" t="s">
        <v>67</v>
      </c>
      <c r="D341" s="18" t="s">
        <v>476</v>
      </c>
      <c r="E341" s="16">
        <v>340</v>
      </c>
      <c r="F341" s="17">
        <v>46084</v>
      </c>
      <c r="G341" s="10" t="s">
        <v>615</v>
      </c>
      <c r="H341" s="10">
        <f t="shared" si="19"/>
        <v>15</v>
      </c>
      <c r="I341" s="10">
        <f ca="1">IF(AND(F341&lt;&gt;"", J341&lt;&gt;""), NETWORKDAYS(TODAY(), J341-1, FESTIVOS!A$1:A$55), "")</f>
        <v>-53</v>
      </c>
      <c r="J341" s="49">
        <f>IF(AND(F341&lt;&gt;"", H341&lt;&gt;""), WORKDAY(F341, H341, FESTIVOS!A$1:A$55), "")</f>
        <v>46106</v>
      </c>
      <c r="K341" s="50" t="s">
        <v>656</v>
      </c>
      <c r="L341" s="50">
        <f t="shared" ca="1" si="20"/>
        <v>0</v>
      </c>
      <c r="M341" s="50" t="str">
        <f t="shared" ca="1" si="21"/>
        <v>Vencido</v>
      </c>
      <c r="N341" s="50" t="s">
        <v>743</v>
      </c>
      <c r="O341" s="49">
        <v>46106</v>
      </c>
      <c r="P341" s="35">
        <f>IF(OR(O341="", J341=""), "", NETWORKDAYS(J341, O341, FESTIVOS!A340:A394))</f>
        <v>1</v>
      </c>
    </row>
    <row r="342" spans="1:16" ht="15.75" x14ac:dyDescent="0.25">
      <c r="A342" s="10" t="s">
        <v>18</v>
      </c>
      <c r="B342" s="18" t="s">
        <v>477</v>
      </c>
      <c r="C342" s="18" t="s">
        <v>67</v>
      </c>
      <c r="D342" s="18" t="s">
        <v>478</v>
      </c>
      <c r="E342" s="16">
        <v>341</v>
      </c>
      <c r="F342" s="17">
        <v>46084</v>
      </c>
      <c r="G342" s="10" t="s">
        <v>615</v>
      </c>
      <c r="H342" s="10">
        <f t="shared" si="19"/>
        <v>15</v>
      </c>
      <c r="I342" s="10">
        <f ca="1">IF(AND(F342&lt;&gt;"", J342&lt;&gt;""), NETWORKDAYS(TODAY(), J342-1, FESTIVOS!A$1:A$55), "")</f>
        <v>-53</v>
      </c>
      <c r="J342" s="49">
        <f>IF(AND(F342&lt;&gt;"", H342&lt;&gt;""), WORKDAY(F342, H342, FESTIVOS!A$1:A$55), "")</f>
        <v>46106</v>
      </c>
      <c r="K342" s="50" t="s">
        <v>656</v>
      </c>
      <c r="L342" s="50">
        <f t="shared" ca="1" si="20"/>
        <v>0</v>
      </c>
      <c r="M342" s="50" t="str">
        <f t="shared" ca="1" si="21"/>
        <v>Vencido</v>
      </c>
      <c r="N342" s="50" t="s">
        <v>608</v>
      </c>
      <c r="O342" s="49">
        <v>46097</v>
      </c>
      <c r="P342" s="35">
        <f>IF(OR(O342="", J342=""), "", NETWORKDAYS(J342, O342, FESTIVOS!A341:A395))</f>
        <v>-8</v>
      </c>
    </row>
    <row r="343" spans="1:16" ht="37.5" x14ac:dyDescent="0.25">
      <c r="A343" s="10" t="s">
        <v>18</v>
      </c>
      <c r="B343" s="31" t="s">
        <v>479</v>
      </c>
      <c r="C343" s="31" t="s">
        <v>67</v>
      </c>
      <c r="D343" s="31" t="s">
        <v>480</v>
      </c>
      <c r="E343" s="32">
        <v>342</v>
      </c>
      <c r="F343" s="33">
        <v>46084</v>
      </c>
      <c r="G343" s="10" t="s">
        <v>615</v>
      </c>
      <c r="H343" s="10">
        <f t="shared" si="19"/>
        <v>15</v>
      </c>
      <c r="I343" s="10">
        <f ca="1">IF(AND(F343&lt;&gt;"", J343&lt;&gt;""), NETWORKDAYS(TODAY(), J343-1, FESTIVOS!A$1:A$55), "")</f>
        <v>-53</v>
      </c>
      <c r="J343" s="49">
        <f>IF(AND(F343&lt;&gt;"", H343&lt;&gt;""), WORKDAY(F343, H343, FESTIVOS!A$1:A$55), "")</f>
        <v>46106</v>
      </c>
      <c r="K343" s="50" t="s">
        <v>656</v>
      </c>
      <c r="L343" s="50">
        <f t="shared" ca="1" si="20"/>
        <v>0</v>
      </c>
      <c r="M343" s="50" t="str">
        <f t="shared" ca="1" si="21"/>
        <v>Vencido</v>
      </c>
      <c r="N343" s="50" t="s">
        <v>607</v>
      </c>
      <c r="O343" s="49">
        <v>46097</v>
      </c>
      <c r="P343" s="35">
        <f>IF(OR(O343="", J343=""), "", NETWORKDAYS(J343, O343, FESTIVOS!A342:A396))</f>
        <v>-8</v>
      </c>
    </row>
    <row r="344" spans="1:16" ht="47.25" x14ac:dyDescent="0.25">
      <c r="A344" s="10" t="s">
        <v>18</v>
      </c>
      <c r="B344" s="18" t="s">
        <v>337</v>
      </c>
      <c r="C344" s="18" t="s">
        <v>88</v>
      </c>
      <c r="D344" s="18" t="s">
        <v>481</v>
      </c>
      <c r="E344" s="16">
        <v>343</v>
      </c>
      <c r="F344" s="17">
        <v>46084</v>
      </c>
      <c r="G344" s="10" t="s">
        <v>615</v>
      </c>
      <c r="H344" s="10">
        <f t="shared" si="19"/>
        <v>15</v>
      </c>
      <c r="I344" s="10">
        <f ca="1">IF(AND(F344&lt;&gt;"", J344&lt;&gt;""), NETWORKDAYS(TODAY(), J344-1, FESTIVOS!A$1:A$55), "")</f>
        <v>-53</v>
      </c>
      <c r="J344" s="49">
        <f>IF(AND(F344&lt;&gt;"", H344&lt;&gt;""), WORKDAY(F344, H344, FESTIVOS!A$1:A$55), "")</f>
        <v>46106</v>
      </c>
      <c r="K344" s="50" t="s">
        <v>656</v>
      </c>
      <c r="L344" s="50">
        <f t="shared" ca="1" si="20"/>
        <v>0</v>
      </c>
      <c r="M344" s="50" t="str">
        <f t="shared" ca="1" si="21"/>
        <v>Vencido</v>
      </c>
      <c r="N344" s="50" t="s">
        <v>691</v>
      </c>
      <c r="O344" s="49">
        <v>46100</v>
      </c>
      <c r="P344" s="35">
        <f>IF(OR(O344="", J344=""), "", NETWORKDAYS(J344, O344, FESTIVOS!A343:A397))</f>
        <v>-5</v>
      </c>
    </row>
    <row r="345" spans="1:16" ht="31.5" x14ac:dyDescent="0.25">
      <c r="A345" s="10" t="s">
        <v>18</v>
      </c>
      <c r="B345" s="18" t="s">
        <v>482</v>
      </c>
      <c r="C345" s="18" t="s">
        <v>88</v>
      </c>
      <c r="D345" s="18" t="s">
        <v>483</v>
      </c>
      <c r="E345" s="16">
        <v>344</v>
      </c>
      <c r="F345" s="17">
        <v>46084</v>
      </c>
      <c r="G345" s="10" t="s">
        <v>615</v>
      </c>
      <c r="H345" s="10">
        <f t="shared" si="19"/>
        <v>15</v>
      </c>
      <c r="I345" s="10">
        <f ca="1">IF(AND(F345&lt;&gt;"", J345&lt;&gt;""), NETWORKDAYS(TODAY(), J345-1, FESTIVOS!A$1:A$55), "")</f>
        <v>-53</v>
      </c>
      <c r="J345" s="49">
        <f>IF(AND(F345&lt;&gt;"", H345&lt;&gt;""), WORKDAY(F345, H345, FESTIVOS!A$1:A$55), "")</f>
        <v>46106</v>
      </c>
      <c r="K345" s="50" t="s">
        <v>656</v>
      </c>
      <c r="L345" s="50">
        <f t="shared" ca="1" si="20"/>
        <v>0</v>
      </c>
      <c r="M345" s="50" t="str">
        <f t="shared" ca="1" si="21"/>
        <v>Vencido</v>
      </c>
      <c r="N345" s="50" t="s">
        <v>609</v>
      </c>
      <c r="O345" s="49">
        <v>46091</v>
      </c>
      <c r="P345" s="35">
        <f>IF(OR(O345="", J345=""), "", NETWORKDAYS(J345, O345, FESTIVOS!A344:A398))</f>
        <v>-12</v>
      </c>
    </row>
    <row r="346" spans="1:16" ht="63" x14ac:dyDescent="0.25">
      <c r="A346" s="10" t="s">
        <v>18</v>
      </c>
      <c r="B346" s="18" t="s">
        <v>484</v>
      </c>
      <c r="C346" s="18" t="s">
        <v>88</v>
      </c>
      <c r="D346" s="18" t="s">
        <v>485</v>
      </c>
      <c r="E346" s="16">
        <v>345</v>
      </c>
      <c r="F346" s="17">
        <v>46084</v>
      </c>
      <c r="G346" s="10" t="s">
        <v>615</v>
      </c>
      <c r="H346" s="10">
        <f t="shared" si="19"/>
        <v>15</v>
      </c>
      <c r="I346" s="10">
        <f ca="1">IF(AND(F346&lt;&gt;"", J346&lt;&gt;""), NETWORKDAYS(TODAY(), J346-1, FESTIVOS!A$1:A$55), "")</f>
        <v>-53</v>
      </c>
      <c r="J346" s="49">
        <f>IF(AND(F346&lt;&gt;"", H346&lt;&gt;""), WORKDAY(F346, H346, FESTIVOS!A$1:A$55), "")</f>
        <v>46106</v>
      </c>
      <c r="K346" s="50" t="s">
        <v>656</v>
      </c>
      <c r="L346" s="50">
        <f t="shared" ca="1" si="20"/>
        <v>0</v>
      </c>
      <c r="M346" s="50" t="str">
        <f t="shared" ca="1" si="21"/>
        <v>Vencido</v>
      </c>
      <c r="N346" s="50" t="s">
        <v>610</v>
      </c>
      <c r="O346" s="49">
        <v>46097</v>
      </c>
      <c r="P346" s="35">
        <f>IF(OR(O346="", J346=""), "", NETWORKDAYS(J346, O346, FESTIVOS!A345:A399))</f>
        <v>-8</v>
      </c>
    </row>
    <row r="347" spans="1:16" ht="15.75" x14ac:dyDescent="0.25">
      <c r="A347" s="10" t="s">
        <v>18</v>
      </c>
      <c r="B347" s="18" t="s">
        <v>486</v>
      </c>
      <c r="C347" s="18" t="s">
        <v>67</v>
      </c>
      <c r="D347" s="18" t="s">
        <v>24</v>
      </c>
      <c r="E347" s="16">
        <v>346</v>
      </c>
      <c r="F347" s="17">
        <v>46085</v>
      </c>
      <c r="G347" s="10" t="s">
        <v>615</v>
      </c>
      <c r="H347" s="10">
        <f t="shared" si="19"/>
        <v>15</v>
      </c>
      <c r="I347" s="10">
        <f ca="1">IF(AND(F347&lt;&gt;"", J347&lt;&gt;""), NETWORKDAYS(TODAY(), J347-1, FESTIVOS!A$1:A$55), "")</f>
        <v>-52</v>
      </c>
      <c r="J347" s="49">
        <f>IF(AND(F347&lt;&gt;"", H347&lt;&gt;""), WORKDAY(F347, H347, FESTIVOS!A$1:A$55), "")</f>
        <v>46107</v>
      </c>
      <c r="K347" s="50" t="s">
        <v>656</v>
      </c>
      <c r="L347" s="50">
        <f t="shared" ca="1" si="20"/>
        <v>0</v>
      </c>
      <c r="M347" s="50" t="str">
        <f ca="1">IF(OR(I347="", H347=""), "", IF(I347&lt;0, "Vencido", IF(I347&gt;(H347/2), "Supere la mitad", "Bajo la mitad")))</f>
        <v>Vencido</v>
      </c>
      <c r="N347" s="50" t="s">
        <v>611</v>
      </c>
      <c r="O347" s="49">
        <v>46092</v>
      </c>
      <c r="P347" s="35">
        <f>IF(OR(O347="", J347=""), "", NETWORKDAYS(J347, O347, FESTIVOS!A346:A400))</f>
        <v>-12</v>
      </c>
    </row>
    <row r="348" spans="1:16" ht="31.5" x14ac:dyDescent="0.25">
      <c r="A348" s="10" t="s">
        <v>18</v>
      </c>
      <c r="B348" s="18" t="s">
        <v>77</v>
      </c>
      <c r="C348" s="18" t="s">
        <v>169</v>
      </c>
      <c r="D348" s="18" t="s">
        <v>487</v>
      </c>
      <c r="E348" s="16">
        <v>347</v>
      </c>
      <c r="F348" s="17">
        <v>46085</v>
      </c>
      <c r="G348" s="10" t="s">
        <v>615</v>
      </c>
      <c r="H348" s="10">
        <f t="shared" si="19"/>
        <v>15</v>
      </c>
      <c r="I348" s="10">
        <f ca="1">IF(AND(F348&lt;&gt;"", J348&lt;&gt;""), NETWORKDAYS(TODAY(), J348-1, FESTIVOS!A$1:A$55), "")</f>
        <v>-52</v>
      </c>
      <c r="J348" s="49">
        <f>IF(AND(F348&lt;&gt;"", H348&lt;&gt;""), WORKDAY(F348, H348, FESTIVOS!A$1:A$55), "")</f>
        <v>46107</v>
      </c>
      <c r="K348" s="50" t="s">
        <v>656</v>
      </c>
      <c r="L348" s="50">
        <f t="shared" ca="1" si="20"/>
        <v>0</v>
      </c>
      <c r="M348" s="50" t="str">
        <f t="shared" ca="1" si="21"/>
        <v>Vencido</v>
      </c>
      <c r="N348" s="51" t="s">
        <v>652</v>
      </c>
      <c r="O348" s="49"/>
      <c r="P348" s="35"/>
    </row>
    <row r="349" spans="1:16" ht="15.75" x14ac:dyDescent="0.25">
      <c r="A349" s="10" t="s">
        <v>18</v>
      </c>
      <c r="B349" s="18" t="s">
        <v>488</v>
      </c>
      <c r="C349" s="18" t="s">
        <v>67</v>
      </c>
      <c r="D349" s="18" t="s">
        <v>489</v>
      </c>
      <c r="E349" s="16">
        <v>348</v>
      </c>
      <c r="F349" s="17">
        <v>46085</v>
      </c>
      <c r="G349" s="10" t="s">
        <v>615</v>
      </c>
      <c r="H349" s="10">
        <f t="shared" si="19"/>
        <v>15</v>
      </c>
      <c r="I349" s="10">
        <f ca="1">IF(AND(F349&lt;&gt;"", J349&lt;&gt;""), NETWORKDAYS(TODAY(), J349-1, FESTIVOS!A$1:A$55), "")</f>
        <v>-52</v>
      </c>
      <c r="J349" s="49">
        <f>IF(AND(F349&lt;&gt;"", H349&lt;&gt;""), WORKDAY(F349, H349, FESTIVOS!A$1:A$55), "")</f>
        <v>46107</v>
      </c>
      <c r="K349" s="50" t="s">
        <v>656</v>
      </c>
      <c r="L349" s="50">
        <f t="shared" ca="1" si="20"/>
        <v>0</v>
      </c>
      <c r="M349" s="50" t="str">
        <f t="shared" ca="1" si="21"/>
        <v>Vencido</v>
      </c>
      <c r="N349" s="50" t="s">
        <v>612</v>
      </c>
      <c r="O349" s="49">
        <v>46097</v>
      </c>
      <c r="P349" s="35">
        <f>IF(OR(O349="", J349=""), "", NETWORKDAYS(J349, O349, FESTIVOS!A348:A402))</f>
        <v>-9</v>
      </c>
    </row>
    <row r="350" spans="1:16" ht="15.75" x14ac:dyDescent="0.25">
      <c r="A350" s="10" t="s">
        <v>18</v>
      </c>
      <c r="B350" s="18" t="s">
        <v>490</v>
      </c>
      <c r="C350" s="18" t="s">
        <v>67</v>
      </c>
      <c r="D350" s="18" t="s">
        <v>118</v>
      </c>
      <c r="E350" s="16">
        <v>349</v>
      </c>
      <c r="F350" s="17">
        <v>46085</v>
      </c>
      <c r="G350" s="10" t="s">
        <v>614</v>
      </c>
      <c r="H350" s="10">
        <f t="shared" si="19"/>
        <v>15</v>
      </c>
      <c r="I350" s="10">
        <f ca="1">IF(AND(F350&lt;&gt;"", J350&lt;&gt;""), NETWORKDAYS(TODAY(), J350-1, FESTIVOS!A$1:A$55), "")</f>
        <v>-52</v>
      </c>
      <c r="J350" s="47">
        <f>IF(AND(F350&lt;&gt;"", H350&lt;&gt;""), WORKDAY(F350, H350, FESTIVOS!A$1:A$55), "")</f>
        <v>46107</v>
      </c>
      <c r="K350" s="48" t="s">
        <v>656</v>
      </c>
      <c r="L350" s="48">
        <f t="shared" ca="1" si="20"/>
        <v>0</v>
      </c>
      <c r="M350" s="48" t="str">
        <f t="shared" ca="1" si="21"/>
        <v>Vencido</v>
      </c>
      <c r="N350" s="48" t="s">
        <v>697</v>
      </c>
      <c r="O350" s="47">
        <v>46092</v>
      </c>
      <c r="P350" s="35">
        <f>IF(OR(O350="", J350=""), "", NETWORKDAYS(J350, O350, FESTIVOS!A349:A403))</f>
        <v>-12</v>
      </c>
    </row>
    <row r="351" spans="1:16" ht="15.75" x14ac:dyDescent="0.25">
      <c r="A351" s="10" t="s">
        <v>18</v>
      </c>
      <c r="B351" s="18" t="s">
        <v>491</v>
      </c>
      <c r="C351" s="18" t="s">
        <v>67</v>
      </c>
      <c r="D351" s="18" t="s">
        <v>299</v>
      </c>
      <c r="E351" s="16">
        <v>350</v>
      </c>
      <c r="F351" s="17">
        <v>46085</v>
      </c>
      <c r="G351" s="10" t="s">
        <v>615</v>
      </c>
      <c r="H351" s="10">
        <f t="shared" si="19"/>
        <v>15</v>
      </c>
      <c r="I351" s="10">
        <f ca="1">IF(AND(F351&lt;&gt;"", J351&lt;&gt;""), NETWORKDAYS(TODAY(), J351-1, FESTIVOS!A$1:A$55), "")</f>
        <v>-52</v>
      </c>
      <c r="J351" s="49">
        <f>IF(AND(F351&lt;&gt;"", H351&lt;&gt;""), WORKDAY(F351, H351, FESTIVOS!A$1:A$55), "")</f>
        <v>46107</v>
      </c>
      <c r="K351" s="50" t="s">
        <v>656</v>
      </c>
      <c r="L351" s="50">
        <f t="shared" ca="1" si="20"/>
        <v>0</v>
      </c>
      <c r="M351" s="50" t="str">
        <f t="shared" ca="1" si="21"/>
        <v>Vencido</v>
      </c>
      <c r="N351" s="50" t="s">
        <v>698</v>
      </c>
      <c r="O351" s="49">
        <v>46098</v>
      </c>
      <c r="P351" s="35">
        <f>IF(OR(O351="", J351=""), "", NETWORKDAYS(J351, O351, FESTIVOS!A350:A404))</f>
        <v>-8</v>
      </c>
    </row>
    <row r="352" spans="1:16" ht="47.25" x14ac:dyDescent="0.25">
      <c r="A352" s="10" t="s">
        <v>18</v>
      </c>
      <c r="B352" s="18" t="s">
        <v>77</v>
      </c>
      <c r="C352" s="18" t="s">
        <v>169</v>
      </c>
      <c r="D352" s="18" t="s">
        <v>492</v>
      </c>
      <c r="E352" s="16">
        <v>351</v>
      </c>
      <c r="F352" s="17">
        <v>46085</v>
      </c>
      <c r="G352" s="10" t="s">
        <v>615</v>
      </c>
      <c r="H352" s="10">
        <f t="shared" si="19"/>
        <v>15</v>
      </c>
      <c r="I352" s="10">
        <f ca="1">IF(AND(F352&lt;&gt;"", J352&lt;&gt;""), NETWORKDAYS(TODAY(), J352-1, FESTIVOS!A$1:A$55), "")</f>
        <v>-52</v>
      </c>
      <c r="J352" s="49">
        <f>IF(AND(F352&lt;&gt;"", H352&lt;&gt;""), WORKDAY(F352, H352, FESTIVOS!A$1:A$55), "")</f>
        <v>46107</v>
      </c>
      <c r="K352" s="50" t="s">
        <v>656</v>
      </c>
      <c r="L352" s="50">
        <f t="shared" ca="1" si="20"/>
        <v>0</v>
      </c>
      <c r="M352" s="50" t="str">
        <f t="shared" ca="1" si="21"/>
        <v>Vencido</v>
      </c>
      <c r="N352" s="51" t="s">
        <v>652</v>
      </c>
      <c r="O352" s="49"/>
      <c r="P352" s="35" t="str">
        <f>IF(OR(O352="", J352=""), "", NETWORKDAYS(J352, O352, FESTIVOS!A351:A405))</f>
        <v/>
      </c>
    </row>
    <row r="353" spans="1:16" ht="47.25" x14ac:dyDescent="0.25">
      <c r="A353" s="10" t="s">
        <v>18</v>
      </c>
      <c r="B353" s="18" t="s">
        <v>493</v>
      </c>
      <c r="C353" s="18" t="s">
        <v>67</v>
      </c>
      <c r="D353" s="18" t="s">
        <v>494</v>
      </c>
      <c r="E353" s="16">
        <v>352</v>
      </c>
      <c r="F353" s="17">
        <v>46085</v>
      </c>
      <c r="G353" s="10" t="s">
        <v>615</v>
      </c>
      <c r="H353" s="10">
        <f t="shared" si="19"/>
        <v>15</v>
      </c>
      <c r="I353" s="10">
        <f ca="1">IF(AND(F353&lt;&gt;"", J353&lt;&gt;""), NETWORKDAYS(TODAY(), J353-1, FESTIVOS!A$1:A$55), "")</f>
        <v>-52</v>
      </c>
      <c r="J353" s="49">
        <f>IF(AND(F353&lt;&gt;"", H353&lt;&gt;""), WORKDAY(F353, H353, FESTIVOS!A$1:A$55), "")</f>
        <v>46107</v>
      </c>
      <c r="K353" s="50" t="s">
        <v>656</v>
      </c>
      <c r="L353" s="50">
        <f t="shared" ca="1" si="20"/>
        <v>0</v>
      </c>
      <c r="M353" s="50" t="str">
        <f t="shared" ca="1" si="21"/>
        <v>Vencido</v>
      </c>
      <c r="N353" s="50" t="s">
        <v>613</v>
      </c>
      <c r="O353" s="49">
        <v>46092</v>
      </c>
      <c r="P353" s="35">
        <f>IF(OR(O353="", J353=""), "", NETWORKDAYS(J353, O353, FESTIVOS!A352:A406))</f>
        <v>-12</v>
      </c>
    </row>
    <row r="354" spans="1:16" ht="47.25" x14ac:dyDescent="0.25">
      <c r="A354" s="10" t="s">
        <v>18</v>
      </c>
      <c r="B354" s="18" t="s">
        <v>399</v>
      </c>
      <c r="C354" s="18" t="s">
        <v>169</v>
      </c>
      <c r="D354" s="18" t="s">
        <v>495</v>
      </c>
      <c r="E354" s="16">
        <v>353</v>
      </c>
      <c r="F354" s="17">
        <v>46085</v>
      </c>
      <c r="G354" s="10" t="s">
        <v>615</v>
      </c>
      <c r="H354" s="10">
        <f t="shared" si="19"/>
        <v>15</v>
      </c>
      <c r="I354" s="10">
        <f ca="1">IF(AND(F354&lt;&gt;"", J354&lt;&gt;""), NETWORKDAYS(TODAY(), J354-1, FESTIVOS!A$1:A$55), "")</f>
        <v>-52</v>
      </c>
      <c r="J354" s="49">
        <f>IF(AND(F354&lt;&gt;"", H354&lt;&gt;""), WORKDAY(F354, H354, FESTIVOS!A$1:A$55), "")</f>
        <v>46107</v>
      </c>
      <c r="K354" s="50" t="s">
        <v>656</v>
      </c>
      <c r="L354" s="50">
        <f t="shared" ca="1" si="20"/>
        <v>0</v>
      </c>
      <c r="M354" s="50" t="str">
        <f t="shared" ca="1" si="21"/>
        <v>Vencido</v>
      </c>
      <c r="N354" s="50" t="s">
        <v>742</v>
      </c>
      <c r="O354" s="49">
        <v>46106</v>
      </c>
      <c r="P354" s="35">
        <f>IF(OR(O354="", J354=""), "", NETWORKDAYS(J354, O354, FESTIVOS!A353:A407))</f>
        <v>-2</v>
      </c>
    </row>
    <row r="355" spans="1:16" ht="15.75" x14ac:dyDescent="0.25">
      <c r="A355" s="10" t="s">
        <v>18</v>
      </c>
      <c r="B355" s="18" t="s">
        <v>56</v>
      </c>
      <c r="C355" s="18" t="s">
        <v>84</v>
      </c>
      <c r="D355" s="18" t="s">
        <v>445</v>
      </c>
      <c r="E355" s="16">
        <v>354</v>
      </c>
      <c r="F355" s="17">
        <v>46085</v>
      </c>
      <c r="G355" s="10" t="s">
        <v>615</v>
      </c>
      <c r="H355" s="10">
        <f t="shared" si="19"/>
        <v>15</v>
      </c>
      <c r="I355" s="10">
        <f ca="1">IF(AND(F355&lt;&gt;"", J355&lt;&gt;""), NETWORKDAYS(TODAY(), J355-1, FESTIVOS!A$1:A$55), "")</f>
        <v>-52</v>
      </c>
      <c r="J355" s="11">
        <f>IF(AND(F355&lt;&gt;"", H355&lt;&gt;""), WORKDAY(F355, H355, FESTIVOS!A$1:A$55), "")</f>
        <v>46107</v>
      </c>
      <c r="K355" s="10" t="s">
        <v>656</v>
      </c>
      <c r="L355" s="10">
        <f t="shared" ca="1" si="20"/>
        <v>0</v>
      </c>
      <c r="M355" s="10" t="str">
        <f t="shared" ca="1" si="21"/>
        <v>Vencido</v>
      </c>
      <c r="N355" s="10" t="s">
        <v>606</v>
      </c>
      <c r="O355" s="11">
        <v>46036</v>
      </c>
      <c r="P355" s="35">
        <f>IF(OR(O355="", J355=""), "", NETWORKDAYS(J355, O355, FESTIVOS!A354:A408))</f>
        <v>-52</v>
      </c>
    </row>
    <row r="356" spans="1:16" ht="15.75" x14ac:dyDescent="0.25">
      <c r="A356" s="10" t="s">
        <v>18</v>
      </c>
      <c r="B356" s="18" t="s">
        <v>496</v>
      </c>
      <c r="C356" s="18" t="s">
        <v>67</v>
      </c>
      <c r="D356" s="18" t="s">
        <v>497</v>
      </c>
      <c r="E356" s="16">
        <v>355</v>
      </c>
      <c r="F356" s="17">
        <v>46085</v>
      </c>
      <c r="G356" s="10" t="s">
        <v>615</v>
      </c>
      <c r="H356" s="10">
        <f t="shared" si="19"/>
        <v>15</v>
      </c>
      <c r="I356" s="10">
        <f ca="1">IF(AND(F356&lt;&gt;"", J356&lt;&gt;""), NETWORKDAYS(TODAY(), J356-1, FESTIVOS!A$1:A$55), "")</f>
        <v>-52</v>
      </c>
      <c r="J356" s="47">
        <f>IF(AND(F356&lt;&gt;"", H356&lt;&gt;""), WORKDAY(F356, H356, FESTIVOS!A$1:A$55), "")</f>
        <v>46107</v>
      </c>
      <c r="K356" s="48" t="s">
        <v>656</v>
      </c>
      <c r="L356" s="48">
        <f t="shared" ca="1" si="20"/>
        <v>0</v>
      </c>
      <c r="M356" s="48" t="str">
        <f t="shared" ca="1" si="21"/>
        <v>Vencido</v>
      </c>
      <c r="N356" s="48" t="s">
        <v>618</v>
      </c>
      <c r="O356" s="47">
        <v>46092</v>
      </c>
      <c r="P356" s="35">
        <f>IF(OR(O356="", J356=""), "", NETWORKDAYS(J356, O356, FESTIVOS!A355:A409))</f>
        <v>-12</v>
      </c>
    </row>
    <row r="357" spans="1:16" ht="15.75" x14ac:dyDescent="0.25">
      <c r="A357" s="10" t="s">
        <v>18</v>
      </c>
      <c r="B357" s="18" t="s">
        <v>498</v>
      </c>
      <c r="C357" s="18" t="s">
        <v>67</v>
      </c>
      <c r="D357" s="18" t="s">
        <v>21</v>
      </c>
      <c r="E357" s="16">
        <v>356</v>
      </c>
      <c r="F357" s="17">
        <v>46085</v>
      </c>
      <c r="G357" s="10" t="s">
        <v>614</v>
      </c>
      <c r="H357" s="10">
        <f t="shared" si="19"/>
        <v>15</v>
      </c>
      <c r="I357" s="10">
        <f ca="1">IF(AND(F357&lt;&gt;"", J357&lt;&gt;""), NETWORKDAYS(TODAY(), J357-1, FESTIVOS!A$1:A$55), "")</f>
        <v>-52</v>
      </c>
      <c r="J357" s="49">
        <f>IF(AND(F357&lt;&gt;"", H357&lt;&gt;""), WORKDAY(F357, H357, FESTIVOS!A$1:A$55), "")</f>
        <v>46107</v>
      </c>
      <c r="K357" s="50" t="s">
        <v>656</v>
      </c>
      <c r="L357" s="50">
        <f t="shared" ca="1" si="20"/>
        <v>0</v>
      </c>
      <c r="M357" s="50" t="str">
        <f t="shared" ca="1" si="21"/>
        <v>Vencido</v>
      </c>
      <c r="N357" s="50" t="s">
        <v>619</v>
      </c>
      <c r="O357" s="49">
        <v>46091</v>
      </c>
      <c r="P357" s="35">
        <f>IF(OR(O357="", J357=""), "", NETWORKDAYS(J357, O357, FESTIVOS!A356:A410))</f>
        <v>-13</v>
      </c>
    </row>
    <row r="358" spans="1:16" ht="31.5" x14ac:dyDescent="0.25">
      <c r="A358" s="10" t="s">
        <v>18</v>
      </c>
      <c r="B358" s="18" t="s">
        <v>499</v>
      </c>
      <c r="C358" s="18" t="s">
        <v>67</v>
      </c>
      <c r="D358" s="18" t="s">
        <v>500</v>
      </c>
      <c r="E358" s="16">
        <v>357</v>
      </c>
      <c r="F358" s="17">
        <v>46086</v>
      </c>
      <c r="G358" s="10" t="s">
        <v>615</v>
      </c>
      <c r="H358" s="10">
        <f t="shared" si="19"/>
        <v>15</v>
      </c>
      <c r="I358" s="10">
        <f ca="1">IF(AND(F358&lt;&gt;"", J358&lt;&gt;""), NETWORKDAYS(TODAY(), J358-1, FESTIVOS!A$1:A$55), "")</f>
        <v>-51</v>
      </c>
      <c r="J358" s="49">
        <f>IF(AND(F358&lt;&gt;"", H358&lt;&gt;""), WORKDAY(F358, H358, FESTIVOS!A$1:A$55), "")</f>
        <v>46108</v>
      </c>
      <c r="K358" s="50" t="s">
        <v>656</v>
      </c>
      <c r="L358" s="50">
        <f t="shared" ca="1" si="20"/>
        <v>0</v>
      </c>
      <c r="M358" s="50" t="str">
        <f t="shared" ca="1" si="21"/>
        <v>Vencido</v>
      </c>
      <c r="N358" s="50" t="s">
        <v>620</v>
      </c>
      <c r="O358" s="49">
        <v>46092</v>
      </c>
      <c r="P358" s="35">
        <f>IF(OR(O358="", J358=""), "", NETWORKDAYS(J358, O358, FESTIVOS!A357:A411))</f>
        <v>-13</v>
      </c>
    </row>
    <row r="359" spans="1:16" ht="25.5" x14ac:dyDescent="0.25">
      <c r="A359" s="10" t="s">
        <v>18</v>
      </c>
      <c r="B359" s="18" t="s">
        <v>501</v>
      </c>
      <c r="C359" s="18" t="s">
        <v>67</v>
      </c>
      <c r="D359" s="18" t="s">
        <v>30</v>
      </c>
      <c r="E359" s="16">
        <v>358</v>
      </c>
      <c r="F359" s="17">
        <v>46086</v>
      </c>
      <c r="G359" s="10" t="s">
        <v>658</v>
      </c>
      <c r="H359" s="10">
        <f t="shared" si="19"/>
        <v>15</v>
      </c>
      <c r="I359" s="10">
        <f ca="1">IF(AND(F359&lt;&gt;"", J359&lt;&gt;""), NETWORKDAYS(TODAY(), J359-1, FESTIVOS!A$1:A$55), "")</f>
        <v>-51</v>
      </c>
      <c r="J359" s="66">
        <f>IF(AND(F359&lt;&gt;"", H359&lt;&gt;""), WORKDAY(F359, H359, FESTIVOS!A$1:A$55), "")</f>
        <v>46108</v>
      </c>
      <c r="K359" s="67" t="s">
        <v>656</v>
      </c>
      <c r="L359" s="67">
        <f t="shared" ca="1" si="20"/>
        <v>0</v>
      </c>
      <c r="M359" s="67" t="str">
        <f t="shared" ca="1" si="21"/>
        <v>Vencido</v>
      </c>
      <c r="N359" s="68" t="s">
        <v>741</v>
      </c>
      <c r="O359" s="66"/>
      <c r="P359" s="35" t="str">
        <f>IF(OR(O359="", J359=""), "", NETWORKDAYS(J359, O359, FESTIVOS!A358:A412))</f>
        <v/>
      </c>
    </row>
    <row r="360" spans="1:16" ht="15.75" x14ac:dyDescent="0.25">
      <c r="A360" s="10" t="s">
        <v>18</v>
      </c>
      <c r="B360" s="34" t="s">
        <v>502</v>
      </c>
      <c r="C360" s="18" t="s">
        <v>67</v>
      </c>
      <c r="D360" s="30" t="s">
        <v>503</v>
      </c>
      <c r="E360" s="16">
        <v>359</v>
      </c>
      <c r="F360" s="17">
        <v>46086</v>
      </c>
      <c r="G360" s="10" t="s">
        <v>615</v>
      </c>
      <c r="H360" s="10">
        <f t="shared" si="19"/>
        <v>15</v>
      </c>
      <c r="I360" s="10">
        <f ca="1">IF(AND(F360&lt;&gt;"", J360&lt;&gt;""), NETWORKDAYS(TODAY(), J360-1, FESTIVOS!A$1:A$55), "")</f>
        <v>-51</v>
      </c>
      <c r="J360" s="49">
        <f>IF(AND(F360&lt;&gt;"", H360&lt;&gt;""), WORKDAY(F360, H360, FESTIVOS!A$1:A$55), "")</f>
        <v>46108</v>
      </c>
      <c r="K360" s="50" t="s">
        <v>656</v>
      </c>
      <c r="L360" s="50">
        <f t="shared" ca="1" si="20"/>
        <v>0</v>
      </c>
      <c r="M360" s="50" t="str">
        <f t="shared" ca="1" si="21"/>
        <v>Vencido</v>
      </c>
      <c r="N360" s="50" t="s">
        <v>740</v>
      </c>
      <c r="O360" s="49">
        <v>46087</v>
      </c>
      <c r="P360" s="35">
        <f>IF(OR(O360="", J360=""), "", NETWORKDAYS(J360, O360, FESTIVOS!A359:A413))</f>
        <v>-16</v>
      </c>
    </row>
    <row r="361" spans="1:16" ht="47.25" x14ac:dyDescent="0.25">
      <c r="A361" s="10" t="s">
        <v>18</v>
      </c>
      <c r="B361" s="18" t="s">
        <v>301</v>
      </c>
      <c r="C361" s="18" t="s">
        <v>88</v>
      </c>
      <c r="D361" s="18" t="s">
        <v>504</v>
      </c>
      <c r="E361" s="16">
        <v>360</v>
      </c>
      <c r="F361" s="17">
        <v>46087</v>
      </c>
      <c r="G361" s="10" t="s">
        <v>615</v>
      </c>
      <c r="H361" s="10">
        <f t="shared" si="19"/>
        <v>15</v>
      </c>
      <c r="I361" s="10">
        <f ca="1">IF(AND(F361&lt;&gt;"", J361&lt;&gt;""), NETWORKDAYS(TODAY(), J361-1, FESTIVOS!A$1:A$55), "")</f>
        <v>-49</v>
      </c>
      <c r="J361" s="49">
        <f>IF(AND(F361&lt;&gt;"", H361&lt;&gt;""), WORKDAY(F361, H361, FESTIVOS!A$1:A$55), "")</f>
        <v>46111</v>
      </c>
      <c r="K361" s="50" t="s">
        <v>656</v>
      </c>
      <c r="L361" s="50">
        <f t="shared" ca="1" si="20"/>
        <v>0</v>
      </c>
      <c r="M361" s="50" t="str">
        <f t="shared" ca="1" si="21"/>
        <v>Vencido</v>
      </c>
      <c r="N361" s="50" t="s">
        <v>686</v>
      </c>
      <c r="O361" s="49">
        <v>46105</v>
      </c>
      <c r="P361" s="35">
        <f>IF(OR(O361="", J361=""), "", NETWORKDAYS(J361, O361, FESTIVOS!A360:A414))</f>
        <v>-5</v>
      </c>
    </row>
    <row r="362" spans="1:16" ht="15.75" x14ac:dyDescent="0.25">
      <c r="A362" s="10" t="s">
        <v>18</v>
      </c>
      <c r="B362" s="18" t="s">
        <v>505</v>
      </c>
      <c r="C362" s="18" t="s">
        <v>169</v>
      </c>
      <c r="D362" s="18" t="s">
        <v>299</v>
      </c>
      <c r="E362" s="16">
        <v>361</v>
      </c>
      <c r="F362" s="17">
        <v>46087</v>
      </c>
      <c r="G362" s="10" t="s">
        <v>615</v>
      </c>
      <c r="H362" s="10">
        <f t="shared" si="19"/>
        <v>15</v>
      </c>
      <c r="I362" s="10">
        <f ca="1">IF(AND(F362&lt;&gt;"", J362&lt;&gt;""), NETWORKDAYS(TODAY(), J362-1, FESTIVOS!A$1:A$55), "")</f>
        <v>-49</v>
      </c>
      <c r="J362" s="49">
        <f>IF(AND(F362&lt;&gt;"", H362&lt;&gt;""), WORKDAY(F362, H362, FESTIVOS!A$1:A$55), "")</f>
        <v>46111</v>
      </c>
      <c r="K362" s="50" t="s">
        <v>656</v>
      </c>
      <c r="L362" s="50">
        <f t="shared" ca="1" si="20"/>
        <v>0</v>
      </c>
      <c r="M362" s="50" t="str">
        <f t="shared" ca="1" si="21"/>
        <v>Vencido</v>
      </c>
      <c r="N362" s="50" t="s">
        <v>750</v>
      </c>
      <c r="O362" s="49">
        <v>46105</v>
      </c>
      <c r="P362" s="35">
        <f>IF(OR(O362="", J362=""), "", NETWORKDAYS(J362, O362, FESTIVOS!A361:A415))</f>
        <v>-5</v>
      </c>
    </row>
    <row r="363" spans="1:16" ht="31.5" x14ac:dyDescent="0.25">
      <c r="A363" s="10" t="s">
        <v>18</v>
      </c>
      <c r="B363" s="18" t="s">
        <v>62</v>
      </c>
      <c r="C363" s="18" t="s">
        <v>88</v>
      </c>
      <c r="D363" s="18" t="s">
        <v>506</v>
      </c>
      <c r="E363" s="16">
        <v>362</v>
      </c>
      <c r="F363" s="17">
        <v>46087</v>
      </c>
      <c r="G363" s="10" t="s">
        <v>615</v>
      </c>
      <c r="H363" s="10">
        <f t="shared" si="19"/>
        <v>15</v>
      </c>
      <c r="I363" s="10">
        <f ca="1">IF(AND(F363&lt;&gt;"", J363&lt;&gt;""), NETWORKDAYS(TODAY(), J363-1, FESTIVOS!A$1:A$55), "")</f>
        <v>-49</v>
      </c>
      <c r="J363" s="49">
        <f>IF(AND(F363&lt;&gt;"", H363&lt;&gt;""), WORKDAY(F363, H363, FESTIVOS!A$1:A$55), "")</f>
        <v>46111</v>
      </c>
      <c r="K363" s="50" t="s">
        <v>656</v>
      </c>
      <c r="L363" s="50">
        <f t="shared" ca="1" si="20"/>
        <v>0</v>
      </c>
      <c r="M363" s="50" t="str">
        <f t="shared" ca="1" si="21"/>
        <v>Vencido</v>
      </c>
      <c r="N363" s="50" t="s">
        <v>756</v>
      </c>
      <c r="O363" s="49">
        <v>46108</v>
      </c>
      <c r="P363" s="35">
        <f>IF(OR(O363="", J363=""), "", NETWORKDAYS(J363, O363, FESTIVOS!A362:A416))</f>
        <v>-2</v>
      </c>
    </row>
    <row r="364" spans="1:16" ht="15.75" x14ac:dyDescent="0.25">
      <c r="A364" s="10" t="s">
        <v>18</v>
      </c>
      <c r="B364" s="18" t="s">
        <v>507</v>
      </c>
      <c r="C364" s="18" t="s">
        <v>162</v>
      </c>
      <c r="D364" s="18" t="s">
        <v>508</v>
      </c>
      <c r="E364" s="16">
        <v>363</v>
      </c>
      <c r="F364" s="17">
        <v>46087</v>
      </c>
      <c r="G364" s="10" t="s">
        <v>615</v>
      </c>
      <c r="H364" s="10">
        <f t="shared" si="19"/>
        <v>15</v>
      </c>
      <c r="I364" s="10">
        <f ca="1">IF(AND(F364&lt;&gt;"", J364&lt;&gt;""), NETWORKDAYS(TODAY(), J364-1, FESTIVOS!A$1:A$55), "")</f>
        <v>-49</v>
      </c>
      <c r="J364" s="49">
        <f>IF(AND(F364&lt;&gt;"", H364&lt;&gt;""), WORKDAY(F364, H364, FESTIVOS!A$1:A$55), "")</f>
        <v>46111</v>
      </c>
      <c r="K364" s="50" t="s">
        <v>656</v>
      </c>
      <c r="L364" s="50">
        <f t="shared" ca="1" si="20"/>
        <v>0</v>
      </c>
      <c r="M364" s="50" t="str">
        <f t="shared" ca="1" si="21"/>
        <v>Vencido</v>
      </c>
      <c r="N364" s="50" t="s">
        <v>751</v>
      </c>
      <c r="O364" s="49">
        <v>46097</v>
      </c>
      <c r="P364" s="35">
        <f>IF(OR(O364="", J364=""), "", NETWORKDAYS(J364, O364, FESTIVOS!A363:A417))</f>
        <v>-11</v>
      </c>
    </row>
    <row r="365" spans="1:16" ht="78.75" x14ac:dyDescent="0.25">
      <c r="A365" s="10" t="s">
        <v>18</v>
      </c>
      <c r="B365" s="18" t="s">
        <v>258</v>
      </c>
      <c r="C365" s="18" t="s">
        <v>88</v>
      </c>
      <c r="D365" s="18" t="s">
        <v>509</v>
      </c>
      <c r="E365" s="16">
        <v>364</v>
      </c>
      <c r="F365" s="17">
        <v>46087</v>
      </c>
      <c r="G365" s="10" t="s">
        <v>614</v>
      </c>
      <c r="H365" s="10">
        <v>10</v>
      </c>
      <c r="I365" s="10">
        <f ca="1">IF(AND(F365&lt;&gt;"", J365&lt;&gt;""), NETWORKDAYS(TODAY(), J365-1, FESTIVOS!A$1:A$55), "")</f>
        <v>-55</v>
      </c>
      <c r="J365" s="47">
        <f>IF(AND(F365&lt;&gt;"", H365&lt;&gt;""), WORKDAY(F365, H365, FESTIVOS!A$1:A$55), "")</f>
        <v>46101</v>
      </c>
      <c r="K365" s="48" t="s">
        <v>656</v>
      </c>
      <c r="L365" s="48">
        <f t="shared" ca="1" si="20"/>
        <v>0</v>
      </c>
      <c r="M365" s="48" t="str">
        <f t="shared" ca="1" si="21"/>
        <v>Vencido</v>
      </c>
      <c r="N365" s="48" t="s">
        <v>704</v>
      </c>
      <c r="O365" s="47">
        <v>46093</v>
      </c>
      <c r="P365" s="35">
        <f>IF(OR(O365="", J365=""), "", NETWORKDAYS(J365, O365, FESTIVOS!A364:A418))</f>
        <v>-7</v>
      </c>
    </row>
    <row r="366" spans="1:16" ht="78.75" x14ac:dyDescent="0.25">
      <c r="A366" s="10" t="s">
        <v>18</v>
      </c>
      <c r="B366" s="18" t="s">
        <v>258</v>
      </c>
      <c r="C366" s="18" t="s">
        <v>88</v>
      </c>
      <c r="D366" s="18" t="s">
        <v>509</v>
      </c>
      <c r="E366" s="16">
        <v>365</v>
      </c>
      <c r="F366" s="17">
        <v>46087</v>
      </c>
      <c r="G366" s="10" t="s">
        <v>614</v>
      </c>
      <c r="H366" s="10">
        <f>IF(A366="INFORMACIÓN O DOCUMENTOS", 10, IF(A366="CONSULTA", 30, IF(A366="FACTURACIÓN Y COBROS", 15, IF(A366="VINCULACIÓN Y DESVINCULACIÓN", 15, IF(A366="NO ES DE NUESTRA COMPETENCIA", 5, IF(A366="OTRO", 15, ""))))))</f>
        <v>15</v>
      </c>
      <c r="I366" s="10">
        <f ca="1">IF(AND(F366&lt;&gt;"", J366&lt;&gt;""), NETWORKDAYS(TODAY(), J366-1, FESTIVOS!A$1:A$55), "")</f>
        <v>-49</v>
      </c>
      <c r="J366" s="47">
        <f>IF(AND(F366&lt;&gt;"", H366&lt;&gt;""), WORKDAY(F366, H366, FESTIVOS!A$1:A$55), "")</f>
        <v>46111</v>
      </c>
      <c r="K366" s="48" t="s">
        <v>656</v>
      </c>
      <c r="L366" s="48">
        <f t="shared" ca="1" si="20"/>
        <v>0</v>
      </c>
      <c r="M366" s="48" t="str">
        <f t="shared" ca="1" si="21"/>
        <v>Vencido</v>
      </c>
      <c r="N366" s="48" t="s">
        <v>705</v>
      </c>
      <c r="O366" s="47">
        <v>46097</v>
      </c>
      <c r="P366" s="35">
        <f>IF(OR(O366="", J366=""), "", NETWORKDAYS(J366, O366, FESTIVOS!A365:A419))</f>
        <v>-11</v>
      </c>
    </row>
    <row r="367" spans="1:16" ht="47.25" x14ac:dyDescent="0.25">
      <c r="A367" s="10" t="s">
        <v>18</v>
      </c>
      <c r="B367" s="18" t="s">
        <v>399</v>
      </c>
      <c r="C367" s="18" t="s">
        <v>67</v>
      </c>
      <c r="D367" s="18" t="s">
        <v>510</v>
      </c>
      <c r="E367" s="16">
        <v>366</v>
      </c>
      <c r="F367" s="17">
        <v>46087</v>
      </c>
      <c r="G367" s="10" t="s">
        <v>615</v>
      </c>
      <c r="H367" s="10">
        <f t="shared" si="19"/>
        <v>15</v>
      </c>
      <c r="I367" s="10">
        <f ca="1">IF(AND(F367&lt;&gt;"", J367&lt;&gt;""), NETWORKDAYS(TODAY(), J367-1, FESTIVOS!A$1:A$55), "")</f>
        <v>-49</v>
      </c>
      <c r="J367" s="49">
        <f>IF(AND(F367&lt;&gt;"", H367&lt;&gt;""), WORKDAY(F367, H367, FESTIVOS!A$1:A$55), "")</f>
        <v>46111</v>
      </c>
      <c r="K367" s="50" t="s">
        <v>656</v>
      </c>
      <c r="L367" s="50">
        <f t="shared" ca="1" si="20"/>
        <v>0</v>
      </c>
      <c r="M367" s="50" t="str">
        <f t="shared" ca="1" si="21"/>
        <v>Vencido</v>
      </c>
      <c r="N367" s="50" t="s">
        <v>699</v>
      </c>
      <c r="O367" s="49">
        <v>46105</v>
      </c>
      <c r="P367" s="35">
        <f>IF(OR(O367="", J367=""), "", NETWORKDAYS(J367, O367, FESTIVOS!A366:A420))</f>
        <v>-5</v>
      </c>
    </row>
    <row r="368" spans="1:16" ht="31.5" x14ac:dyDescent="0.25">
      <c r="A368" s="10" t="s">
        <v>18</v>
      </c>
      <c r="B368" s="18" t="s">
        <v>511</v>
      </c>
      <c r="C368" s="18" t="s">
        <v>67</v>
      </c>
      <c r="D368" s="18" t="s">
        <v>512</v>
      </c>
      <c r="E368" s="16">
        <v>367</v>
      </c>
      <c r="F368" s="17">
        <v>46087</v>
      </c>
      <c r="G368" s="10" t="s">
        <v>658</v>
      </c>
      <c r="H368" s="10">
        <f t="shared" si="19"/>
        <v>15</v>
      </c>
      <c r="I368" s="10">
        <f ca="1">IF(AND(F368&lt;&gt;"", J368&lt;&gt;""), NETWORKDAYS(TODAY(), J368-1, FESTIVOS!A$1:A$55), "")</f>
        <v>-49</v>
      </c>
      <c r="J368" s="66">
        <f>IF(AND(F368&lt;&gt;"", H368&lt;&gt;""), WORKDAY(F368, H368, FESTIVOS!A$1:A$55), "")</f>
        <v>46111</v>
      </c>
      <c r="K368" s="67" t="s">
        <v>656</v>
      </c>
      <c r="L368" s="67">
        <f t="shared" ca="1" si="20"/>
        <v>0</v>
      </c>
      <c r="M368" s="67" t="str">
        <f t="shared" ca="1" si="21"/>
        <v>Vencido</v>
      </c>
      <c r="N368" s="68" t="s">
        <v>652</v>
      </c>
      <c r="O368" s="66"/>
      <c r="P368" s="35" t="str">
        <f>IF(OR(O368="", J368=""), "", NETWORKDAYS(J368, O368, FESTIVOS!A367:A421))</f>
        <v/>
      </c>
    </row>
    <row r="369" spans="1:16" ht="31.5" x14ac:dyDescent="0.25">
      <c r="A369" s="10" t="s">
        <v>18</v>
      </c>
      <c r="B369" s="18" t="s">
        <v>513</v>
      </c>
      <c r="C369" s="18" t="s">
        <v>67</v>
      </c>
      <c r="D369" s="18" t="s">
        <v>514</v>
      </c>
      <c r="E369" s="16">
        <v>368</v>
      </c>
      <c r="F369" s="17">
        <v>46087</v>
      </c>
      <c r="G369" s="10" t="s">
        <v>615</v>
      </c>
      <c r="H369" s="10">
        <f t="shared" si="19"/>
        <v>15</v>
      </c>
      <c r="I369" s="10">
        <f ca="1">IF(AND(F369&lt;&gt;"", J369&lt;&gt;""), NETWORKDAYS(TODAY(), J369-1, FESTIVOS!A$1:A$55), "")</f>
        <v>-49</v>
      </c>
      <c r="J369" s="49">
        <f>IF(AND(F369&lt;&gt;"", H369&lt;&gt;""), WORKDAY(F369, H369, FESTIVOS!A$1:A$55), "")</f>
        <v>46111</v>
      </c>
      <c r="K369" s="50" t="s">
        <v>656</v>
      </c>
      <c r="L369" s="50">
        <f t="shared" ca="1" si="20"/>
        <v>0</v>
      </c>
      <c r="M369" s="50" t="str">
        <f t="shared" ca="1" si="21"/>
        <v>Vencido</v>
      </c>
      <c r="N369" s="50" t="s">
        <v>752</v>
      </c>
      <c r="O369" s="49">
        <v>46099</v>
      </c>
      <c r="P369" s="35">
        <f>IF(OR(O369="", J369=""), "", NETWORKDAYS(J369, O369, FESTIVOS!A368:A422))</f>
        <v>-9</v>
      </c>
    </row>
    <row r="370" spans="1:16" ht="23.45" customHeight="1" x14ac:dyDescent="0.25">
      <c r="A370" s="10" t="s">
        <v>18</v>
      </c>
      <c r="B370" s="18" t="s">
        <v>83</v>
      </c>
      <c r="C370" s="18" t="s">
        <v>84</v>
      </c>
      <c r="D370" s="18" t="s">
        <v>39</v>
      </c>
      <c r="E370" s="16">
        <v>369</v>
      </c>
      <c r="F370" s="17">
        <v>46090</v>
      </c>
      <c r="G370" s="10" t="s">
        <v>615</v>
      </c>
      <c r="H370" s="10">
        <f t="shared" si="19"/>
        <v>15</v>
      </c>
      <c r="I370" s="10">
        <f ca="1">IF(AND(F370&lt;&gt;"", J370&lt;&gt;""), NETWORKDAYS(TODAY(), J370-1, FESTIVOS!A$1:A$55), "")</f>
        <v>-49</v>
      </c>
      <c r="J370" s="11">
        <f>IF(AND(F370&lt;&gt;"", H370&lt;&gt;""), WORKDAY(F370, H370, FESTIVOS!A$1:A$55), "")</f>
        <v>46112</v>
      </c>
      <c r="K370" s="10" t="s">
        <v>656</v>
      </c>
      <c r="L370" s="10">
        <f t="shared" ca="1" si="20"/>
        <v>0</v>
      </c>
      <c r="M370" s="10" t="str">
        <f t="shared" ca="1" si="21"/>
        <v>Vencido</v>
      </c>
      <c r="N370" s="13" t="s">
        <v>652</v>
      </c>
      <c r="O370" s="11"/>
      <c r="P370" s="35" t="str">
        <f>IF(OR(O370="", J370=""), "", NETWORKDAYS(J370, O370, FESTIVOS!A369:A423))</f>
        <v/>
      </c>
    </row>
    <row r="371" spans="1:16" ht="15.75" x14ac:dyDescent="0.25">
      <c r="A371" s="10" t="s">
        <v>18</v>
      </c>
      <c r="B371" s="18" t="s">
        <v>83</v>
      </c>
      <c r="C371" s="18" t="s">
        <v>84</v>
      </c>
      <c r="D371" s="18" t="s">
        <v>39</v>
      </c>
      <c r="E371" s="16">
        <v>370</v>
      </c>
      <c r="F371" s="17">
        <v>46090</v>
      </c>
      <c r="G371" s="10" t="s">
        <v>615</v>
      </c>
      <c r="H371" s="10">
        <f t="shared" si="19"/>
        <v>15</v>
      </c>
      <c r="I371" s="10">
        <f ca="1">IF(AND(F371&lt;&gt;"", J371&lt;&gt;""), NETWORKDAYS(TODAY(), J371-1, FESTIVOS!A$1:A$55), "")</f>
        <v>-49</v>
      </c>
      <c r="J371" s="11">
        <f>IF(AND(F371&lt;&gt;"", H371&lt;&gt;""), WORKDAY(F371, H371, FESTIVOS!A$1:A$55), "")</f>
        <v>46112</v>
      </c>
      <c r="K371" s="10" t="s">
        <v>656</v>
      </c>
      <c r="L371" s="10">
        <f t="shared" ca="1" si="20"/>
        <v>0</v>
      </c>
      <c r="M371" s="10" t="str">
        <f t="shared" ca="1" si="21"/>
        <v>Vencido</v>
      </c>
      <c r="N371" s="10" t="s">
        <v>732</v>
      </c>
      <c r="O371" s="11"/>
      <c r="P371" s="35" t="str">
        <f>IF(OR(O371="", J371=""), "", NETWORKDAYS(J371, O371, FESTIVOS!A370:A424))</f>
        <v/>
      </c>
    </row>
    <row r="372" spans="1:16" ht="15.75" x14ac:dyDescent="0.25">
      <c r="A372" s="10" t="s">
        <v>18</v>
      </c>
      <c r="B372" s="18" t="s">
        <v>83</v>
      </c>
      <c r="C372" s="18" t="s">
        <v>84</v>
      </c>
      <c r="D372" s="18" t="s">
        <v>39</v>
      </c>
      <c r="E372" s="16">
        <v>371</v>
      </c>
      <c r="F372" s="17">
        <v>46090</v>
      </c>
      <c r="G372" s="10" t="s">
        <v>615</v>
      </c>
      <c r="H372" s="10">
        <f t="shared" si="19"/>
        <v>15</v>
      </c>
      <c r="I372" s="10">
        <f ca="1">IF(AND(F372&lt;&gt;"", J372&lt;&gt;""), NETWORKDAYS(TODAY(), J372-1, FESTIVOS!A$1:A$55), "")</f>
        <v>-49</v>
      </c>
      <c r="J372" s="11">
        <f>IF(AND(F372&lt;&gt;"", H372&lt;&gt;""), WORKDAY(F372, H372, FESTIVOS!A$1:A$55), "")</f>
        <v>46112</v>
      </c>
      <c r="K372" s="10" t="s">
        <v>656</v>
      </c>
      <c r="L372" s="10">
        <f t="shared" ca="1" si="20"/>
        <v>0</v>
      </c>
      <c r="M372" s="10" t="str">
        <f t="shared" ca="1" si="21"/>
        <v>Vencido</v>
      </c>
      <c r="N372" s="10"/>
      <c r="O372" s="11"/>
      <c r="P372" s="35" t="str">
        <f>IF(OR(O372="", J372=""), "", NETWORKDAYS(J372, O372, FESTIVOS!A371:A425))</f>
        <v/>
      </c>
    </row>
    <row r="373" spans="1:16" ht="15.75" x14ac:dyDescent="0.25">
      <c r="A373" s="10" t="s">
        <v>18</v>
      </c>
      <c r="B373" s="18" t="s">
        <v>83</v>
      </c>
      <c r="C373" s="18" t="s">
        <v>84</v>
      </c>
      <c r="D373" s="18" t="s">
        <v>39</v>
      </c>
      <c r="E373" s="16">
        <v>372</v>
      </c>
      <c r="F373" s="17">
        <v>46090</v>
      </c>
      <c r="G373" s="10" t="s">
        <v>615</v>
      </c>
      <c r="H373" s="10">
        <f t="shared" si="19"/>
        <v>15</v>
      </c>
      <c r="I373" s="10">
        <f ca="1">IF(AND(F373&lt;&gt;"", J373&lt;&gt;""), NETWORKDAYS(TODAY(), J373-1, FESTIVOS!A$1:A$55), "")</f>
        <v>-49</v>
      </c>
      <c r="J373" s="11">
        <f>IF(AND(F373&lt;&gt;"", H373&lt;&gt;""), WORKDAY(F373, H373, FESTIVOS!A$1:A$55), "")</f>
        <v>46112</v>
      </c>
      <c r="K373" s="10" t="s">
        <v>656</v>
      </c>
      <c r="L373" s="10">
        <f t="shared" ca="1" si="20"/>
        <v>0</v>
      </c>
      <c r="M373" s="10" t="str">
        <f t="shared" ca="1" si="21"/>
        <v>Vencido</v>
      </c>
      <c r="N373" s="10"/>
      <c r="O373" s="11"/>
      <c r="P373" s="35" t="str">
        <f>IF(OR(O373="", J373=""), "", NETWORKDAYS(J373, O373, FESTIVOS!A372:A426))</f>
        <v/>
      </c>
    </row>
    <row r="374" spans="1:16" ht="15.75" x14ac:dyDescent="0.25">
      <c r="A374" s="10" t="s">
        <v>18</v>
      </c>
      <c r="B374" s="18" t="s">
        <v>83</v>
      </c>
      <c r="C374" s="18" t="s">
        <v>84</v>
      </c>
      <c r="D374" s="18" t="s">
        <v>39</v>
      </c>
      <c r="E374" s="16">
        <v>373</v>
      </c>
      <c r="F374" s="17">
        <v>46090</v>
      </c>
      <c r="G374" s="10" t="s">
        <v>615</v>
      </c>
      <c r="H374" s="10">
        <f t="shared" si="19"/>
        <v>15</v>
      </c>
      <c r="I374" s="10">
        <f ca="1">IF(AND(F374&lt;&gt;"", J374&lt;&gt;""), NETWORKDAYS(TODAY(), J374-1, FESTIVOS!A$1:A$55), "")</f>
        <v>-49</v>
      </c>
      <c r="J374" s="11">
        <f>IF(AND(F374&lt;&gt;"", H374&lt;&gt;""), WORKDAY(F374, H374, FESTIVOS!A$1:A$55), "")</f>
        <v>46112</v>
      </c>
      <c r="K374" s="10" t="s">
        <v>656</v>
      </c>
      <c r="L374" s="10">
        <f t="shared" ca="1" si="20"/>
        <v>0</v>
      </c>
      <c r="M374" s="10" t="str">
        <f t="shared" ca="1" si="21"/>
        <v>Vencido</v>
      </c>
      <c r="N374" s="10"/>
      <c r="O374" s="11"/>
      <c r="P374" s="35" t="str">
        <f>IF(OR(O374="", J374=""), "", NETWORKDAYS(J374, O374, FESTIVOS!A373:A427))</f>
        <v/>
      </c>
    </row>
    <row r="375" spans="1:16" ht="15.75" x14ac:dyDescent="0.25">
      <c r="A375" s="10" t="s">
        <v>18</v>
      </c>
      <c r="B375" s="18" t="s">
        <v>83</v>
      </c>
      <c r="C375" s="18" t="s">
        <v>84</v>
      </c>
      <c r="D375" s="18" t="s">
        <v>39</v>
      </c>
      <c r="E375" s="16">
        <v>374</v>
      </c>
      <c r="F375" s="17">
        <v>46090</v>
      </c>
      <c r="G375" s="10" t="s">
        <v>615</v>
      </c>
      <c r="H375" s="10">
        <f t="shared" ref="H375:H438" si="22">IF(A375="INFORMACIÓN O DOCUMENTOS", 10, IF(A375="CONSULTA", 30, IF(A375="FACTURACIÓN Y COBROS", 15, IF(A375="VINCULACIÓN Y DESVINCULACIÓN", 15, IF(A375="NO ES DE NUESTRA COMPETENCIA", 5, IF(A375="OTRO", 15, ""))))))</f>
        <v>15</v>
      </c>
      <c r="I375" s="10">
        <f ca="1">IF(AND(F375&lt;&gt;"", J375&lt;&gt;""), NETWORKDAYS(TODAY(), J375-1, FESTIVOS!A$1:A$55), "")</f>
        <v>-49</v>
      </c>
      <c r="J375" s="11">
        <f>IF(AND(F375&lt;&gt;"", H375&lt;&gt;""), WORKDAY(F375, H375, FESTIVOS!A$1:A$55), "")</f>
        <v>46112</v>
      </c>
      <c r="K375" s="10" t="s">
        <v>656</v>
      </c>
      <c r="L375" s="10">
        <f t="shared" ref="L375:L438" ca="1" si="23">IF(I375="", "", MAX(0, I375 - (TODAY() - TODAY())))</f>
        <v>0</v>
      </c>
      <c r="M375" s="10" t="str">
        <f t="shared" ref="M375:M438" ca="1" si="24">IF(OR(I375="", H375=""), "", IF(I375&lt;0, "Vencido", IF(I375&gt;(H375/2), "Supere la mitad", "Bajo la mitad")))</f>
        <v>Vencido</v>
      </c>
      <c r="N375" s="10"/>
      <c r="O375" s="11"/>
      <c r="P375" s="35" t="str">
        <f>IF(OR(O375="", J375=""), "", NETWORKDAYS(J375, O375, FESTIVOS!A374:A428))</f>
        <v/>
      </c>
    </row>
    <row r="376" spans="1:16" ht="15.75" x14ac:dyDescent="0.25">
      <c r="A376" s="10" t="s">
        <v>18</v>
      </c>
      <c r="B376" s="18" t="s">
        <v>83</v>
      </c>
      <c r="C376" s="18" t="s">
        <v>84</v>
      </c>
      <c r="D376" s="18" t="s">
        <v>39</v>
      </c>
      <c r="E376" s="16">
        <v>375</v>
      </c>
      <c r="F376" s="17">
        <v>46090</v>
      </c>
      <c r="G376" s="10" t="s">
        <v>615</v>
      </c>
      <c r="H376" s="10">
        <f t="shared" si="22"/>
        <v>15</v>
      </c>
      <c r="I376" s="10">
        <f ca="1">IF(AND(F376&lt;&gt;"", J376&lt;&gt;""), NETWORKDAYS(TODAY(), J376-1, FESTIVOS!A$1:A$55), "")</f>
        <v>-49</v>
      </c>
      <c r="J376" s="11">
        <f>IF(AND(F376&lt;&gt;"", H376&lt;&gt;""), WORKDAY(F376, H376, FESTIVOS!A$1:A$55), "")</f>
        <v>46112</v>
      </c>
      <c r="K376" s="10" t="s">
        <v>656</v>
      </c>
      <c r="L376" s="10">
        <f t="shared" ca="1" si="23"/>
        <v>0</v>
      </c>
      <c r="M376" s="10" t="str">
        <f t="shared" ca="1" si="24"/>
        <v>Vencido</v>
      </c>
      <c r="N376" s="10"/>
      <c r="O376" s="11"/>
      <c r="P376" s="35" t="str">
        <f>IF(OR(O376="", J376=""), "", NETWORKDAYS(J376, O376, FESTIVOS!A375:A429))</f>
        <v/>
      </c>
    </row>
    <row r="377" spans="1:16" ht="47.25" x14ac:dyDescent="0.25">
      <c r="A377" s="10" t="s">
        <v>18</v>
      </c>
      <c r="B377" s="18" t="s">
        <v>77</v>
      </c>
      <c r="C377" s="18" t="s">
        <v>169</v>
      </c>
      <c r="D377" s="18" t="s">
        <v>515</v>
      </c>
      <c r="E377" s="16">
        <v>376</v>
      </c>
      <c r="F377" s="17">
        <v>46090</v>
      </c>
      <c r="G377" s="10" t="s">
        <v>615</v>
      </c>
      <c r="H377" s="10">
        <f t="shared" si="22"/>
        <v>15</v>
      </c>
      <c r="I377" s="10">
        <f ca="1">IF(AND(F377&lt;&gt;"", J377&lt;&gt;""), NETWORKDAYS(TODAY(), J377-1, FESTIVOS!A$1:A$55), "")</f>
        <v>-49</v>
      </c>
      <c r="J377" s="49">
        <f>IF(AND(F377&lt;&gt;"", H377&lt;&gt;""), WORKDAY(F377, H377, FESTIVOS!A$1:A$55), "")</f>
        <v>46112</v>
      </c>
      <c r="K377" s="50" t="s">
        <v>656</v>
      </c>
      <c r="L377" s="50">
        <f t="shared" ca="1" si="23"/>
        <v>0</v>
      </c>
      <c r="M377" s="50" t="str">
        <f t="shared" ca="1" si="24"/>
        <v>Vencido</v>
      </c>
      <c r="N377" s="51" t="s">
        <v>652</v>
      </c>
      <c r="O377" s="49"/>
      <c r="P377" s="35" t="str">
        <f>IF(OR(O377="", J377=""), "", NETWORKDAYS(J377, O377, FESTIVOS!A376:A430))</f>
        <v/>
      </c>
    </row>
    <row r="378" spans="1:16" ht="15.75" x14ac:dyDescent="0.25">
      <c r="A378" s="10" t="s">
        <v>18</v>
      </c>
      <c r="B378" s="18" t="s">
        <v>516</v>
      </c>
      <c r="C378" s="18" t="s">
        <v>88</v>
      </c>
      <c r="D378" s="18" t="s">
        <v>517</v>
      </c>
      <c r="E378" s="16">
        <v>377</v>
      </c>
      <c r="F378" s="17">
        <v>46090</v>
      </c>
      <c r="G378" s="10" t="s">
        <v>615</v>
      </c>
      <c r="H378" s="10">
        <f t="shared" si="22"/>
        <v>15</v>
      </c>
      <c r="I378" s="10">
        <f ca="1">IF(AND(F378&lt;&gt;"", J378&lt;&gt;""), NETWORKDAYS(TODAY(), J378-1, FESTIVOS!A$1:A$55), "")</f>
        <v>-49</v>
      </c>
      <c r="J378" s="49">
        <f>IF(AND(F378&lt;&gt;"", H378&lt;&gt;""), WORKDAY(F378, H378, FESTIVOS!A$1:A$55), "")</f>
        <v>46112</v>
      </c>
      <c r="K378" s="50" t="s">
        <v>656</v>
      </c>
      <c r="L378" s="50">
        <f t="shared" ca="1" si="23"/>
        <v>0</v>
      </c>
      <c r="M378" s="50" t="str">
        <f t="shared" ca="1" si="24"/>
        <v>Vencido</v>
      </c>
      <c r="N378" s="50" t="s">
        <v>756</v>
      </c>
      <c r="O378" s="49">
        <v>46108</v>
      </c>
      <c r="P378" s="35">
        <f>IF(OR(O378="", J378=""), "", NETWORKDAYS(J378, O378, FESTIVOS!A377:A431))</f>
        <v>-3</v>
      </c>
    </row>
    <row r="379" spans="1:16" ht="47.25" x14ac:dyDescent="0.25">
      <c r="A379" s="10" t="s">
        <v>18</v>
      </c>
      <c r="B379" s="18" t="s">
        <v>425</v>
      </c>
      <c r="C379" s="18" t="s">
        <v>67</v>
      </c>
      <c r="D379" s="18" t="s">
        <v>518</v>
      </c>
      <c r="E379" s="16">
        <v>378</v>
      </c>
      <c r="F379" s="17">
        <v>46091</v>
      </c>
      <c r="G379" s="10" t="s">
        <v>615</v>
      </c>
      <c r="H379" s="10">
        <f t="shared" si="22"/>
        <v>15</v>
      </c>
      <c r="I379" s="10">
        <f ca="1">IF(AND(F379&lt;&gt;"", J379&lt;&gt;""), NETWORKDAYS(TODAY(), J379-1, FESTIVOS!A$1:A$55), "")</f>
        <v>-48</v>
      </c>
      <c r="J379" s="49">
        <f>IF(AND(F379&lt;&gt;"", H379&lt;&gt;""), WORKDAY(F379, H379, FESTIVOS!A$1:A$55), "")</f>
        <v>46113</v>
      </c>
      <c r="K379" s="50" t="s">
        <v>656</v>
      </c>
      <c r="L379" s="50">
        <f t="shared" ca="1" si="23"/>
        <v>0</v>
      </c>
      <c r="M379" s="50" t="str">
        <f t="shared" ca="1" si="24"/>
        <v>Vencido</v>
      </c>
      <c r="N379" s="50" t="s">
        <v>645</v>
      </c>
      <c r="O379" s="49">
        <v>46098</v>
      </c>
      <c r="P379" s="35">
        <f>IF(OR(O379="", J379=""), "", NETWORKDAYS(J379, O379, FESTIVOS!A378:A432))</f>
        <v>-12</v>
      </c>
    </row>
    <row r="380" spans="1:16" ht="31.5" x14ac:dyDescent="0.25">
      <c r="A380" s="10" t="s">
        <v>19</v>
      </c>
      <c r="B380" s="18" t="s">
        <v>519</v>
      </c>
      <c r="C380" s="18" t="s">
        <v>520</v>
      </c>
      <c r="D380" s="18" t="s">
        <v>521</v>
      </c>
      <c r="E380" s="16">
        <v>379</v>
      </c>
      <c r="F380" s="17">
        <v>46106</v>
      </c>
      <c r="G380" s="10" t="s">
        <v>646</v>
      </c>
      <c r="H380" s="10">
        <f t="shared" si="22"/>
        <v>10</v>
      </c>
      <c r="I380" s="10">
        <f ca="1">IF(AND(F380&lt;&gt;"", J380&lt;&gt;""), NETWORKDAYS(TODAY(), J380-1, FESTIVOS!A$1:A$55), "")</f>
        <v>-43</v>
      </c>
      <c r="J380" s="69">
        <f>IF(AND(F380&lt;&gt;"", H380&lt;&gt;""), WORKDAY(F380, H380, FESTIVOS!A$1:A$55), "")</f>
        <v>46122</v>
      </c>
      <c r="K380" s="70" t="s">
        <v>656</v>
      </c>
      <c r="L380" s="70">
        <f t="shared" ca="1" si="23"/>
        <v>0</v>
      </c>
      <c r="M380" s="70" t="str">
        <f t="shared" ca="1" si="24"/>
        <v>Vencido</v>
      </c>
      <c r="N380" s="70" t="s">
        <v>744</v>
      </c>
      <c r="O380" s="69">
        <v>46106</v>
      </c>
      <c r="P380" s="35">
        <f>IF(OR(O380="", J380=""), "", NETWORKDAYS(J380, O380, FESTIVOS!A379:A433))</f>
        <v>-13</v>
      </c>
    </row>
    <row r="381" spans="1:16" ht="31.5" x14ac:dyDescent="0.25">
      <c r="A381" s="10" t="s">
        <v>18</v>
      </c>
      <c r="B381" s="18" t="s">
        <v>522</v>
      </c>
      <c r="C381" s="18" t="s">
        <v>67</v>
      </c>
      <c r="D381" s="18" t="s">
        <v>523</v>
      </c>
      <c r="E381" s="16">
        <v>380</v>
      </c>
      <c r="F381" s="17">
        <v>46091</v>
      </c>
      <c r="G381" s="10" t="s">
        <v>615</v>
      </c>
      <c r="H381" s="10">
        <f t="shared" si="22"/>
        <v>15</v>
      </c>
      <c r="I381" s="10">
        <f ca="1">IF(AND(F381&lt;&gt;"", J381&lt;&gt;""), NETWORKDAYS(TODAY(), J381-1, FESTIVOS!A$1:A$55), "")</f>
        <v>-48</v>
      </c>
      <c r="J381" s="49">
        <f>IF(AND(F381&lt;&gt;"", H381&lt;&gt;""), WORKDAY(F381, H381, FESTIVOS!A$1:A$55), "")</f>
        <v>46113</v>
      </c>
      <c r="K381" s="50" t="s">
        <v>656</v>
      </c>
      <c r="L381" s="50">
        <f t="shared" ca="1" si="23"/>
        <v>0</v>
      </c>
      <c r="M381" s="50" t="str">
        <f t="shared" ca="1" si="24"/>
        <v>Vencido</v>
      </c>
      <c r="N381" s="50" t="s">
        <v>703</v>
      </c>
      <c r="O381" s="49">
        <v>46100</v>
      </c>
      <c r="P381" s="35">
        <f>IF(OR(O381="", J381=""), "", NETWORKDAYS(J381, O381, FESTIVOS!A380:A434))</f>
        <v>-10</v>
      </c>
    </row>
    <row r="382" spans="1:16" ht="15.75" x14ac:dyDescent="0.25">
      <c r="A382" s="10" t="s">
        <v>18</v>
      </c>
      <c r="B382" s="18" t="s">
        <v>524</v>
      </c>
      <c r="C382" s="18" t="s">
        <v>67</v>
      </c>
      <c r="D382" s="18" t="s">
        <v>525</v>
      </c>
      <c r="E382" s="16">
        <v>381</v>
      </c>
      <c r="F382" s="17">
        <v>46091</v>
      </c>
      <c r="G382" s="10" t="s">
        <v>615</v>
      </c>
      <c r="H382" s="10">
        <f t="shared" si="22"/>
        <v>15</v>
      </c>
      <c r="I382" s="10">
        <f ca="1">IF(AND(F382&lt;&gt;"", J382&lt;&gt;""), NETWORKDAYS(TODAY(), J382-1, FESTIVOS!A$1:A$55), "")</f>
        <v>-48</v>
      </c>
      <c r="J382" s="49">
        <f>IF(AND(F382&lt;&gt;"", H382&lt;&gt;""), WORKDAY(F382, H382, FESTIVOS!A$1:A$55), "")</f>
        <v>46113</v>
      </c>
      <c r="K382" s="50" t="s">
        <v>656</v>
      </c>
      <c r="L382" s="50">
        <f t="shared" ca="1" si="23"/>
        <v>0</v>
      </c>
      <c r="M382" s="50" t="str">
        <f t="shared" ca="1" si="24"/>
        <v>Vencido</v>
      </c>
      <c r="N382" s="50" t="s">
        <v>702</v>
      </c>
      <c r="O382" s="49">
        <v>46098</v>
      </c>
      <c r="P382" s="35">
        <f>IF(OR(O382="", J382=""), "", NETWORKDAYS(J382, O382, FESTIVOS!A381:A435))</f>
        <v>-12</v>
      </c>
    </row>
    <row r="383" spans="1:16" ht="31.5" x14ac:dyDescent="0.25">
      <c r="A383" s="10" t="s">
        <v>18</v>
      </c>
      <c r="B383" s="18" t="s">
        <v>301</v>
      </c>
      <c r="C383" s="41" t="s">
        <v>88</v>
      </c>
      <c r="D383" s="41" t="s">
        <v>526</v>
      </c>
      <c r="E383" s="38">
        <v>382</v>
      </c>
      <c r="F383" s="39">
        <v>46091</v>
      </c>
      <c r="G383" s="40" t="s">
        <v>615</v>
      </c>
      <c r="H383" s="40">
        <v>15</v>
      </c>
      <c r="I383" s="40">
        <f ca="1">IF(AND(F383&lt;&gt;"", J383&lt;&gt;""), NETWORKDAYS(TODAY(), J383-1, FESTIVOS!A$1:A$55), "")</f>
        <v>-48</v>
      </c>
      <c r="J383" s="49">
        <f>IF(AND(F383&lt;&gt;"", H383&lt;&gt;""), WORKDAY(F383, H383, FESTIVOS!A$1:A$55), "")</f>
        <v>46113</v>
      </c>
      <c r="K383" s="50" t="s">
        <v>656</v>
      </c>
      <c r="L383" s="50">
        <f t="shared" ca="1" si="23"/>
        <v>0</v>
      </c>
      <c r="M383" s="50" t="str">
        <f t="shared" ca="1" si="24"/>
        <v>Vencido</v>
      </c>
      <c r="N383" s="50" t="s">
        <v>686</v>
      </c>
      <c r="O383" s="49">
        <v>46105</v>
      </c>
      <c r="P383" s="35">
        <f>IF(OR(O383="", J383=""), "", NETWORKDAYS(J383, O383, FESTIVOS!A382:A436))</f>
        <v>-7</v>
      </c>
    </row>
    <row r="384" spans="1:16" ht="94.5" x14ac:dyDescent="0.25">
      <c r="A384" s="10" t="s">
        <v>18</v>
      </c>
      <c r="B384" s="18" t="s">
        <v>376</v>
      </c>
      <c r="C384" s="18" t="s">
        <v>88</v>
      </c>
      <c r="D384" s="18" t="s">
        <v>527</v>
      </c>
      <c r="E384" s="16">
        <v>383</v>
      </c>
      <c r="F384" s="17">
        <v>46091</v>
      </c>
      <c r="G384" s="10" t="s">
        <v>615</v>
      </c>
      <c r="H384" s="10">
        <f t="shared" si="22"/>
        <v>15</v>
      </c>
      <c r="I384" s="10">
        <f ca="1">IF(AND(F384&lt;&gt;"", J384&lt;&gt;""), NETWORKDAYS(TODAY(), J384-1, FESTIVOS!A$1:A$55), "")</f>
        <v>-48</v>
      </c>
      <c r="J384" s="49">
        <f>IF(AND(F384&lt;&gt;"", H384&lt;&gt;""), WORKDAY(F384, H384, FESTIVOS!A$1:A$55), "")</f>
        <v>46113</v>
      </c>
      <c r="K384" s="50" t="s">
        <v>656</v>
      </c>
      <c r="L384" s="50">
        <f t="shared" ca="1" si="23"/>
        <v>0</v>
      </c>
      <c r="M384" s="50" t="str">
        <f t="shared" ca="1" si="24"/>
        <v>Vencido</v>
      </c>
      <c r="N384" s="50" t="s">
        <v>701</v>
      </c>
      <c r="O384" s="49">
        <v>46097</v>
      </c>
      <c r="P384" s="35">
        <f>IF(OR(O384="", J384=""), "", NETWORKDAYS(J384, O384, FESTIVOS!A383:A437))</f>
        <v>-13</v>
      </c>
    </row>
    <row r="385" spans="1:16" ht="47.25" x14ac:dyDescent="0.25">
      <c r="A385" s="10" t="s">
        <v>18</v>
      </c>
      <c r="B385" s="18" t="s">
        <v>528</v>
      </c>
      <c r="C385" s="18" t="s">
        <v>67</v>
      </c>
      <c r="D385" s="18" t="s">
        <v>529</v>
      </c>
      <c r="E385" s="16">
        <v>384</v>
      </c>
      <c r="F385" s="17">
        <v>46091</v>
      </c>
      <c r="G385" s="10" t="s">
        <v>615</v>
      </c>
      <c r="H385" s="10">
        <f t="shared" si="22"/>
        <v>15</v>
      </c>
      <c r="I385" s="10">
        <f ca="1">IF(AND(F385&lt;&gt;"", J385&lt;&gt;""), NETWORKDAYS(TODAY(), J385-1, FESTIVOS!A$1:A$55), "")</f>
        <v>-48</v>
      </c>
      <c r="J385" s="49">
        <f>IF(AND(F385&lt;&gt;"", H385&lt;&gt;""), WORKDAY(F385, H385, FESTIVOS!A$1:A$55), "")</f>
        <v>46113</v>
      </c>
      <c r="K385" s="50" t="s">
        <v>656</v>
      </c>
      <c r="L385" s="50">
        <f t="shared" ca="1" si="23"/>
        <v>0</v>
      </c>
      <c r="M385" s="50" t="str">
        <f t="shared" ca="1" si="24"/>
        <v>Vencido</v>
      </c>
      <c r="N385" s="50" t="s">
        <v>700</v>
      </c>
      <c r="O385" s="49">
        <v>46100</v>
      </c>
      <c r="P385" s="35">
        <f>IF(OR(O385="", J385=""), "", NETWORKDAYS(J385, O385, FESTIVOS!A384:A438))</f>
        <v>-10</v>
      </c>
    </row>
    <row r="386" spans="1:16" ht="15.75" x14ac:dyDescent="0.25">
      <c r="A386" s="10" t="s">
        <v>18</v>
      </c>
      <c r="B386" s="18" t="s">
        <v>56</v>
      </c>
      <c r="C386" s="18" t="s">
        <v>84</v>
      </c>
      <c r="D386" s="18" t="s">
        <v>530</v>
      </c>
      <c r="E386" s="16">
        <v>385</v>
      </c>
      <c r="F386" s="17">
        <v>46091</v>
      </c>
      <c r="G386" s="10" t="s">
        <v>615</v>
      </c>
      <c r="H386" s="10">
        <f t="shared" si="22"/>
        <v>15</v>
      </c>
      <c r="I386" s="10">
        <f ca="1">IF(AND(F386&lt;&gt;"", J386&lt;&gt;""), NETWORKDAYS(TODAY(), J386-1, FESTIVOS!A$1:A$55), "")</f>
        <v>-48</v>
      </c>
      <c r="J386" s="11">
        <f>IF(AND(F386&lt;&gt;"", H386&lt;&gt;""), WORKDAY(F386, H386, FESTIVOS!A$1:A$55), "")</f>
        <v>46113</v>
      </c>
      <c r="K386" s="10" t="s">
        <v>656</v>
      </c>
      <c r="L386" s="10">
        <f t="shared" ca="1" si="23"/>
        <v>0</v>
      </c>
      <c r="M386" s="10" t="str">
        <f t="shared" ca="1" si="24"/>
        <v>Vencido</v>
      </c>
      <c r="N386" s="10" t="s">
        <v>606</v>
      </c>
      <c r="O386" s="11">
        <v>46036</v>
      </c>
      <c r="P386" s="35">
        <f>IF(OR(O386="", J386=""), "", NETWORKDAYS(J386, O386, FESTIVOS!A385:A439))</f>
        <v>-56</v>
      </c>
    </row>
    <row r="387" spans="1:16" ht="15.75" x14ac:dyDescent="0.25">
      <c r="A387" s="10" t="s">
        <v>18</v>
      </c>
      <c r="B387" s="18" t="s">
        <v>56</v>
      </c>
      <c r="C387" s="18" t="s">
        <v>84</v>
      </c>
      <c r="D387" s="18" t="s">
        <v>530</v>
      </c>
      <c r="E387" s="16">
        <v>386</v>
      </c>
      <c r="F387" s="17">
        <v>46091</v>
      </c>
      <c r="G387" s="10" t="s">
        <v>615</v>
      </c>
      <c r="H387" s="10">
        <f t="shared" si="22"/>
        <v>15</v>
      </c>
      <c r="I387" s="10">
        <f ca="1">IF(AND(F387&lt;&gt;"", J387&lt;&gt;""), NETWORKDAYS(TODAY(), J387-1, FESTIVOS!A$1:A$55), "")</f>
        <v>-48</v>
      </c>
      <c r="J387" s="11">
        <f>IF(AND(F387&lt;&gt;"", H387&lt;&gt;""), WORKDAY(F387, H387, FESTIVOS!A$1:A$55), "")</f>
        <v>46113</v>
      </c>
      <c r="K387" s="10" t="s">
        <v>656</v>
      </c>
      <c r="L387" s="10">
        <f t="shared" ca="1" si="23"/>
        <v>0</v>
      </c>
      <c r="M387" s="10" t="str">
        <f t="shared" ca="1" si="24"/>
        <v>Vencido</v>
      </c>
      <c r="N387" s="10" t="s">
        <v>606</v>
      </c>
      <c r="O387" s="11">
        <v>46036</v>
      </c>
      <c r="P387" s="35">
        <f>IF(OR(O387="", J387=""), "", NETWORKDAYS(J387, O387, FESTIVOS!A386:A440))</f>
        <v>-56</v>
      </c>
    </row>
    <row r="388" spans="1:16" ht="31.5" x14ac:dyDescent="0.25">
      <c r="A388" s="10" t="s">
        <v>18</v>
      </c>
      <c r="B388" s="18" t="s">
        <v>77</v>
      </c>
      <c r="C388" s="18" t="s">
        <v>67</v>
      </c>
      <c r="D388" s="18" t="s">
        <v>531</v>
      </c>
      <c r="E388" s="16">
        <v>387</v>
      </c>
      <c r="F388" s="17">
        <v>46091</v>
      </c>
      <c r="G388" s="10" t="s">
        <v>615</v>
      </c>
      <c r="H388" s="10">
        <f t="shared" si="22"/>
        <v>15</v>
      </c>
      <c r="I388" s="10">
        <f ca="1">IF(AND(F388&lt;&gt;"", J388&lt;&gt;""), NETWORKDAYS(TODAY(), J388-1, FESTIVOS!A$1:A$55), "")</f>
        <v>-48</v>
      </c>
      <c r="J388" s="49">
        <f>IF(AND(F388&lt;&gt;"", H388&lt;&gt;""), WORKDAY(F388, H388, FESTIVOS!A$1:A$55), "")</f>
        <v>46113</v>
      </c>
      <c r="K388" s="50" t="s">
        <v>656</v>
      </c>
      <c r="L388" s="50">
        <f t="shared" ca="1" si="23"/>
        <v>0</v>
      </c>
      <c r="M388" s="50" t="str">
        <f t="shared" ca="1" si="24"/>
        <v>Vencido</v>
      </c>
      <c r="N388" s="51" t="s">
        <v>652</v>
      </c>
      <c r="O388" s="49"/>
      <c r="P388" s="35" t="str">
        <f>IF(OR(O388="", J388=""), "", NETWORKDAYS(J388, O388, FESTIVOS!A387:A441))</f>
        <v/>
      </c>
    </row>
    <row r="389" spans="1:16" ht="15.75" x14ac:dyDescent="0.25">
      <c r="A389" s="10" t="s">
        <v>18</v>
      </c>
      <c r="B389" s="18" t="s">
        <v>532</v>
      </c>
      <c r="C389" s="18" t="s">
        <v>67</v>
      </c>
      <c r="D389" s="18" t="s">
        <v>118</v>
      </c>
      <c r="E389" s="16">
        <v>388</v>
      </c>
      <c r="F389" s="17">
        <v>46091</v>
      </c>
      <c r="G389" s="10" t="s">
        <v>614</v>
      </c>
      <c r="H389" s="10">
        <f t="shared" si="22"/>
        <v>15</v>
      </c>
      <c r="I389" s="10">
        <f ca="1">IF(AND(F389&lt;&gt;"", J389&lt;&gt;""), NETWORKDAYS(TODAY(), J389-1, FESTIVOS!A$1:A$55), "")</f>
        <v>-48</v>
      </c>
      <c r="J389" s="71">
        <f>IF(AND(F389&lt;&gt;"", H389&lt;&gt;""), WORKDAY(F389, H389, FESTIVOS!A$1:A$55), "")</f>
        <v>46113</v>
      </c>
      <c r="K389" s="72" t="s">
        <v>656</v>
      </c>
      <c r="L389" s="72">
        <f t="shared" ca="1" si="23"/>
        <v>0</v>
      </c>
      <c r="M389" s="72" t="str">
        <f t="shared" ca="1" si="24"/>
        <v>Vencido</v>
      </c>
      <c r="N389" s="72" t="s">
        <v>766</v>
      </c>
      <c r="O389" s="71">
        <v>46094</v>
      </c>
      <c r="P389" s="35">
        <f>IF(OR(O389="", J389=""), "", NETWORKDAYS(J389, O389, FESTIVOS!A388:A442))</f>
        <v>-14</v>
      </c>
    </row>
    <row r="390" spans="1:16" ht="27" customHeight="1" x14ac:dyDescent="0.25">
      <c r="A390" s="10" t="s">
        <v>18</v>
      </c>
      <c r="B390" s="18" t="s">
        <v>533</v>
      </c>
      <c r="C390" s="18" t="s">
        <v>67</v>
      </c>
      <c r="D390" s="18" t="s">
        <v>44</v>
      </c>
      <c r="E390" s="16">
        <v>389</v>
      </c>
      <c r="F390" s="17">
        <v>46091</v>
      </c>
      <c r="G390" s="10" t="s">
        <v>615</v>
      </c>
      <c r="H390" s="10">
        <f t="shared" si="22"/>
        <v>15</v>
      </c>
      <c r="I390" s="10">
        <f ca="1">IF(AND(F390&lt;&gt;"", J390&lt;&gt;""), NETWORKDAYS(TODAY(), J390-1, FESTIVOS!A$1:A$55), "")</f>
        <v>-48</v>
      </c>
      <c r="J390" s="49">
        <f>IF(AND(F390&lt;&gt;"", H390&lt;&gt;""), WORKDAY(F390, H390, FESTIVOS!A$1:A$55), "")</f>
        <v>46113</v>
      </c>
      <c r="K390" s="50" t="s">
        <v>656</v>
      </c>
      <c r="L390" s="50">
        <f t="shared" ca="1" si="23"/>
        <v>0</v>
      </c>
      <c r="M390" s="50" t="str">
        <f t="shared" ca="1" si="24"/>
        <v>Vencido</v>
      </c>
      <c r="N390" s="51" t="s">
        <v>652</v>
      </c>
      <c r="O390" s="49"/>
      <c r="P390" s="35" t="str">
        <f>IF(OR(O390="", J390=""), "", NETWORKDAYS(J390, O390, FESTIVOS!A389:A443))</f>
        <v/>
      </c>
    </row>
    <row r="391" spans="1:16" ht="28.15" customHeight="1" x14ac:dyDescent="0.25">
      <c r="A391" s="10" t="s">
        <v>18</v>
      </c>
      <c r="B391" s="18" t="s">
        <v>522</v>
      </c>
      <c r="C391" s="18" t="s">
        <v>67</v>
      </c>
      <c r="D391" s="18" t="s">
        <v>44</v>
      </c>
      <c r="E391" s="16">
        <v>390</v>
      </c>
      <c r="F391" s="17">
        <v>46091</v>
      </c>
      <c r="G391" s="10" t="s">
        <v>615</v>
      </c>
      <c r="H391" s="10">
        <f t="shared" si="22"/>
        <v>15</v>
      </c>
      <c r="I391" s="10">
        <f ca="1">IF(AND(F391&lt;&gt;"", J391&lt;&gt;""), NETWORKDAYS(TODAY(), J391-1, FESTIVOS!A$1:A$55), "")</f>
        <v>-48</v>
      </c>
      <c r="J391" s="49">
        <f>IF(AND(F391&lt;&gt;"", H391&lt;&gt;""), WORKDAY(F391, H391, FESTIVOS!A$1:A$55), "")</f>
        <v>46113</v>
      </c>
      <c r="K391" s="50" t="s">
        <v>656</v>
      </c>
      <c r="L391" s="50">
        <f t="shared" ca="1" si="23"/>
        <v>0</v>
      </c>
      <c r="M391" s="50" t="str">
        <f t="shared" ca="1" si="24"/>
        <v>Vencido</v>
      </c>
      <c r="N391" s="51" t="s">
        <v>652</v>
      </c>
      <c r="O391" s="49"/>
      <c r="P391" s="35" t="str">
        <f>IF(OR(O391="", J391=""), "", NETWORKDAYS(J391, O391, FESTIVOS!A390:A444))</f>
        <v/>
      </c>
    </row>
    <row r="392" spans="1:16" ht="31.5" x14ac:dyDescent="0.25">
      <c r="A392" s="10" t="s">
        <v>18</v>
      </c>
      <c r="B392" s="18" t="s">
        <v>534</v>
      </c>
      <c r="C392" s="18" t="s">
        <v>67</v>
      </c>
      <c r="D392" s="18" t="s">
        <v>503</v>
      </c>
      <c r="E392" s="16">
        <v>391</v>
      </c>
      <c r="F392" s="17">
        <v>46091</v>
      </c>
      <c r="G392" s="10" t="s">
        <v>615</v>
      </c>
      <c r="H392" s="10">
        <f t="shared" si="22"/>
        <v>15</v>
      </c>
      <c r="I392" s="10">
        <f ca="1">IF(AND(F392&lt;&gt;"", J392&lt;&gt;""), NETWORKDAYS(TODAY(), J392-1, FESTIVOS!A$1:A$55), "")</f>
        <v>-48</v>
      </c>
      <c r="J392" s="49">
        <f>IF(AND(F392&lt;&gt;"", H392&lt;&gt;""), WORKDAY(F392, H392, FESTIVOS!A$1:A$55), "")</f>
        <v>46113</v>
      </c>
      <c r="K392" s="50" t="s">
        <v>656</v>
      </c>
      <c r="L392" s="50">
        <f t="shared" ca="1" si="23"/>
        <v>0</v>
      </c>
      <c r="M392" s="50" t="str">
        <f t="shared" ca="1" si="24"/>
        <v>Vencido</v>
      </c>
      <c r="N392" s="50" t="s">
        <v>767</v>
      </c>
      <c r="O392" s="49">
        <v>46092</v>
      </c>
      <c r="P392" s="35">
        <f>IF(OR(O392="", J392=""), "", NETWORKDAYS(J392, O392, FESTIVOS!A391:A445))</f>
        <v>-16</v>
      </c>
    </row>
    <row r="393" spans="1:16" ht="15.75" x14ac:dyDescent="0.25">
      <c r="A393" s="10" t="s">
        <v>18</v>
      </c>
      <c r="B393" s="18" t="s">
        <v>535</v>
      </c>
      <c r="C393" s="18" t="s">
        <v>67</v>
      </c>
      <c r="D393" s="18" t="s">
        <v>503</v>
      </c>
      <c r="E393" s="16">
        <v>392</v>
      </c>
      <c r="F393" s="17">
        <v>46091</v>
      </c>
      <c r="G393" s="10" t="s">
        <v>615</v>
      </c>
      <c r="H393" s="10">
        <f t="shared" si="22"/>
        <v>15</v>
      </c>
      <c r="I393" s="10">
        <f ca="1">IF(AND(F393&lt;&gt;"", J393&lt;&gt;""), NETWORKDAYS(TODAY(), J393-1, FESTIVOS!A$1:A$55), "")</f>
        <v>-48</v>
      </c>
      <c r="J393" s="49">
        <f>IF(AND(F393&lt;&gt;"", H393&lt;&gt;""), WORKDAY(F393, H393, FESTIVOS!A$1:A$55), "")</f>
        <v>46113</v>
      </c>
      <c r="K393" s="50" t="s">
        <v>656</v>
      </c>
      <c r="L393" s="50">
        <f t="shared" ca="1" si="23"/>
        <v>0</v>
      </c>
      <c r="M393" s="50" t="str">
        <f t="shared" ca="1" si="24"/>
        <v>Vencido</v>
      </c>
      <c r="N393" s="50" t="s">
        <v>768</v>
      </c>
      <c r="O393" s="49">
        <v>46092</v>
      </c>
      <c r="P393" s="35">
        <f>IF(OR(O393="", J393=""), "", NETWORKDAYS(J393, O393, FESTIVOS!A392:A446))</f>
        <v>-16</v>
      </c>
    </row>
    <row r="394" spans="1:16" ht="15.75" x14ac:dyDescent="0.25">
      <c r="A394" s="10" t="s">
        <v>18</v>
      </c>
      <c r="B394" s="18" t="s">
        <v>536</v>
      </c>
      <c r="C394" s="18" t="s">
        <v>67</v>
      </c>
      <c r="D394" s="18" t="s">
        <v>503</v>
      </c>
      <c r="E394" s="16">
        <v>393</v>
      </c>
      <c r="F394" s="17">
        <v>46092</v>
      </c>
      <c r="G394" s="10" t="s">
        <v>615</v>
      </c>
      <c r="H394" s="10">
        <f t="shared" si="22"/>
        <v>15</v>
      </c>
      <c r="I394" s="10">
        <f ca="1">IF(AND(F394&lt;&gt;"", J394&lt;&gt;""), NETWORKDAYS(TODAY(), J394-1, FESTIVOS!A$1:A$55), "")</f>
        <v>-46</v>
      </c>
      <c r="J394" s="49">
        <f>IF(AND(F394&lt;&gt;"", H394&lt;&gt;""), WORKDAY(F394, H394, FESTIVOS!A$1:A$55), "")</f>
        <v>46118</v>
      </c>
      <c r="K394" s="50" t="s">
        <v>656</v>
      </c>
      <c r="L394" s="50">
        <f t="shared" ca="1" si="23"/>
        <v>0</v>
      </c>
      <c r="M394" s="50" t="str">
        <f t="shared" ca="1" si="24"/>
        <v>Vencido</v>
      </c>
      <c r="N394" s="50" t="s">
        <v>699</v>
      </c>
      <c r="O394" s="49">
        <v>46105</v>
      </c>
      <c r="P394" s="35">
        <f>IF(OR(O394="", J394=""), "", NETWORKDAYS(J394, O394, FESTIVOS!A393:A447))</f>
        <v>-10</v>
      </c>
    </row>
    <row r="395" spans="1:16" ht="15.75" x14ac:dyDescent="0.25">
      <c r="A395" s="10" t="s">
        <v>18</v>
      </c>
      <c r="B395" s="41" t="s">
        <v>537</v>
      </c>
      <c r="C395" s="41" t="s">
        <v>67</v>
      </c>
      <c r="D395" s="18" t="s">
        <v>538</v>
      </c>
      <c r="E395" s="16">
        <v>394</v>
      </c>
      <c r="F395" s="17">
        <v>46092</v>
      </c>
      <c r="G395" s="10" t="s">
        <v>615</v>
      </c>
      <c r="H395" s="10">
        <f t="shared" si="22"/>
        <v>15</v>
      </c>
      <c r="I395" s="10">
        <f ca="1">IF(AND(F395&lt;&gt;"", J395&lt;&gt;""), NETWORKDAYS(TODAY(), J395-1, FESTIVOS!A$1:A$55), "")</f>
        <v>-46</v>
      </c>
      <c r="J395" s="49">
        <f>IF(AND(F395&lt;&gt;"", H395&lt;&gt;""), WORKDAY(F395, H395, FESTIVOS!A$1:A$55), "")</f>
        <v>46118</v>
      </c>
      <c r="K395" s="50" t="s">
        <v>656</v>
      </c>
      <c r="L395" s="50">
        <f t="shared" ca="1" si="23"/>
        <v>0</v>
      </c>
      <c r="M395" s="50" t="str">
        <f t="shared" ca="1" si="24"/>
        <v>Vencido</v>
      </c>
      <c r="N395" s="52" t="s">
        <v>684</v>
      </c>
      <c r="O395" s="49">
        <v>46105</v>
      </c>
      <c r="P395" s="35">
        <f>IF(OR(O395="", J395=""), "", NETWORKDAYS(J395, O395, FESTIVOS!A394:A448))</f>
        <v>-10</v>
      </c>
    </row>
    <row r="396" spans="1:16" ht="15.75" x14ac:dyDescent="0.25">
      <c r="A396" s="10" t="s">
        <v>18</v>
      </c>
      <c r="B396" s="41" t="s">
        <v>539</v>
      </c>
      <c r="C396" s="41" t="s">
        <v>67</v>
      </c>
      <c r="D396" s="18" t="s">
        <v>540</v>
      </c>
      <c r="E396" s="16">
        <v>395</v>
      </c>
      <c r="F396" s="17">
        <v>46092</v>
      </c>
      <c r="G396" s="10" t="s">
        <v>615</v>
      </c>
      <c r="H396" s="10">
        <f t="shared" si="22"/>
        <v>15</v>
      </c>
      <c r="I396" s="10">
        <f ca="1">IF(AND(F396&lt;&gt;"", J396&lt;&gt;""), NETWORKDAYS(TODAY(), J396-1, FESTIVOS!A$1:A$55), "")</f>
        <v>-46</v>
      </c>
      <c r="J396" s="49">
        <f>IF(AND(F396&lt;&gt;"", H396&lt;&gt;""), WORKDAY(F396, H396, FESTIVOS!A$1:A$55), "")</f>
        <v>46118</v>
      </c>
      <c r="K396" s="50" t="s">
        <v>656</v>
      </c>
      <c r="L396" s="50">
        <f t="shared" ca="1" si="23"/>
        <v>0</v>
      </c>
      <c r="M396" s="50" t="str">
        <f t="shared" ca="1" si="24"/>
        <v>Vencido</v>
      </c>
      <c r="N396" s="50" t="s">
        <v>685</v>
      </c>
      <c r="O396" s="49">
        <v>46105</v>
      </c>
      <c r="P396" s="35">
        <f>IF(OR(O396="", J396=""), "", NETWORKDAYS(J396, O396, FESTIVOS!A395:A449))</f>
        <v>-10</v>
      </c>
    </row>
    <row r="397" spans="1:16" ht="15.75" x14ac:dyDescent="0.25">
      <c r="A397" s="10" t="s">
        <v>18</v>
      </c>
      <c r="B397" s="18" t="s">
        <v>541</v>
      </c>
      <c r="C397" s="18" t="s">
        <v>67</v>
      </c>
      <c r="D397" s="18" t="s">
        <v>542</v>
      </c>
      <c r="E397" s="16">
        <v>396</v>
      </c>
      <c r="F397" s="17">
        <v>46092</v>
      </c>
      <c r="G397" s="10" t="s">
        <v>614</v>
      </c>
      <c r="H397" s="10">
        <f t="shared" si="22"/>
        <v>15</v>
      </c>
      <c r="I397" s="10">
        <f ca="1">IF(AND(F397&lt;&gt;"", J397&lt;&gt;""), NETWORKDAYS(TODAY(), J397-1, FESTIVOS!A$1:A$55), "")</f>
        <v>-46</v>
      </c>
      <c r="J397" s="71">
        <f>IF(AND(F397&lt;&gt;"", H397&lt;&gt;""), WORKDAY(F397, H397, FESTIVOS!A$1:A$55), "")</f>
        <v>46118</v>
      </c>
      <c r="K397" s="72" t="s">
        <v>656</v>
      </c>
      <c r="L397" s="72">
        <f t="shared" ca="1" si="23"/>
        <v>0</v>
      </c>
      <c r="M397" s="72" t="str">
        <f t="shared" ca="1" si="24"/>
        <v>Vencido</v>
      </c>
      <c r="N397" s="72" t="s">
        <v>770</v>
      </c>
      <c r="O397" s="71">
        <v>46101</v>
      </c>
      <c r="P397" s="35">
        <f>IF(OR(O397="", J397=""), "", NETWORKDAYS(J397, O397, FESTIVOS!A396:A450))</f>
        <v>-12</v>
      </c>
    </row>
    <row r="398" spans="1:16" ht="15.75" x14ac:dyDescent="0.25">
      <c r="A398" s="10" t="s">
        <v>18</v>
      </c>
      <c r="B398" s="18" t="s">
        <v>541</v>
      </c>
      <c r="C398" s="18" t="s">
        <v>67</v>
      </c>
      <c r="D398" s="18" t="s">
        <v>543</v>
      </c>
      <c r="E398" s="16">
        <v>397</v>
      </c>
      <c r="F398" s="17">
        <v>46092</v>
      </c>
      <c r="G398" s="10" t="s">
        <v>614</v>
      </c>
      <c r="H398" s="10">
        <f t="shared" si="22"/>
        <v>15</v>
      </c>
      <c r="I398" s="10">
        <f ca="1">IF(AND(F398&lt;&gt;"", J398&lt;&gt;""), NETWORKDAYS(TODAY(), J398-1, FESTIVOS!A$1:A$55), "")</f>
        <v>-46</v>
      </c>
      <c r="J398" s="71">
        <f>IF(AND(F398&lt;&gt;"", H398&lt;&gt;""), WORKDAY(F398, H398, FESTIVOS!A$1:A$55), "")</f>
        <v>46118</v>
      </c>
      <c r="K398" s="72" t="s">
        <v>656</v>
      </c>
      <c r="L398" s="72">
        <f t="shared" ca="1" si="23"/>
        <v>0</v>
      </c>
      <c r="M398" s="72" t="str">
        <f t="shared" ca="1" si="24"/>
        <v>Vencido</v>
      </c>
      <c r="N398" s="72" t="s">
        <v>771</v>
      </c>
      <c r="O398" s="71">
        <v>46101</v>
      </c>
      <c r="P398" s="35">
        <f>IF(OR(O398="", J398=""), "", NETWORKDAYS(J398, O398, FESTIVOS!A397:A451))</f>
        <v>-12</v>
      </c>
    </row>
    <row r="399" spans="1:16" ht="15.75" x14ac:dyDescent="0.25">
      <c r="A399" s="10" t="s">
        <v>18</v>
      </c>
      <c r="B399" s="18" t="s">
        <v>544</v>
      </c>
      <c r="C399" s="18" t="s">
        <v>59</v>
      </c>
      <c r="D399" s="18" t="s">
        <v>545</v>
      </c>
      <c r="E399" s="16">
        <v>398</v>
      </c>
      <c r="F399" s="17">
        <v>46092</v>
      </c>
      <c r="G399" s="10" t="s">
        <v>615</v>
      </c>
      <c r="H399" s="10">
        <f t="shared" si="22"/>
        <v>15</v>
      </c>
      <c r="I399" s="10">
        <f ca="1">IF(AND(F399&lt;&gt;"", J399&lt;&gt;""), NETWORKDAYS(TODAY(), J399-1, FESTIVOS!A$1:A$55), "")</f>
        <v>-46</v>
      </c>
      <c r="J399" s="49">
        <f>IF(AND(F399&lt;&gt;"", H399&lt;&gt;""), WORKDAY(F399, H399, FESTIVOS!A$1:A$55), "")</f>
        <v>46118</v>
      </c>
      <c r="K399" s="50" t="s">
        <v>656</v>
      </c>
      <c r="L399" s="50">
        <f t="shared" ca="1" si="23"/>
        <v>0</v>
      </c>
      <c r="M399" s="50" t="str">
        <f t="shared" ca="1" si="24"/>
        <v>Vencido</v>
      </c>
      <c r="N399" s="50" t="s">
        <v>781</v>
      </c>
      <c r="O399" s="49">
        <v>46113</v>
      </c>
      <c r="P399" s="35">
        <f>IF(OR(O399="", J399=""), "", NETWORKDAYS(J399, O399, FESTIVOS!A398:A452))</f>
        <v>-4</v>
      </c>
    </row>
    <row r="400" spans="1:16" ht="31.5" x14ac:dyDescent="0.25">
      <c r="A400" s="10" t="s">
        <v>18</v>
      </c>
      <c r="B400" s="18" t="s">
        <v>546</v>
      </c>
      <c r="C400" s="18" t="s">
        <v>88</v>
      </c>
      <c r="D400" s="18" t="s">
        <v>547</v>
      </c>
      <c r="E400" s="16">
        <v>399</v>
      </c>
      <c r="F400" s="17">
        <v>46092</v>
      </c>
      <c r="G400" s="10" t="s">
        <v>614</v>
      </c>
      <c r="H400" s="10">
        <f t="shared" si="22"/>
        <v>15</v>
      </c>
      <c r="I400" s="10">
        <f ca="1">IF(AND(F400&lt;&gt;"", J400&lt;&gt;""), NETWORKDAYS(TODAY(), J400-1, FESTIVOS!A$1:A$55), "")</f>
        <v>-46</v>
      </c>
      <c r="J400" s="71">
        <f>IF(AND(F400&lt;&gt;"", H400&lt;&gt;""), WORKDAY(F400, H400, FESTIVOS!A$1:A$55), "")</f>
        <v>46118</v>
      </c>
      <c r="K400" s="72" t="s">
        <v>656</v>
      </c>
      <c r="L400" s="72">
        <f t="shared" ca="1" si="23"/>
        <v>0</v>
      </c>
      <c r="M400" s="72" t="str">
        <f t="shared" ca="1" si="24"/>
        <v>Vencido</v>
      </c>
      <c r="N400" s="72" t="s">
        <v>780</v>
      </c>
      <c r="O400" s="71">
        <v>46112</v>
      </c>
      <c r="P400" s="35">
        <f>IF(OR(O400="", J400=""), "", NETWORKDAYS(J400, O400, FESTIVOS!A399:A453))</f>
        <v>-5</v>
      </c>
    </row>
    <row r="401" spans="1:16" ht="47.25" x14ac:dyDescent="0.25">
      <c r="A401" s="10" t="s">
        <v>18</v>
      </c>
      <c r="B401" s="18" t="s">
        <v>548</v>
      </c>
      <c r="C401" s="18" t="s">
        <v>67</v>
      </c>
      <c r="D401" s="18" t="s">
        <v>549</v>
      </c>
      <c r="E401" s="16">
        <v>400</v>
      </c>
      <c r="F401" s="17">
        <v>46092</v>
      </c>
      <c r="G401" s="10" t="s">
        <v>615</v>
      </c>
      <c r="H401" s="10">
        <f t="shared" si="22"/>
        <v>15</v>
      </c>
      <c r="I401" s="10">
        <f ca="1">IF(AND(F401&lt;&gt;"", J401&lt;&gt;""), NETWORKDAYS(TODAY(), J401-1, FESTIVOS!A$1:A$55), "")</f>
        <v>-46</v>
      </c>
      <c r="J401" s="49">
        <f>IF(AND(F401&lt;&gt;"", H401&lt;&gt;""), WORKDAY(F401, H401, FESTIVOS!A$1:A$55), "")</f>
        <v>46118</v>
      </c>
      <c r="K401" s="50" t="s">
        <v>656</v>
      </c>
      <c r="L401" s="50">
        <f t="shared" ca="1" si="23"/>
        <v>0</v>
      </c>
      <c r="M401" s="50" t="str">
        <f t="shared" ca="1" si="24"/>
        <v>Vencido</v>
      </c>
      <c r="N401" s="50" t="s">
        <v>745</v>
      </c>
      <c r="O401" s="49">
        <v>46108</v>
      </c>
      <c r="P401" s="35">
        <f>IF(OR(O401="", J401=""), "", NETWORKDAYS(J401, O401, FESTIVOS!A400:A454))</f>
        <v>-7</v>
      </c>
    </row>
    <row r="402" spans="1:16" ht="31.5" x14ac:dyDescent="0.25">
      <c r="A402" s="10" t="s">
        <v>18</v>
      </c>
      <c r="B402" s="18" t="s">
        <v>550</v>
      </c>
      <c r="C402" s="18" t="s">
        <v>67</v>
      </c>
      <c r="D402" s="18" t="s">
        <v>551</v>
      </c>
      <c r="E402" s="16">
        <v>401</v>
      </c>
      <c r="F402" s="17">
        <v>46092</v>
      </c>
      <c r="G402" s="10" t="s">
        <v>615</v>
      </c>
      <c r="H402" s="10">
        <f t="shared" si="22"/>
        <v>15</v>
      </c>
      <c r="I402" s="10">
        <f ca="1">IF(AND(F402&lt;&gt;"", J402&lt;&gt;""), NETWORKDAYS(TODAY(), J402-1, FESTIVOS!A$1:A$55), "")</f>
        <v>-46</v>
      </c>
      <c r="J402" s="49">
        <f>IF(AND(F402&lt;&gt;"", H402&lt;&gt;""), WORKDAY(F402, H402, FESTIVOS!A$1:A$55), "")</f>
        <v>46118</v>
      </c>
      <c r="K402" s="50" t="s">
        <v>656</v>
      </c>
      <c r="L402" s="50">
        <f t="shared" ca="1" si="23"/>
        <v>0</v>
      </c>
      <c r="M402" s="50" t="str">
        <f t="shared" ca="1" si="24"/>
        <v>Vencido</v>
      </c>
      <c r="N402" s="50" t="s">
        <v>772</v>
      </c>
      <c r="O402" s="49">
        <v>46100</v>
      </c>
      <c r="P402" s="35">
        <f>IF(OR(O402="", J402=""), "", NETWORKDAYS(J402, O402, FESTIVOS!A401:A455))</f>
        <v>-13</v>
      </c>
    </row>
    <row r="403" spans="1:16" ht="15.75" x14ac:dyDescent="0.25">
      <c r="A403" s="10" t="s">
        <v>18</v>
      </c>
      <c r="B403" s="18" t="s">
        <v>552</v>
      </c>
      <c r="C403" s="18" t="s">
        <v>67</v>
      </c>
      <c r="D403" s="18" t="s">
        <v>118</v>
      </c>
      <c r="E403" s="16">
        <v>402</v>
      </c>
      <c r="F403" s="17">
        <v>46092</v>
      </c>
      <c r="G403" s="10" t="s">
        <v>614</v>
      </c>
      <c r="H403" s="10">
        <f t="shared" si="22"/>
        <v>15</v>
      </c>
      <c r="I403" s="10">
        <f ca="1">IF(AND(F403&lt;&gt;"", J403&lt;&gt;""), NETWORKDAYS(TODAY(), J403-1, FESTIVOS!A$1:A$55), "")</f>
        <v>-46</v>
      </c>
      <c r="J403" s="49">
        <f>IF(AND(F403&lt;&gt;"", H403&lt;&gt;""), WORKDAY(F403, H403, FESTIVOS!A$1:A$55), "")</f>
        <v>46118</v>
      </c>
      <c r="K403" s="50" t="s">
        <v>656</v>
      </c>
      <c r="L403" s="50">
        <f t="shared" ca="1" si="23"/>
        <v>0</v>
      </c>
      <c r="M403" s="50" t="str">
        <f t="shared" ca="1" si="24"/>
        <v>Vencido</v>
      </c>
      <c r="N403" s="50" t="s">
        <v>773</v>
      </c>
      <c r="O403" s="49">
        <v>46094</v>
      </c>
      <c r="P403" s="35">
        <f>IF(OR(O403="", J403=""), "", NETWORKDAYS(J403, O403, FESTIVOS!A402:A456))</f>
        <v>-17</v>
      </c>
    </row>
    <row r="404" spans="1:16" ht="78.75" x14ac:dyDescent="0.25">
      <c r="A404" s="10" t="s">
        <v>18</v>
      </c>
      <c r="B404" s="18" t="s">
        <v>376</v>
      </c>
      <c r="C404" s="18" t="s">
        <v>88</v>
      </c>
      <c r="D404" s="18" t="s">
        <v>553</v>
      </c>
      <c r="E404" s="16">
        <v>403</v>
      </c>
      <c r="F404" s="17">
        <v>46092</v>
      </c>
      <c r="G404" s="10" t="s">
        <v>615</v>
      </c>
      <c r="H404" s="10">
        <f t="shared" si="22"/>
        <v>15</v>
      </c>
      <c r="I404" s="10">
        <f ca="1">IF(AND(F404&lt;&gt;"", J404&lt;&gt;""), NETWORKDAYS(TODAY(), J404-1, FESTIVOS!A$1:A$55), "")</f>
        <v>-46</v>
      </c>
      <c r="J404" s="49">
        <f>IF(AND(F404&lt;&gt;"", H404&lt;&gt;""), WORKDAY(F404, H404, FESTIVOS!A$1:A$55), "")</f>
        <v>46118</v>
      </c>
      <c r="K404" s="50" t="s">
        <v>656</v>
      </c>
      <c r="L404" s="50">
        <f t="shared" ca="1" si="23"/>
        <v>0</v>
      </c>
      <c r="M404" s="50" t="str">
        <f t="shared" ca="1" si="24"/>
        <v>Vencido</v>
      </c>
      <c r="N404" s="50" t="s">
        <v>682</v>
      </c>
      <c r="O404" s="49">
        <v>46105</v>
      </c>
      <c r="P404" s="35">
        <f>IF(OR(O404="", J404=""), "", NETWORKDAYS(J404, O404, FESTIVOS!A403:A457))</f>
        <v>-10</v>
      </c>
    </row>
    <row r="405" spans="1:16" ht="63" x14ac:dyDescent="0.25">
      <c r="A405" s="10" t="s">
        <v>18</v>
      </c>
      <c r="B405" s="18" t="s">
        <v>376</v>
      </c>
      <c r="C405" s="18" t="s">
        <v>88</v>
      </c>
      <c r="D405" s="18" t="s">
        <v>554</v>
      </c>
      <c r="E405" s="16">
        <v>404</v>
      </c>
      <c r="F405" s="17">
        <v>46092</v>
      </c>
      <c r="G405" s="10" t="s">
        <v>615</v>
      </c>
      <c r="H405" s="10">
        <f t="shared" si="22"/>
        <v>15</v>
      </c>
      <c r="I405" s="10">
        <f ca="1">IF(AND(F405&lt;&gt;"", J405&lt;&gt;""), NETWORKDAYS(TODAY(), J405-1, FESTIVOS!A$1:A$55), "")</f>
        <v>-46</v>
      </c>
      <c r="J405" s="49">
        <f>IF(AND(F405&lt;&gt;"", H405&lt;&gt;""), WORKDAY(F405, H405, FESTIVOS!A$1:A$55), "")</f>
        <v>46118</v>
      </c>
      <c r="K405" s="50" t="s">
        <v>656</v>
      </c>
      <c r="L405" s="50">
        <f t="shared" ca="1" si="23"/>
        <v>0</v>
      </c>
      <c r="M405" s="50" t="str">
        <f t="shared" ca="1" si="24"/>
        <v>Vencido</v>
      </c>
      <c r="N405" s="50" t="s">
        <v>782</v>
      </c>
      <c r="O405" s="49">
        <v>46113</v>
      </c>
      <c r="P405" s="35">
        <f>IF(OR(O405="", J405=""), "", NETWORKDAYS(J405, O405, FESTIVOS!A404:A458))</f>
        <v>-4</v>
      </c>
    </row>
    <row r="406" spans="1:16" ht="31.5" x14ac:dyDescent="0.25">
      <c r="A406" s="10" t="s">
        <v>18</v>
      </c>
      <c r="B406" s="18" t="s">
        <v>555</v>
      </c>
      <c r="C406" s="18" t="s">
        <v>67</v>
      </c>
      <c r="D406" s="18" t="s">
        <v>556</v>
      </c>
      <c r="E406" s="16">
        <v>405</v>
      </c>
      <c r="F406" s="17">
        <v>46092</v>
      </c>
      <c r="G406" s="10" t="s">
        <v>617</v>
      </c>
      <c r="H406" s="10">
        <f t="shared" si="22"/>
        <v>15</v>
      </c>
      <c r="I406" s="10">
        <f ca="1">IF(AND(F406&lt;&gt;"", J406&lt;&gt;""), NETWORKDAYS(TODAY(), J406-1, FESTIVOS!A$1:A$55), "")</f>
        <v>-46</v>
      </c>
      <c r="J406" s="69">
        <f>IF(AND(F406&lt;&gt;"", H406&lt;&gt;""), WORKDAY(F406, H406, FESTIVOS!A$1:A$55), "")</f>
        <v>46118</v>
      </c>
      <c r="K406" s="70" t="s">
        <v>656</v>
      </c>
      <c r="L406" s="70">
        <f t="shared" ca="1" si="23"/>
        <v>0</v>
      </c>
      <c r="M406" s="70" t="str">
        <f t="shared" ca="1" si="24"/>
        <v>Vencido</v>
      </c>
      <c r="N406" s="70" t="s">
        <v>652</v>
      </c>
      <c r="O406" s="69"/>
      <c r="P406" s="35" t="str">
        <f>IF(OR(O406="", J406=""), "", NETWORKDAYS(J406, O406, FESTIVOS!A405:A459))</f>
        <v/>
      </c>
    </row>
    <row r="407" spans="1:16" ht="63" x14ac:dyDescent="0.25">
      <c r="A407" s="10" t="s">
        <v>18</v>
      </c>
      <c r="B407" s="18" t="s">
        <v>557</v>
      </c>
      <c r="C407" s="18" t="s">
        <v>558</v>
      </c>
      <c r="D407" s="18" t="s">
        <v>559</v>
      </c>
      <c r="E407" s="16">
        <v>406</v>
      </c>
      <c r="F407" s="17">
        <v>46093</v>
      </c>
      <c r="G407" s="10" t="s">
        <v>615</v>
      </c>
      <c r="H407" s="10">
        <f>IF(A407="INFORMACIÓN O DOCUMENTOS", 10, IF(A407="CONSULTA", 30, IF(A407="FACTURACIÓN Y COBROS", 15, IF(A407="VINCULACIÓN Y DESVINCULACIÓN", 15, IF(A407="NO ES DE NUESTRA COMPETENCIA", 5, IF(A407="OTRO", 15, ""))))))</f>
        <v>15</v>
      </c>
      <c r="I407" s="10">
        <f ca="1">IF(AND(F407&lt;&gt;"", J407&lt;&gt;""), NETWORKDAYS(TODAY(), J407-1, FESTIVOS!A$1:A$55), "")</f>
        <v>-46</v>
      </c>
      <c r="J407" s="49">
        <f>IF(AND(F407&lt;&gt;"", H407&lt;&gt;""), WORKDAY(F407, H407, FESTIVOS!A$1:A$55), "")</f>
        <v>46119</v>
      </c>
      <c r="K407" s="50" t="s">
        <v>656</v>
      </c>
      <c r="L407" s="50">
        <f t="shared" ca="1" si="23"/>
        <v>0</v>
      </c>
      <c r="M407" s="50" t="str">
        <f t="shared" ca="1" si="24"/>
        <v>Vencido</v>
      </c>
      <c r="N407" s="50" t="s">
        <v>707</v>
      </c>
      <c r="O407" s="49">
        <v>46106</v>
      </c>
      <c r="P407" s="35">
        <f>IF(OR(O407="", J407=""), "", NETWORKDAYS(J407, O407, FESTIVOS!A406:A460))</f>
        <v>-10</v>
      </c>
    </row>
    <row r="408" spans="1:16" ht="15.75" x14ac:dyDescent="0.25">
      <c r="A408" s="10" t="s">
        <v>18</v>
      </c>
      <c r="B408" s="18" t="s">
        <v>560</v>
      </c>
      <c r="C408" s="18" t="s">
        <v>59</v>
      </c>
      <c r="D408" s="18" t="s">
        <v>561</v>
      </c>
      <c r="E408" s="16">
        <v>407</v>
      </c>
      <c r="F408" s="17">
        <v>46093</v>
      </c>
      <c r="G408" s="10" t="s">
        <v>615</v>
      </c>
      <c r="H408" s="10">
        <v>15</v>
      </c>
      <c r="I408" s="10">
        <f ca="1">IF(AND(F408&lt;&gt;"", J408&lt;&gt;""), NETWORKDAYS(TODAY(), J408-1, FESTIVOS!A$1:A$55), "")</f>
        <v>-46</v>
      </c>
      <c r="J408" s="66">
        <f>IF(AND(F408&lt;&gt;"", H408&lt;&gt;""), WORKDAY(F408, H408, FESTIVOS!A$1:A$55), "")</f>
        <v>46119</v>
      </c>
      <c r="K408" s="67" t="s">
        <v>656</v>
      </c>
      <c r="L408" s="67">
        <f t="shared" ca="1" si="23"/>
        <v>0</v>
      </c>
      <c r="M408" s="67" t="str">
        <f t="shared" ca="1" si="24"/>
        <v>Vencido</v>
      </c>
      <c r="N408" s="67" t="s">
        <v>769</v>
      </c>
      <c r="O408" s="66">
        <v>46111</v>
      </c>
      <c r="P408" s="35">
        <f>IF(OR(O408="", J408=""), "", NETWORKDAYS(J408, O408, FESTIVOS!A407:A461))</f>
        <v>-7</v>
      </c>
    </row>
    <row r="409" spans="1:16" ht="63" x14ac:dyDescent="0.25">
      <c r="A409" s="10" t="s">
        <v>18</v>
      </c>
      <c r="B409" s="18" t="s">
        <v>376</v>
      </c>
      <c r="C409" s="18" t="s">
        <v>88</v>
      </c>
      <c r="D409" s="18" t="s">
        <v>562</v>
      </c>
      <c r="E409" s="16">
        <v>408</v>
      </c>
      <c r="F409" s="17">
        <v>46093</v>
      </c>
      <c r="G409" s="10" t="s">
        <v>615</v>
      </c>
      <c r="H409" s="10">
        <f t="shared" si="22"/>
        <v>15</v>
      </c>
      <c r="I409" s="10">
        <f ca="1">IF(AND(F409&lt;&gt;"", J409&lt;&gt;""), NETWORKDAYS(TODAY(), J409-1, FESTIVOS!A$1:A$55), "")</f>
        <v>-46</v>
      </c>
      <c r="J409" s="49">
        <f>IF(AND(F409&lt;&gt;"", H409&lt;&gt;""), WORKDAY(F409, H409, FESTIVOS!A$1:A$55), "")</f>
        <v>46119</v>
      </c>
      <c r="K409" s="50" t="s">
        <v>656</v>
      </c>
      <c r="L409" s="50">
        <f t="shared" ca="1" si="23"/>
        <v>0</v>
      </c>
      <c r="M409" s="50" t="str">
        <f t="shared" ca="1" si="24"/>
        <v>Vencido</v>
      </c>
      <c r="N409" s="50" t="s">
        <v>683</v>
      </c>
      <c r="O409" s="49">
        <v>46105</v>
      </c>
      <c r="P409" s="35">
        <f>IF(OR(O409="", J409=""), "", NETWORKDAYS(J409, O409, FESTIVOS!A408:A462))</f>
        <v>-11</v>
      </c>
    </row>
    <row r="410" spans="1:16" ht="110.25" x14ac:dyDescent="0.25">
      <c r="A410" s="10" t="s">
        <v>18</v>
      </c>
      <c r="B410" s="18" t="s">
        <v>376</v>
      </c>
      <c r="C410" s="18" t="s">
        <v>88</v>
      </c>
      <c r="D410" s="18" t="s">
        <v>563</v>
      </c>
      <c r="E410" s="16">
        <v>409</v>
      </c>
      <c r="F410" s="17">
        <v>46093</v>
      </c>
      <c r="G410" s="10" t="s">
        <v>615</v>
      </c>
      <c r="H410" s="10">
        <f t="shared" si="22"/>
        <v>15</v>
      </c>
      <c r="I410" s="10">
        <f ca="1">IF(AND(F410&lt;&gt;"", J410&lt;&gt;""), NETWORKDAYS(TODAY(), J410-1, FESTIVOS!A$1:A$55), "")</f>
        <v>-46</v>
      </c>
      <c r="J410" s="49">
        <f>IF(AND(F410&lt;&gt;"", H410&lt;&gt;""), WORKDAY(F410, H410, FESTIVOS!A$1:A$55), "")</f>
        <v>46119</v>
      </c>
      <c r="K410" s="50" t="s">
        <v>656</v>
      </c>
      <c r="L410" s="50">
        <f t="shared" ca="1" si="23"/>
        <v>0</v>
      </c>
      <c r="M410" s="50" t="str">
        <f t="shared" ca="1" si="24"/>
        <v>Vencido</v>
      </c>
      <c r="N410" s="50" t="s">
        <v>783</v>
      </c>
      <c r="O410" s="49">
        <v>46113</v>
      </c>
      <c r="P410" s="35">
        <f>IF(OR(O410="", J410=""), "", NETWORKDAYS(J410, O410, FESTIVOS!A409:A463))</f>
        <v>-5</v>
      </c>
    </row>
    <row r="411" spans="1:16" ht="31.5" x14ac:dyDescent="0.25">
      <c r="A411" s="10" t="s">
        <v>18</v>
      </c>
      <c r="B411" s="18" t="s">
        <v>376</v>
      </c>
      <c r="C411" s="18" t="s">
        <v>88</v>
      </c>
      <c r="D411" s="18" t="s">
        <v>564</v>
      </c>
      <c r="E411" s="16">
        <v>410</v>
      </c>
      <c r="F411" s="17">
        <v>46093</v>
      </c>
      <c r="G411" s="10" t="s">
        <v>615</v>
      </c>
      <c r="H411" s="10">
        <f t="shared" si="22"/>
        <v>15</v>
      </c>
      <c r="I411" s="10">
        <f ca="1">IF(AND(F411&lt;&gt;"", J411&lt;&gt;""), NETWORKDAYS(TODAY(), J411-1, FESTIVOS!A$1:A$55), "")</f>
        <v>-46</v>
      </c>
      <c r="J411" s="49">
        <f>IF(AND(F411&lt;&gt;"", H411&lt;&gt;""), WORKDAY(F411, H411, FESTIVOS!A$1:A$55), "")</f>
        <v>46119</v>
      </c>
      <c r="K411" s="50" t="s">
        <v>656</v>
      </c>
      <c r="L411" s="50">
        <f t="shared" ca="1" si="23"/>
        <v>0</v>
      </c>
      <c r="M411" s="50" t="str">
        <f t="shared" ca="1" si="24"/>
        <v>Vencido</v>
      </c>
      <c r="N411" s="51" t="s">
        <v>652</v>
      </c>
      <c r="O411" s="49"/>
      <c r="P411" s="35" t="str">
        <f>IF(OR(O411="", J411=""), "", NETWORKDAYS(J411, O411, FESTIVOS!A410:A464))</f>
        <v/>
      </c>
    </row>
    <row r="412" spans="1:16" ht="15.75" x14ac:dyDescent="0.25">
      <c r="A412" s="10" t="s">
        <v>18</v>
      </c>
      <c r="B412" s="18" t="s">
        <v>565</v>
      </c>
      <c r="C412" s="18" t="s">
        <v>67</v>
      </c>
      <c r="D412" s="18" t="s">
        <v>51</v>
      </c>
      <c r="E412" s="16">
        <v>411</v>
      </c>
      <c r="F412" s="17">
        <v>46093</v>
      </c>
      <c r="G412" s="10" t="s">
        <v>615</v>
      </c>
      <c r="H412" s="10">
        <f t="shared" si="22"/>
        <v>15</v>
      </c>
      <c r="I412" s="10">
        <f ca="1">IF(AND(F412&lt;&gt;"", J412&lt;&gt;""), NETWORKDAYS(TODAY(), J412-1, FESTIVOS!A$1:A$55), "")</f>
        <v>-46</v>
      </c>
      <c r="J412" s="49">
        <f>IF(AND(F412&lt;&gt;"", H412&lt;&gt;""), WORKDAY(F412, H412, FESTIVOS!A$1:A$55), "")</f>
        <v>46119</v>
      </c>
      <c r="K412" s="50" t="s">
        <v>656</v>
      </c>
      <c r="L412" s="50">
        <f t="shared" ca="1" si="23"/>
        <v>0</v>
      </c>
      <c r="M412" s="50" t="str">
        <f t="shared" ca="1" si="24"/>
        <v>Vencido</v>
      </c>
      <c r="N412" s="50" t="s">
        <v>757</v>
      </c>
      <c r="O412" s="49">
        <v>46111</v>
      </c>
      <c r="P412" s="35">
        <f>IF(OR(O412="", J412=""), "", NETWORKDAYS(J412, O412, FESTIVOS!A411:A465))</f>
        <v>-7</v>
      </c>
    </row>
    <row r="413" spans="1:16" ht="31.5" x14ac:dyDescent="0.25">
      <c r="A413" s="10" t="s">
        <v>18</v>
      </c>
      <c r="B413" s="18" t="s">
        <v>566</v>
      </c>
      <c r="C413" s="18" t="s">
        <v>88</v>
      </c>
      <c r="D413" s="18" t="s">
        <v>567</v>
      </c>
      <c r="E413" s="16">
        <v>412</v>
      </c>
      <c r="F413" s="17">
        <v>46093</v>
      </c>
      <c r="G413" s="10" t="s">
        <v>615</v>
      </c>
      <c r="H413" s="10">
        <f t="shared" si="22"/>
        <v>15</v>
      </c>
      <c r="I413" s="10">
        <f ca="1">IF(AND(F413&lt;&gt;"", J413&lt;&gt;""), NETWORKDAYS(TODAY(), J413-1, FESTIVOS!A$1:A$55), "")</f>
        <v>-46</v>
      </c>
      <c r="J413" s="49">
        <f>IF(AND(F413&lt;&gt;"", H413&lt;&gt;""), WORKDAY(F413, H413, FESTIVOS!A$1:A$55), "")</f>
        <v>46119</v>
      </c>
      <c r="K413" s="50" t="s">
        <v>656</v>
      </c>
      <c r="L413" s="50">
        <f t="shared" ca="1" si="23"/>
        <v>0</v>
      </c>
      <c r="M413" s="50" t="str">
        <f t="shared" ca="1" si="24"/>
        <v>Vencido</v>
      </c>
      <c r="N413" s="50" t="s">
        <v>784</v>
      </c>
      <c r="O413" s="49">
        <v>46119</v>
      </c>
      <c r="P413" s="35">
        <f>IF(OR(O413="", J413=""), "", NETWORKDAYS(J413, O413, FESTIVOS!A412:A466))</f>
        <v>1</v>
      </c>
    </row>
    <row r="414" spans="1:16" ht="39.6" customHeight="1" x14ac:dyDescent="0.25">
      <c r="A414" s="10" t="s">
        <v>18</v>
      </c>
      <c r="B414" s="18" t="s">
        <v>568</v>
      </c>
      <c r="C414" s="18" t="s">
        <v>67</v>
      </c>
      <c r="D414" s="9" t="s">
        <v>44</v>
      </c>
      <c r="E414" s="16">
        <v>413</v>
      </c>
      <c r="F414" s="17">
        <v>46093</v>
      </c>
      <c r="G414" s="10" t="s">
        <v>615</v>
      </c>
      <c r="H414" s="10">
        <f t="shared" si="22"/>
        <v>15</v>
      </c>
      <c r="I414" s="10">
        <f ca="1">IF(AND(F414&lt;&gt;"", J414&lt;&gt;""), NETWORKDAYS(TODAY(), J414-1, FESTIVOS!A$1:A$55), "")</f>
        <v>-46</v>
      </c>
      <c r="J414" s="49">
        <f>IF(AND(F414&lt;&gt;"", H414&lt;&gt;""), WORKDAY(F414, H414, FESTIVOS!A$1:A$55), "")</f>
        <v>46119</v>
      </c>
      <c r="K414" s="50" t="s">
        <v>656</v>
      </c>
      <c r="L414" s="50">
        <f t="shared" ca="1" si="23"/>
        <v>0</v>
      </c>
      <c r="M414" s="50" t="str">
        <f t="shared" ca="1" si="24"/>
        <v>Vencido</v>
      </c>
      <c r="N414" s="51" t="s">
        <v>652</v>
      </c>
      <c r="O414" s="49"/>
      <c r="P414" s="35" t="str">
        <f>IF(OR(O414="", J414=""), "", NETWORKDAYS(J414, O414, FESTIVOS!A413:A467))</f>
        <v/>
      </c>
    </row>
    <row r="415" spans="1:16" ht="35.450000000000003" customHeight="1" x14ac:dyDescent="0.25">
      <c r="A415" s="10" t="s">
        <v>18</v>
      </c>
      <c r="B415" s="18" t="s">
        <v>569</v>
      </c>
      <c r="C415" s="18" t="s">
        <v>67</v>
      </c>
      <c r="D415" s="18" t="s">
        <v>44</v>
      </c>
      <c r="E415" s="16">
        <v>414</v>
      </c>
      <c r="F415" s="17">
        <v>46093</v>
      </c>
      <c r="G415" s="10" t="s">
        <v>615</v>
      </c>
      <c r="H415" s="10">
        <f t="shared" si="22"/>
        <v>15</v>
      </c>
      <c r="I415" s="10">
        <f ca="1">IF(AND(F415&lt;&gt;"", J415&lt;&gt;""), NETWORKDAYS(TODAY(), J415-1, FESTIVOS!A$1:A$55), "")</f>
        <v>-46</v>
      </c>
      <c r="J415" s="49">
        <f>IF(AND(F415&lt;&gt;"", H415&lt;&gt;""), WORKDAY(F415, H415, FESTIVOS!A$1:A$55), "")</f>
        <v>46119</v>
      </c>
      <c r="K415" s="50" t="s">
        <v>656</v>
      </c>
      <c r="L415" s="50">
        <f t="shared" ca="1" si="23"/>
        <v>0</v>
      </c>
      <c r="M415" s="50" t="str">
        <f t="shared" ca="1" si="24"/>
        <v>Vencido</v>
      </c>
      <c r="N415" s="51" t="s">
        <v>652</v>
      </c>
      <c r="O415" s="49"/>
      <c r="P415" s="35" t="str">
        <f>IF(OR(O415="", J415=""), "", NETWORKDAYS(J415, O415, FESTIVOS!A414:A468))</f>
        <v/>
      </c>
    </row>
    <row r="416" spans="1:16" ht="31.9" customHeight="1" x14ac:dyDescent="0.25">
      <c r="A416" s="10" t="s">
        <v>18</v>
      </c>
      <c r="B416" s="18" t="s">
        <v>570</v>
      </c>
      <c r="C416" s="18" t="s">
        <v>67</v>
      </c>
      <c r="D416" s="18" t="s">
        <v>44</v>
      </c>
      <c r="E416" s="16">
        <v>415</v>
      </c>
      <c r="F416" s="17">
        <v>46093</v>
      </c>
      <c r="G416" s="10" t="s">
        <v>615</v>
      </c>
      <c r="H416" s="10">
        <f t="shared" si="22"/>
        <v>15</v>
      </c>
      <c r="I416" s="10">
        <f ca="1">IF(AND(F416&lt;&gt;"", J416&lt;&gt;""), NETWORKDAYS(TODAY(), J416-1, FESTIVOS!A$1:A$55), "")</f>
        <v>-46</v>
      </c>
      <c r="J416" s="49">
        <f>IF(AND(F416&lt;&gt;"", H416&lt;&gt;""), WORKDAY(F416, H416, FESTIVOS!A$1:A$55), "")</f>
        <v>46119</v>
      </c>
      <c r="K416" s="50" t="s">
        <v>656</v>
      </c>
      <c r="L416" s="50">
        <f t="shared" ca="1" si="23"/>
        <v>0</v>
      </c>
      <c r="M416" s="50" t="str">
        <f t="shared" ca="1" si="24"/>
        <v>Vencido</v>
      </c>
      <c r="N416" s="51" t="s">
        <v>652</v>
      </c>
      <c r="O416" s="49"/>
      <c r="P416" s="35" t="str">
        <f>IF(OR(O416="", J416=""), "", NETWORKDAYS(J416, O416, FESTIVOS!A415:A469))</f>
        <v/>
      </c>
    </row>
    <row r="417" spans="1:16" ht="39" customHeight="1" x14ac:dyDescent="0.25">
      <c r="A417" s="10" t="s">
        <v>18</v>
      </c>
      <c r="B417" s="18" t="s">
        <v>571</v>
      </c>
      <c r="C417" s="18" t="s">
        <v>67</v>
      </c>
      <c r="D417" s="18" t="s">
        <v>44</v>
      </c>
      <c r="E417" s="16">
        <v>416</v>
      </c>
      <c r="F417" s="17">
        <v>46093</v>
      </c>
      <c r="G417" s="10" t="s">
        <v>615</v>
      </c>
      <c r="H417" s="10">
        <f t="shared" si="22"/>
        <v>15</v>
      </c>
      <c r="I417" s="10">
        <f ca="1">IF(AND(F417&lt;&gt;"", J417&lt;&gt;""), NETWORKDAYS(TODAY(), J417-1, FESTIVOS!A$1:A$55), "")</f>
        <v>-46</v>
      </c>
      <c r="J417" s="49">
        <f>IF(AND(F417&lt;&gt;"", H417&lt;&gt;""), WORKDAY(F417, H417, FESTIVOS!A$1:A$55), "")</f>
        <v>46119</v>
      </c>
      <c r="K417" s="50" t="s">
        <v>656</v>
      </c>
      <c r="L417" s="50">
        <f t="shared" ca="1" si="23"/>
        <v>0</v>
      </c>
      <c r="M417" s="50" t="str">
        <f t="shared" ca="1" si="24"/>
        <v>Vencido</v>
      </c>
      <c r="N417" s="51" t="s">
        <v>652</v>
      </c>
      <c r="O417" s="49"/>
      <c r="P417" s="35" t="str">
        <f>IF(OR(O417="", J417=""), "", NETWORKDAYS(J417, O417, FESTIVOS!A416:A470))</f>
        <v/>
      </c>
    </row>
    <row r="418" spans="1:16" ht="25.15" customHeight="1" x14ac:dyDescent="0.25">
      <c r="A418" s="10" t="s">
        <v>18</v>
      </c>
      <c r="B418" s="18" t="s">
        <v>572</v>
      </c>
      <c r="C418" s="18" t="s">
        <v>67</v>
      </c>
      <c r="D418" s="18" t="s">
        <v>44</v>
      </c>
      <c r="E418" s="16">
        <v>417</v>
      </c>
      <c r="F418" s="17">
        <v>46093</v>
      </c>
      <c r="G418" s="10" t="s">
        <v>615</v>
      </c>
      <c r="H418" s="10">
        <f t="shared" si="22"/>
        <v>15</v>
      </c>
      <c r="I418" s="10">
        <f ca="1">IF(AND(F418&lt;&gt;"", J418&lt;&gt;""), NETWORKDAYS(TODAY(), J418-1, FESTIVOS!A$1:A$55), "")</f>
        <v>-46</v>
      </c>
      <c r="J418" s="49">
        <f>IF(AND(F418&lt;&gt;"", H418&lt;&gt;""), WORKDAY(F418, H418, FESTIVOS!A$1:A$55), "")</f>
        <v>46119</v>
      </c>
      <c r="K418" s="50" t="s">
        <v>656</v>
      </c>
      <c r="L418" s="50">
        <f t="shared" ca="1" si="23"/>
        <v>0</v>
      </c>
      <c r="M418" s="50" t="str">
        <f t="shared" ca="1" si="24"/>
        <v>Vencido</v>
      </c>
      <c r="N418" s="51" t="s">
        <v>652</v>
      </c>
      <c r="O418" s="49"/>
      <c r="P418" s="35" t="str">
        <f>IF(OR(O418="", J418=""), "", NETWORKDAYS(J418, O418, FESTIVOS!A417:A471))</f>
        <v/>
      </c>
    </row>
    <row r="419" spans="1:16" ht="25.5" x14ac:dyDescent="0.25">
      <c r="A419" s="10" t="s">
        <v>18</v>
      </c>
      <c r="B419" s="18" t="s">
        <v>573</v>
      </c>
      <c r="C419" s="18" t="s">
        <v>67</v>
      </c>
      <c r="D419" s="18" t="s">
        <v>44</v>
      </c>
      <c r="E419" s="16">
        <v>418</v>
      </c>
      <c r="F419" s="17">
        <v>46093</v>
      </c>
      <c r="G419" s="10" t="s">
        <v>615</v>
      </c>
      <c r="H419" s="10">
        <f t="shared" si="22"/>
        <v>15</v>
      </c>
      <c r="I419" s="10">
        <f ca="1">IF(AND(F419&lt;&gt;"", J419&lt;&gt;""), NETWORKDAYS(TODAY(), J419-1, FESTIVOS!A$1:A$55), "")</f>
        <v>-46</v>
      </c>
      <c r="J419" s="49">
        <f>IF(AND(F419&lt;&gt;"", H419&lt;&gt;""), WORKDAY(F419, H419, FESTIVOS!A$1:A$55), "")</f>
        <v>46119</v>
      </c>
      <c r="K419" s="50" t="s">
        <v>656</v>
      </c>
      <c r="L419" s="50">
        <f t="shared" ca="1" si="23"/>
        <v>0</v>
      </c>
      <c r="M419" s="50" t="str">
        <f t="shared" ca="1" si="24"/>
        <v>Vencido</v>
      </c>
      <c r="N419" s="51" t="s">
        <v>652</v>
      </c>
      <c r="O419" s="49"/>
      <c r="P419" s="35" t="str">
        <f>IF(OR(O419="", J419=""), "", NETWORKDAYS(J419, O419, FESTIVOS!A418:A472))</f>
        <v/>
      </c>
    </row>
    <row r="420" spans="1:16" ht="15.75" x14ac:dyDescent="0.25">
      <c r="A420" s="10" t="s">
        <v>18</v>
      </c>
      <c r="B420" s="18" t="s">
        <v>546</v>
      </c>
      <c r="C420" s="18" t="s">
        <v>88</v>
      </c>
      <c r="D420" s="12" t="s">
        <v>574</v>
      </c>
      <c r="E420" s="16">
        <v>419</v>
      </c>
      <c r="F420" s="17">
        <v>46093</v>
      </c>
      <c r="G420" s="10" t="s">
        <v>615</v>
      </c>
      <c r="H420" s="10">
        <f t="shared" si="22"/>
        <v>15</v>
      </c>
      <c r="I420" s="10">
        <f ca="1">IF(AND(F420&lt;&gt;"", J420&lt;&gt;""), NETWORKDAYS(TODAY(), J420-1, FESTIVOS!A$1:A$55), "")</f>
        <v>-46</v>
      </c>
      <c r="J420" s="49">
        <f>IF(AND(F420&lt;&gt;"", H420&lt;&gt;""), WORKDAY(F420, H420, FESTIVOS!A$1:A$55), "")</f>
        <v>46119</v>
      </c>
      <c r="K420" s="50" t="s">
        <v>656</v>
      </c>
      <c r="L420" s="50">
        <f t="shared" ca="1" si="23"/>
        <v>0</v>
      </c>
      <c r="M420" s="50" t="str">
        <f t="shared" ca="1" si="24"/>
        <v>Vencido</v>
      </c>
      <c r="N420" s="50" t="s">
        <v>785</v>
      </c>
      <c r="O420" s="49">
        <v>46100</v>
      </c>
      <c r="P420" s="35">
        <f>IF(OR(O420="", J420=""), "", NETWORKDAYS(J420, O420, FESTIVOS!A419:A473))</f>
        <v>-14</v>
      </c>
    </row>
    <row r="421" spans="1:16" ht="15.75" x14ac:dyDescent="0.25">
      <c r="A421" s="10" t="s">
        <v>18</v>
      </c>
      <c r="B421" s="18" t="s">
        <v>575</v>
      </c>
      <c r="C421" s="18" t="s">
        <v>67</v>
      </c>
      <c r="D421" s="18" t="s">
        <v>449</v>
      </c>
      <c r="E421" s="16">
        <v>420</v>
      </c>
      <c r="F421" s="17">
        <v>46094</v>
      </c>
      <c r="G421" s="10" t="s">
        <v>614</v>
      </c>
      <c r="H421" s="10">
        <f t="shared" si="22"/>
        <v>15</v>
      </c>
      <c r="I421" s="10">
        <f ca="1">IF(AND(F421&lt;&gt;"", J421&lt;&gt;""), NETWORKDAYS(TODAY(), J421-1, FESTIVOS!A$1:A$55), "")</f>
        <v>-45</v>
      </c>
      <c r="J421" s="11">
        <f>IF(AND(F421&lt;&gt;"", H421&lt;&gt;""), WORKDAY(F421, H421, FESTIVOS!A$1:A$55), "")</f>
        <v>46120</v>
      </c>
      <c r="K421" s="10" t="s">
        <v>656</v>
      </c>
      <c r="L421" s="10">
        <f t="shared" ca="1" si="23"/>
        <v>0</v>
      </c>
      <c r="M421" s="10" t="str">
        <f t="shared" ca="1" si="24"/>
        <v>Vencido</v>
      </c>
      <c r="N421" s="10" t="s">
        <v>606</v>
      </c>
      <c r="O421" s="11">
        <v>46036</v>
      </c>
      <c r="P421" s="35">
        <f>IF(OR(O421="", J421=""), "", NETWORKDAYS(J421, O421, FESTIVOS!A420:A474))</f>
        <v>-61</v>
      </c>
    </row>
    <row r="422" spans="1:16" ht="15.75" x14ac:dyDescent="0.25">
      <c r="A422" s="10" t="s">
        <v>18</v>
      </c>
      <c r="B422" s="21" t="s">
        <v>218</v>
      </c>
      <c r="C422" s="18" t="s">
        <v>88</v>
      </c>
      <c r="D422" s="18" t="s">
        <v>1033</v>
      </c>
      <c r="E422" s="16">
        <v>421</v>
      </c>
      <c r="F422" s="17">
        <v>46094</v>
      </c>
      <c r="G422" s="10" t="s">
        <v>615</v>
      </c>
      <c r="H422" s="10">
        <f t="shared" si="22"/>
        <v>15</v>
      </c>
      <c r="I422" s="10">
        <f ca="1">IF(AND(F422&lt;&gt;"", J422&lt;&gt;""), NETWORKDAYS(TODAY(), J422-1, FESTIVOS!A$1:A$55), "")</f>
        <v>-45</v>
      </c>
      <c r="J422" s="11">
        <f>IF(AND(F422&lt;&gt;"", H422&lt;&gt;""), WORKDAY(F422, H422, FESTIVOS!A$1:A$55), "")</f>
        <v>46120</v>
      </c>
      <c r="K422" s="10" t="s">
        <v>656</v>
      </c>
      <c r="L422" s="10">
        <f t="shared" ca="1" si="23"/>
        <v>0</v>
      </c>
      <c r="M422" s="10" t="str">
        <f t="shared" ca="1" si="24"/>
        <v>Vencido</v>
      </c>
      <c r="N422" s="10" t="s">
        <v>606</v>
      </c>
      <c r="O422" s="11">
        <v>46036</v>
      </c>
      <c r="P422" s="35">
        <f>IF(OR(O422="", J422=""), "", NETWORKDAYS(J422, O422, FESTIVOS!A421:A475))</f>
        <v>-61</v>
      </c>
    </row>
    <row r="423" spans="1:16" ht="31.5" x14ac:dyDescent="0.25">
      <c r="A423" s="10" t="s">
        <v>18</v>
      </c>
      <c r="B423" s="41" t="s">
        <v>577</v>
      </c>
      <c r="C423" s="18" t="s">
        <v>67</v>
      </c>
      <c r="D423" s="18" t="s">
        <v>578</v>
      </c>
      <c r="E423" s="16">
        <v>422</v>
      </c>
      <c r="F423" s="17">
        <v>46094</v>
      </c>
      <c r="G423" s="10" t="s">
        <v>615</v>
      </c>
      <c r="H423" s="10">
        <f t="shared" si="22"/>
        <v>15</v>
      </c>
      <c r="I423" s="10">
        <f ca="1">IF(AND(F423&lt;&gt;"", J423&lt;&gt;""), NETWORKDAYS(TODAY(), J423-1, FESTIVOS!A$1:A$55), "")</f>
        <v>-45</v>
      </c>
      <c r="J423" s="49">
        <f>IF(AND(F423&lt;&gt;"", H423&lt;&gt;""), WORKDAY(F423, H423, FESTIVOS!A$1:A$55), "")</f>
        <v>46120</v>
      </c>
      <c r="K423" s="50" t="s">
        <v>656</v>
      </c>
      <c r="L423" s="50">
        <f t="shared" ca="1" si="23"/>
        <v>0</v>
      </c>
      <c r="M423" s="50" t="str">
        <f t="shared" ca="1" si="24"/>
        <v>Vencido</v>
      </c>
      <c r="N423" s="50" t="s">
        <v>687</v>
      </c>
      <c r="O423" s="49">
        <v>46105</v>
      </c>
      <c r="P423" s="35">
        <f>IF(OR(O423="", J423=""), "", NETWORKDAYS(J423, O423, FESTIVOS!A422:A476))</f>
        <v>-12</v>
      </c>
    </row>
    <row r="424" spans="1:16" ht="78.75" x14ac:dyDescent="0.25">
      <c r="A424" s="10" t="s">
        <v>18</v>
      </c>
      <c r="B424" s="18" t="s">
        <v>376</v>
      </c>
      <c r="C424" s="18" t="s">
        <v>88</v>
      </c>
      <c r="D424" s="18" t="s">
        <v>579</v>
      </c>
      <c r="E424" s="16">
        <v>423</v>
      </c>
      <c r="F424" s="17">
        <v>46094</v>
      </c>
      <c r="G424" s="10" t="s">
        <v>615</v>
      </c>
      <c r="H424" s="10">
        <f t="shared" si="22"/>
        <v>15</v>
      </c>
      <c r="I424" s="10">
        <f ca="1">IF(AND(F424&lt;&gt;"", J424&lt;&gt;""), NETWORKDAYS(TODAY(), J424-1, FESTIVOS!A$1:A$55), "")</f>
        <v>-45</v>
      </c>
      <c r="J424" s="49">
        <f>IF(AND(F424&lt;&gt;"", H424&lt;&gt;""), WORKDAY(F424, H424, FESTIVOS!A$1:A$55), "")</f>
        <v>46120</v>
      </c>
      <c r="K424" s="50" t="s">
        <v>656</v>
      </c>
      <c r="L424" s="50">
        <f t="shared" ca="1" si="23"/>
        <v>0</v>
      </c>
      <c r="M424" s="50" t="str">
        <f t="shared" ca="1" si="24"/>
        <v>Vencido</v>
      </c>
      <c r="N424" s="50" t="s">
        <v>708</v>
      </c>
      <c r="O424" s="49">
        <v>46105</v>
      </c>
      <c r="P424" s="35">
        <f>IF(OR(O424="", J424=""), "", NETWORKDAYS(J424, O424, FESTIVOS!A423:A477))</f>
        <v>-12</v>
      </c>
    </row>
    <row r="425" spans="1:16" ht="15.75" x14ac:dyDescent="0.25">
      <c r="A425" s="10" t="s">
        <v>18</v>
      </c>
      <c r="B425" s="36" t="s">
        <v>1036</v>
      </c>
      <c r="C425" s="18" t="s">
        <v>88</v>
      </c>
      <c r="D425" s="9" t="s">
        <v>1037</v>
      </c>
      <c r="E425" s="16">
        <v>424</v>
      </c>
      <c r="F425" s="17">
        <v>46094</v>
      </c>
      <c r="G425" s="10" t="s">
        <v>615</v>
      </c>
      <c r="H425" s="10">
        <f t="shared" si="22"/>
        <v>15</v>
      </c>
      <c r="I425" s="10">
        <f ca="1">IF(AND(F425&lt;&gt;"", J425&lt;&gt;""), NETWORKDAYS(TODAY(), J425-1, FESTIVOS!A$1:A$55), "")</f>
        <v>-45</v>
      </c>
      <c r="J425" s="11">
        <f>IF(AND(F425&lt;&gt;"", H425&lt;&gt;""), WORKDAY(F425, H425, FESTIVOS!A$1:A$55), "")</f>
        <v>46120</v>
      </c>
      <c r="K425" s="10" t="s">
        <v>656</v>
      </c>
      <c r="L425" s="10">
        <f t="shared" ca="1" si="23"/>
        <v>0</v>
      </c>
      <c r="M425" s="10" t="str">
        <f t="shared" ca="1" si="24"/>
        <v>Vencido</v>
      </c>
      <c r="N425" s="10" t="s">
        <v>606</v>
      </c>
      <c r="O425" s="11">
        <v>46036</v>
      </c>
      <c r="P425" s="35">
        <f>IF(OR(O425="", J425=""), "", NETWORKDAYS(J425, O425, FESTIVOS!A424:A478))</f>
        <v>-61</v>
      </c>
    </row>
    <row r="426" spans="1:16" ht="15.75" x14ac:dyDescent="0.25">
      <c r="A426" s="10" t="s">
        <v>18</v>
      </c>
      <c r="B426" s="36" t="s">
        <v>1036</v>
      </c>
      <c r="C426" s="18" t="s">
        <v>88</v>
      </c>
      <c r="D426" s="18" t="s">
        <v>1033</v>
      </c>
      <c r="E426" s="16">
        <v>425</v>
      </c>
      <c r="F426" s="17">
        <v>46094</v>
      </c>
      <c r="G426" s="10" t="s">
        <v>615</v>
      </c>
      <c r="H426" s="10">
        <f t="shared" si="22"/>
        <v>15</v>
      </c>
      <c r="I426" s="10">
        <f ca="1">IF(AND(F426&lt;&gt;"", J426&lt;&gt;""), NETWORKDAYS(TODAY(), J426-1, FESTIVOS!A$1:A$55), "")</f>
        <v>-45</v>
      </c>
      <c r="J426" s="11">
        <f>IF(AND(F426&lt;&gt;"", H426&lt;&gt;""), WORKDAY(F426, H426, FESTIVOS!A$1:A$55), "")</f>
        <v>46120</v>
      </c>
      <c r="K426" s="10" t="s">
        <v>656</v>
      </c>
      <c r="L426" s="10">
        <f t="shared" ca="1" si="23"/>
        <v>0</v>
      </c>
      <c r="M426" s="10" t="str">
        <f t="shared" ca="1" si="24"/>
        <v>Vencido</v>
      </c>
      <c r="N426" s="10" t="s">
        <v>606</v>
      </c>
      <c r="O426" s="11">
        <v>46036</v>
      </c>
      <c r="P426" s="35">
        <f>IF(OR(O426="", J426=""), "", NETWORKDAYS(J426, O426, FESTIVOS!A425:A479))</f>
        <v>-61</v>
      </c>
    </row>
    <row r="427" spans="1:16" ht="15.75" x14ac:dyDescent="0.25">
      <c r="A427" s="10" t="s">
        <v>18</v>
      </c>
      <c r="B427" s="18" t="s">
        <v>580</v>
      </c>
      <c r="C427" s="18" t="s">
        <v>67</v>
      </c>
      <c r="D427" s="18" t="s">
        <v>581</v>
      </c>
      <c r="E427" s="16">
        <v>426</v>
      </c>
      <c r="F427" s="17">
        <v>46094</v>
      </c>
      <c r="G427" s="10" t="s">
        <v>614</v>
      </c>
      <c r="H427" s="10">
        <f t="shared" si="22"/>
        <v>15</v>
      </c>
      <c r="I427" s="10">
        <f ca="1">IF(AND(F427&lt;&gt;"", J427&lt;&gt;""), NETWORKDAYS(TODAY(), J427-1, FESTIVOS!A$1:A$55), "")</f>
        <v>-45</v>
      </c>
      <c r="J427" s="69">
        <f>IF(AND(F427&lt;&gt;"", H427&lt;&gt;""), WORKDAY(F427, H427, FESTIVOS!A$1:A$55), "")</f>
        <v>46120</v>
      </c>
      <c r="K427" s="70" t="s">
        <v>656</v>
      </c>
      <c r="L427" s="70">
        <f t="shared" ca="1" si="23"/>
        <v>0</v>
      </c>
      <c r="M427" s="70" t="str">
        <f t="shared" ca="1" si="24"/>
        <v>Vencido</v>
      </c>
      <c r="N427" s="70" t="s">
        <v>787</v>
      </c>
      <c r="O427" s="69">
        <v>46100</v>
      </c>
      <c r="P427" s="35">
        <f>IF(OR(O427="", J427=""), "", NETWORKDAYS(J427, O427, FESTIVOS!A426:A480))</f>
        <v>-15</v>
      </c>
    </row>
    <row r="428" spans="1:16" ht="15.75" x14ac:dyDescent="0.25">
      <c r="A428" s="10" t="s">
        <v>18</v>
      </c>
      <c r="B428" s="18" t="s">
        <v>56</v>
      </c>
      <c r="C428" s="18" t="s">
        <v>84</v>
      </c>
      <c r="D428" s="18" t="s">
        <v>45</v>
      </c>
      <c r="E428" s="16">
        <v>427</v>
      </c>
      <c r="F428" s="17">
        <v>46094</v>
      </c>
      <c r="G428" s="10" t="s">
        <v>615</v>
      </c>
      <c r="H428" s="10">
        <f t="shared" si="22"/>
        <v>15</v>
      </c>
      <c r="I428" s="10">
        <f ca="1">IF(AND(F428&lt;&gt;"", J428&lt;&gt;""), NETWORKDAYS(TODAY(), J428-1, FESTIVOS!A$1:A$55), "")</f>
        <v>-45</v>
      </c>
      <c r="J428" s="11">
        <f>IF(AND(F428&lt;&gt;"", H428&lt;&gt;""), WORKDAY(F428, H428, FESTIVOS!A$1:A$55), "")</f>
        <v>46120</v>
      </c>
      <c r="K428" s="10" t="s">
        <v>656</v>
      </c>
      <c r="L428" s="10">
        <f t="shared" ca="1" si="23"/>
        <v>0</v>
      </c>
      <c r="M428" s="10" t="str">
        <f t="shared" ca="1" si="24"/>
        <v>Vencido</v>
      </c>
      <c r="N428" s="10" t="s">
        <v>606</v>
      </c>
      <c r="O428" s="11">
        <v>46036</v>
      </c>
      <c r="P428" s="35">
        <f>IF(OR(O428="", J428=""), "", NETWORKDAYS(J428, O428, FESTIVOS!A427:A481))</f>
        <v>-61</v>
      </c>
    </row>
    <row r="429" spans="1:16" ht="15.75" x14ac:dyDescent="0.25">
      <c r="A429" s="10" t="s">
        <v>18</v>
      </c>
      <c r="B429" s="18" t="s">
        <v>56</v>
      </c>
      <c r="C429" s="18" t="s">
        <v>84</v>
      </c>
      <c r="D429" s="18" t="s">
        <v>45</v>
      </c>
      <c r="E429" s="16">
        <v>428</v>
      </c>
      <c r="F429" s="17">
        <v>46094</v>
      </c>
      <c r="G429" s="10" t="s">
        <v>615</v>
      </c>
      <c r="H429" s="10">
        <f t="shared" si="22"/>
        <v>15</v>
      </c>
      <c r="I429" s="10">
        <f ca="1">IF(AND(F429&lt;&gt;"", J429&lt;&gt;""), NETWORKDAYS(TODAY(), J429-1, FESTIVOS!A$1:A$55), "")</f>
        <v>-45</v>
      </c>
      <c r="J429" s="11">
        <f>IF(AND(F429&lt;&gt;"", H429&lt;&gt;""), WORKDAY(F429, H429, FESTIVOS!A$1:A$55), "")</f>
        <v>46120</v>
      </c>
      <c r="K429" s="10" t="s">
        <v>656</v>
      </c>
      <c r="L429" s="10">
        <f t="shared" ca="1" si="23"/>
        <v>0</v>
      </c>
      <c r="M429" s="10" t="str">
        <f t="shared" ca="1" si="24"/>
        <v>Vencido</v>
      </c>
      <c r="N429" s="10" t="s">
        <v>606</v>
      </c>
      <c r="O429" s="11">
        <v>46036</v>
      </c>
      <c r="P429" s="35">
        <f>IF(OR(O429="", J429=""), "", NETWORKDAYS(J429, O429, FESTIVOS!A428:A482))</f>
        <v>-61</v>
      </c>
    </row>
    <row r="430" spans="1:16" ht="31.5" x14ac:dyDescent="0.25">
      <c r="A430" s="10" t="s">
        <v>18</v>
      </c>
      <c r="B430" s="18" t="s">
        <v>582</v>
      </c>
      <c r="C430" s="18" t="s">
        <v>88</v>
      </c>
      <c r="D430" s="18" t="s">
        <v>583</v>
      </c>
      <c r="E430" s="16">
        <v>429</v>
      </c>
      <c r="F430" s="17">
        <v>46097</v>
      </c>
      <c r="G430" s="10" t="s">
        <v>615</v>
      </c>
      <c r="H430" s="10">
        <f t="shared" si="22"/>
        <v>15</v>
      </c>
      <c r="I430" s="10">
        <f ca="1">IF(AND(F430&lt;&gt;"", J430&lt;&gt;""), NETWORKDAYS(TODAY(), J430-1, FESTIVOS!A$1:A$55), "")</f>
        <v>-44</v>
      </c>
      <c r="J430" s="49">
        <f>IF(AND(F430&lt;&gt;"", H430&lt;&gt;""), WORKDAY(F430, H430, FESTIVOS!A$1:A$55), "")</f>
        <v>46121</v>
      </c>
      <c r="K430" s="50" t="s">
        <v>656</v>
      </c>
      <c r="L430" s="50">
        <f t="shared" ca="1" si="23"/>
        <v>0</v>
      </c>
      <c r="M430" s="50" t="str">
        <f t="shared" ca="1" si="24"/>
        <v>Vencido</v>
      </c>
      <c r="N430" s="50" t="s">
        <v>791</v>
      </c>
      <c r="O430" s="49">
        <v>46088</v>
      </c>
      <c r="P430" s="35">
        <f>IF(OR(O430="", J430=""), "", NETWORKDAYS(J430, O430, FESTIVOS!A429:A483))</f>
        <v>-24</v>
      </c>
    </row>
    <row r="431" spans="1:16" ht="15.75" x14ac:dyDescent="0.25">
      <c r="A431" s="10" t="s">
        <v>18</v>
      </c>
      <c r="B431" s="18" t="s">
        <v>584</v>
      </c>
      <c r="C431" s="18" t="s">
        <v>67</v>
      </c>
      <c r="D431" s="18" t="s">
        <v>24</v>
      </c>
      <c r="E431" s="16">
        <v>430</v>
      </c>
      <c r="F431" s="17">
        <v>46097</v>
      </c>
      <c r="G431" s="10" t="s">
        <v>614</v>
      </c>
      <c r="H431" s="10">
        <f t="shared" si="22"/>
        <v>15</v>
      </c>
      <c r="I431" s="10">
        <f ca="1">IF(AND(F431&lt;&gt;"", J431&lt;&gt;""), NETWORKDAYS(TODAY(), J431-1, FESTIVOS!A$1:A$55), "")</f>
        <v>-44</v>
      </c>
      <c r="J431" s="49">
        <f>IF(AND(F431&lt;&gt;"", H431&lt;&gt;""), WORKDAY(F431, H431, FESTIVOS!A$1:A$55), "")</f>
        <v>46121</v>
      </c>
      <c r="K431" s="50" t="s">
        <v>656</v>
      </c>
      <c r="L431" s="50">
        <f t="shared" ca="1" si="23"/>
        <v>0</v>
      </c>
      <c r="M431" s="50" t="str">
        <f t="shared" ca="1" si="24"/>
        <v>Vencido</v>
      </c>
      <c r="N431" s="50" t="s">
        <v>786</v>
      </c>
      <c r="O431" s="49">
        <v>46105</v>
      </c>
      <c r="P431" s="35">
        <f>IF(OR(O431="", J431=""), "", NETWORKDAYS(J431, O431, FESTIVOS!A430:A484))</f>
        <v>-13</v>
      </c>
    </row>
    <row r="432" spans="1:16" ht="15.75" x14ac:dyDescent="0.25">
      <c r="A432" s="10" t="s">
        <v>18</v>
      </c>
      <c r="B432" s="18" t="s">
        <v>585</v>
      </c>
      <c r="C432" s="18" t="s">
        <v>67</v>
      </c>
      <c r="D432" s="18" t="s">
        <v>30</v>
      </c>
      <c r="E432" s="16">
        <v>431</v>
      </c>
      <c r="F432" s="17">
        <v>46097</v>
      </c>
      <c r="G432" s="10" t="s">
        <v>615</v>
      </c>
      <c r="H432" s="10">
        <f t="shared" si="22"/>
        <v>15</v>
      </c>
      <c r="I432" s="10">
        <f ca="1">IF(AND(F432&lt;&gt;"", J432&lt;&gt;""), NETWORKDAYS(TODAY(), J432-1, FESTIVOS!A$1:A$55), "")</f>
        <v>-44</v>
      </c>
      <c r="J432" s="49">
        <f>IF(AND(F432&lt;&gt;"", H432&lt;&gt;""), WORKDAY(F432, H432, FESTIVOS!A$1:A$55), "")</f>
        <v>46121</v>
      </c>
      <c r="K432" s="50" t="s">
        <v>656</v>
      </c>
      <c r="L432" s="50">
        <f t="shared" ca="1" si="23"/>
        <v>0</v>
      </c>
      <c r="M432" s="50" t="str">
        <f t="shared" ca="1" si="24"/>
        <v>Vencido</v>
      </c>
      <c r="N432" s="50" t="s">
        <v>790</v>
      </c>
      <c r="O432" s="49">
        <v>46100</v>
      </c>
      <c r="P432" s="35">
        <f>IF(OR(O432="", J432=""), "", NETWORKDAYS(J432, O432, FESTIVOS!A431:A485))</f>
        <v>-16</v>
      </c>
    </row>
    <row r="433" spans="1:16" ht="94.5" x14ac:dyDescent="0.25">
      <c r="A433" s="10" t="s">
        <v>19</v>
      </c>
      <c r="B433" s="18" t="s">
        <v>442</v>
      </c>
      <c r="C433" s="18" t="s">
        <v>586</v>
      </c>
      <c r="D433" s="18" t="s">
        <v>616</v>
      </c>
      <c r="E433" s="16">
        <v>432</v>
      </c>
      <c r="F433" s="17">
        <v>46093</v>
      </c>
      <c r="G433" s="10" t="s">
        <v>617</v>
      </c>
      <c r="H433" s="10">
        <f t="shared" si="22"/>
        <v>10</v>
      </c>
      <c r="I433" s="10">
        <f ca="1">IF(AND(F433&lt;&gt;"", J433&lt;&gt;""), NETWORKDAYS(TODAY(), J433-1, FESTIVOS!A$1:A$55), "")</f>
        <v>-51</v>
      </c>
      <c r="J433" s="56">
        <f>IF(AND(F433&lt;&gt;"", H433&lt;&gt;""), WORKDAY(F433, H433, FESTIVOS!A$1:A$55), "")</f>
        <v>46108</v>
      </c>
      <c r="K433" s="57" t="s">
        <v>656</v>
      </c>
      <c r="L433" s="57">
        <f t="shared" ca="1" si="23"/>
        <v>0</v>
      </c>
      <c r="M433" s="57" t="str">
        <f t="shared" ca="1" si="24"/>
        <v>Vencido</v>
      </c>
      <c r="N433" s="57" t="s">
        <v>760</v>
      </c>
      <c r="O433" s="56">
        <v>46108</v>
      </c>
      <c r="P433" s="35">
        <f>IF(OR(O433="", J433=""), "", NETWORKDAYS(J433, O433, FESTIVOS!A432:A486))</f>
        <v>1</v>
      </c>
    </row>
    <row r="434" spans="1:16" ht="47.25" x14ac:dyDescent="0.25">
      <c r="A434" s="10" t="s">
        <v>18</v>
      </c>
      <c r="B434" s="18" t="s">
        <v>587</v>
      </c>
      <c r="C434" s="18" t="s">
        <v>588</v>
      </c>
      <c r="D434" s="18" t="s">
        <v>589</v>
      </c>
      <c r="E434" s="16">
        <v>433</v>
      </c>
      <c r="F434" s="17">
        <v>46097</v>
      </c>
      <c r="G434" s="10" t="s">
        <v>614</v>
      </c>
      <c r="H434" s="10">
        <f t="shared" si="22"/>
        <v>15</v>
      </c>
      <c r="I434" s="10">
        <f ca="1">IF(AND(F434&lt;&gt;"", J434&lt;&gt;""), NETWORKDAYS(TODAY(), J434-1, FESTIVOS!A$1:A$55), "")</f>
        <v>-44</v>
      </c>
      <c r="J434" s="49">
        <f>IF(AND(F434&lt;&gt;"", H434&lt;&gt;""), WORKDAY(F434, H434, FESTIVOS!A$1:A$55), "")</f>
        <v>46121</v>
      </c>
      <c r="K434" s="50" t="s">
        <v>656</v>
      </c>
      <c r="L434" s="50">
        <f t="shared" ca="1" si="23"/>
        <v>0</v>
      </c>
      <c r="M434" s="50" t="str">
        <f t="shared" ca="1" si="24"/>
        <v>Vencido</v>
      </c>
      <c r="N434" s="50" t="s">
        <v>789</v>
      </c>
      <c r="O434" s="49">
        <v>46113</v>
      </c>
      <c r="P434" s="35">
        <f>IF(OR(O434="", J434=""), "", NETWORKDAYS(J434, O434, FESTIVOS!A433:A487))</f>
        <v>-7</v>
      </c>
    </row>
    <row r="435" spans="1:16" ht="15.75" x14ac:dyDescent="0.25">
      <c r="A435" s="10" t="s">
        <v>18</v>
      </c>
      <c r="B435" s="18" t="s">
        <v>590</v>
      </c>
      <c r="C435" s="18" t="s">
        <v>67</v>
      </c>
      <c r="D435" s="18" t="s">
        <v>118</v>
      </c>
      <c r="E435" s="16">
        <v>434</v>
      </c>
      <c r="F435" s="17">
        <v>46097</v>
      </c>
      <c r="G435" s="10" t="s">
        <v>614</v>
      </c>
      <c r="H435" s="10">
        <f t="shared" si="22"/>
        <v>15</v>
      </c>
      <c r="I435" s="10">
        <f ca="1">IF(AND(F435&lt;&gt;"", J435&lt;&gt;""), NETWORKDAYS(TODAY(), J435-1, FESTIVOS!A$1:A$55), "")</f>
        <v>-44</v>
      </c>
      <c r="J435" s="47">
        <f>IF(AND(F435&lt;&gt;"", H435&lt;&gt;""), WORKDAY(F435, H435, FESTIVOS!A$1:A$55), "")</f>
        <v>46121</v>
      </c>
      <c r="K435" s="48" t="s">
        <v>656</v>
      </c>
      <c r="L435" s="48">
        <f t="shared" ca="1" si="23"/>
        <v>0</v>
      </c>
      <c r="M435" s="48" t="str">
        <f t="shared" ca="1" si="24"/>
        <v>Vencido</v>
      </c>
      <c r="N435" s="48" t="s">
        <v>710</v>
      </c>
      <c r="O435" s="47">
        <v>46105</v>
      </c>
      <c r="P435" s="35">
        <f>IF(OR(O435="", J435=""), "", NETWORKDAYS(J435, O435, FESTIVOS!A434:A488))</f>
        <v>-13</v>
      </c>
    </row>
    <row r="436" spans="1:16" ht="22.9" customHeight="1" x14ac:dyDescent="0.25">
      <c r="A436" s="10" t="s">
        <v>18</v>
      </c>
      <c r="B436" s="18" t="s">
        <v>591</v>
      </c>
      <c r="C436" s="18" t="s">
        <v>67</v>
      </c>
      <c r="D436" s="18" t="s">
        <v>118</v>
      </c>
      <c r="E436" s="16">
        <v>435</v>
      </c>
      <c r="F436" s="17">
        <v>46097</v>
      </c>
      <c r="G436" s="10" t="s">
        <v>614</v>
      </c>
      <c r="H436" s="10">
        <f t="shared" si="22"/>
        <v>15</v>
      </c>
      <c r="I436" s="10">
        <f ca="1">IF(AND(F436&lt;&gt;"", J436&lt;&gt;""), NETWORKDAYS(TODAY(), J436-1, FESTIVOS!A$1:A$55), "")</f>
        <v>-44</v>
      </c>
      <c r="J436" s="47">
        <f>IF(AND(F436&lt;&gt;"", H436&lt;&gt;""), WORKDAY(F436, H436, FESTIVOS!A$1:A$55), "")</f>
        <v>46121</v>
      </c>
      <c r="K436" s="48" t="s">
        <v>656</v>
      </c>
      <c r="L436" s="48">
        <f t="shared" ca="1" si="23"/>
        <v>0</v>
      </c>
      <c r="M436" s="48" t="str">
        <f t="shared" ca="1" si="24"/>
        <v>Vencido</v>
      </c>
      <c r="N436" s="48" t="s">
        <v>644</v>
      </c>
      <c r="O436" s="47">
        <v>46099</v>
      </c>
      <c r="P436" s="35">
        <f>IF(OR(O436="", J436=""), "", NETWORKDAYS(J436, O436, FESTIVOS!A435:A489))</f>
        <v>-17</v>
      </c>
    </row>
    <row r="437" spans="1:16" ht="26.45" customHeight="1" x14ac:dyDescent="0.25">
      <c r="A437" s="10" t="s">
        <v>18</v>
      </c>
      <c r="B437" s="18" t="s">
        <v>592</v>
      </c>
      <c r="C437" s="18" t="s">
        <v>67</v>
      </c>
      <c r="D437" s="18" t="s">
        <v>44</v>
      </c>
      <c r="E437" s="16">
        <v>436</v>
      </c>
      <c r="F437" s="17">
        <v>46097</v>
      </c>
      <c r="G437" s="10" t="s">
        <v>615</v>
      </c>
      <c r="H437" s="10">
        <f t="shared" si="22"/>
        <v>15</v>
      </c>
      <c r="I437" s="10">
        <f ca="1">IF(AND(F437&lt;&gt;"", J437&lt;&gt;""), NETWORKDAYS(TODAY(), J437-1, FESTIVOS!A$1:A$55), "")</f>
        <v>-44</v>
      </c>
      <c r="J437" s="49">
        <f>IF(AND(F437&lt;&gt;"", H437&lt;&gt;""), WORKDAY(F437, H437, FESTIVOS!A$1:A$55), "")</f>
        <v>46121</v>
      </c>
      <c r="K437" s="50" t="s">
        <v>656</v>
      </c>
      <c r="L437" s="50">
        <f t="shared" ca="1" si="23"/>
        <v>0</v>
      </c>
      <c r="M437" s="50" t="str">
        <f t="shared" ca="1" si="24"/>
        <v>Vencido</v>
      </c>
      <c r="N437" s="51" t="s">
        <v>652</v>
      </c>
      <c r="O437" s="49"/>
      <c r="P437" s="35" t="str">
        <f>IF(OR(O437="", J437=""), "", NETWORKDAYS(J437, O437, FESTIVOS!A436:A490))</f>
        <v/>
      </c>
    </row>
    <row r="438" spans="1:16" ht="25.15" customHeight="1" x14ac:dyDescent="0.25">
      <c r="A438" s="10" t="s">
        <v>18</v>
      </c>
      <c r="B438" s="18" t="s">
        <v>593</v>
      </c>
      <c r="C438" s="18" t="s">
        <v>67</v>
      </c>
      <c r="D438" s="18" t="s">
        <v>44</v>
      </c>
      <c r="E438" s="16">
        <v>437</v>
      </c>
      <c r="F438" s="17">
        <v>46097</v>
      </c>
      <c r="G438" s="10" t="s">
        <v>615</v>
      </c>
      <c r="H438" s="10">
        <f t="shared" si="22"/>
        <v>15</v>
      </c>
      <c r="I438" s="10">
        <f ca="1">IF(AND(F438&lt;&gt;"", J438&lt;&gt;""), NETWORKDAYS(TODAY(), J438-1, FESTIVOS!A$1:A$55), "")</f>
        <v>-44</v>
      </c>
      <c r="J438" s="49">
        <f>IF(AND(F438&lt;&gt;"", H438&lt;&gt;""), WORKDAY(F438, H438, FESTIVOS!A$1:A$55), "")</f>
        <v>46121</v>
      </c>
      <c r="K438" s="50" t="s">
        <v>656</v>
      </c>
      <c r="L438" s="50">
        <f t="shared" ca="1" si="23"/>
        <v>0</v>
      </c>
      <c r="M438" s="50" t="str">
        <f t="shared" ca="1" si="24"/>
        <v>Vencido</v>
      </c>
      <c r="N438" s="51" t="s">
        <v>652</v>
      </c>
      <c r="O438" s="49"/>
      <c r="P438" s="35" t="str">
        <f>IF(OR(O438="", J438=""), "", NETWORKDAYS(J438, O438, FESTIVOS!A437:A491))</f>
        <v/>
      </c>
    </row>
    <row r="439" spans="1:16" ht="24.6" customHeight="1" x14ac:dyDescent="0.25">
      <c r="A439" s="10" t="s">
        <v>18</v>
      </c>
      <c r="B439" s="18" t="s">
        <v>594</v>
      </c>
      <c r="C439" s="18" t="s">
        <v>67</v>
      </c>
      <c r="D439" s="18" t="s">
        <v>44</v>
      </c>
      <c r="E439" s="16">
        <v>438</v>
      </c>
      <c r="F439" s="17">
        <v>46097</v>
      </c>
      <c r="G439" s="10" t="s">
        <v>615</v>
      </c>
      <c r="H439" s="10">
        <f t="shared" ref="H439:H501" si="25">IF(A439="INFORMACIÓN O DOCUMENTOS", 10, IF(A439="CONSULTA", 30, IF(A439="FACTURACIÓN Y COBROS", 15, IF(A439="VINCULACIÓN Y DESVINCULACIÓN", 15, IF(A439="NO ES DE NUESTRA COMPETENCIA", 5, IF(A439="OTRO", 15, ""))))))</f>
        <v>15</v>
      </c>
      <c r="I439" s="10">
        <f ca="1">IF(AND(F439&lt;&gt;"", J439&lt;&gt;""), NETWORKDAYS(TODAY(), J439-1, FESTIVOS!A$1:A$55), "")</f>
        <v>-44</v>
      </c>
      <c r="J439" s="49">
        <f>IF(AND(F439&lt;&gt;"", H439&lt;&gt;""), WORKDAY(F439, H439, FESTIVOS!A$1:A$55), "")</f>
        <v>46121</v>
      </c>
      <c r="K439" s="50" t="s">
        <v>656</v>
      </c>
      <c r="L439" s="50">
        <f t="shared" ref="L439:L501" ca="1" si="26">IF(I439="", "", MAX(0, I439 - (TODAY() - TODAY())))</f>
        <v>0</v>
      </c>
      <c r="M439" s="50" t="str">
        <f t="shared" ref="M439:M501" ca="1" si="27">IF(OR(I439="", H439=""), "", IF(I439&lt;0, "Vencido", IF(I439&gt;(H439/2), "Supere la mitad", "Bajo la mitad")))</f>
        <v>Vencido</v>
      </c>
      <c r="N439" s="51" t="s">
        <v>788</v>
      </c>
      <c r="O439" s="49"/>
      <c r="P439" s="35" t="str">
        <f>IF(OR(O439="", J439=""), "", NETWORKDAYS(J439, O439, FESTIVOS!A438:A492))</f>
        <v/>
      </c>
    </row>
    <row r="440" spans="1:16" ht="31.5" x14ac:dyDescent="0.25">
      <c r="A440" s="10" t="s">
        <v>18</v>
      </c>
      <c r="B440" s="18" t="s">
        <v>395</v>
      </c>
      <c r="C440" s="18" t="s">
        <v>88</v>
      </c>
      <c r="D440" s="18" t="s">
        <v>595</v>
      </c>
      <c r="E440" s="16">
        <v>439</v>
      </c>
      <c r="F440" s="17">
        <v>46097</v>
      </c>
      <c r="G440" s="10" t="s">
        <v>615</v>
      </c>
      <c r="H440" s="10">
        <f t="shared" si="25"/>
        <v>15</v>
      </c>
      <c r="I440" s="10">
        <f ca="1">IF(AND(F440&lt;&gt;"", J440&lt;&gt;""), NETWORKDAYS(TODAY(), J440-1, FESTIVOS!A$1:A$55), "")</f>
        <v>-44</v>
      </c>
      <c r="J440" s="49">
        <f>IF(AND(F440&lt;&gt;"", H440&lt;&gt;""), WORKDAY(F440, H440, FESTIVOS!A$1:A$55), "")</f>
        <v>46121</v>
      </c>
      <c r="K440" s="50" t="s">
        <v>656</v>
      </c>
      <c r="L440" s="50">
        <f t="shared" ca="1" si="26"/>
        <v>0</v>
      </c>
      <c r="M440" s="50" t="str">
        <f t="shared" ca="1" si="27"/>
        <v>Vencido</v>
      </c>
      <c r="N440" s="50" t="s">
        <v>792</v>
      </c>
      <c r="O440" s="49">
        <v>46111</v>
      </c>
      <c r="P440" s="35">
        <f>IF(OR(O440="", J440=""), "", NETWORKDAYS(J440, O440, FESTIVOS!A439:A493))</f>
        <v>-9</v>
      </c>
    </row>
    <row r="441" spans="1:16" ht="31.5" x14ac:dyDescent="0.25">
      <c r="A441" s="10" t="s">
        <v>18</v>
      </c>
      <c r="B441" s="6" t="s">
        <v>794</v>
      </c>
      <c r="C441" s="18" t="s">
        <v>88</v>
      </c>
      <c r="D441" s="18" t="s">
        <v>795</v>
      </c>
      <c r="E441" s="16">
        <v>440</v>
      </c>
      <c r="F441" s="17">
        <v>46098</v>
      </c>
      <c r="G441" s="10" t="s">
        <v>615</v>
      </c>
      <c r="H441" s="10">
        <f t="shared" si="25"/>
        <v>15</v>
      </c>
      <c r="I441" s="10">
        <f ca="1">IF(AND(F441&lt;&gt;"", J441&lt;&gt;""), NETWORKDAYS(TODAY(), J441-1, FESTIVOS!A$1:A$55), "")</f>
        <v>-43</v>
      </c>
      <c r="J441" s="49">
        <f>IF(AND(F441&lt;&gt;"", H441&lt;&gt;""), WORKDAY(F441, H441, FESTIVOS!A$1:A$55), "")</f>
        <v>46122</v>
      </c>
      <c r="K441" s="50" t="s">
        <v>656</v>
      </c>
      <c r="L441" s="50">
        <f t="shared" ca="1" si="26"/>
        <v>0</v>
      </c>
      <c r="M441" s="50" t="str">
        <f t="shared" ca="1" si="27"/>
        <v>Vencido</v>
      </c>
      <c r="N441" s="50" t="s">
        <v>793</v>
      </c>
      <c r="O441" s="49">
        <v>46119</v>
      </c>
      <c r="P441" s="35">
        <f>IF(OR(O441="", J441=""), "", NETWORKDAYS(J441, O441, FESTIVOS!A440:A494))</f>
        <v>-4</v>
      </c>
    </row>
    <row r="442" spans="1:16" ht="15.75" x14ac:dyDescent="0.25">
      <c r="A442" s="10" t="s">
        <v>18</v>
      </c>
      <c r="B442" s="6"/>
      <c r="C442" s="18" t="s">
        <v>67</v>
      </c>
      <c r="D442" s="18" t="s">
        <v>596</v>
      </c>
      <c r="E442" s="16">
        <v>441</v>
      </c>
      <c r="F442" s="17">
        <v>46098</v>
      </c>
      <c r="G442" s="10" t="s">
        <v>614</v>
      </c>
      <c r="H442" s="10">
        <f t="shared" si="25"/>
        <v>15</v>
      </c>
      <c r="I442" s="10">
        <f ca="1">IF(AND(F442&lt;&gt;"", J442&lt;&gt;""), NETWORKDAYS(TODAY(), J442-1, FESTIVOS!A$1:A$55), "")</f>
        <v>-43</v>
      </c>
      <c r="J442" s="49">
        <f>IF(AND(F442&lt;&gt;"", H442&lt;&gt;""), WORKDAY(F442, H442, FESTIVOS!A$1:A$55), "")</f>
        <v>46122</v>
      </c>
      <c r="K442" s="50" t="s">
        <v>656</v>
      </c>
      <c r="L442" s="50">
        <f t="shared" ca="1" si="26"/>
        <v>0</v>
      </c>
      <c r="M442" s="50" t="str">
        <f t="shared" ca="1" si="27"/>
        <v>Vencido</v>
      </c>
      <c r="N442" s="50" t="s">
        <v>796</v>
      </c>
      <c r="O442" s="49">
        <v>46121</v>
      </c>
      <c r="P442" s="35">
        <f>IF(OR(O442="", J442=""), "", NETWORKDAYS(J442, O442, FESTIVOS!A441:A495))</f>
        <v>-2</v>
      </c>
    </row>
    <row r="443" spans="1:16" ht="31.5" x14ac:dyDescent="0.25">
      <c r="A443" s="10" t="s">
        <v>18</v>
      </c>
      <c r="B443" s="36" t="s">
        <v>637</v>
      </c>
      <c r="C443" s="36" t="s">
        <v>59</v>
      </c>
      <c r="D443" s="18" t="s">
        <v>638</v>
      </c>
      <c r="E443" s="16">
        <v>442</v>
      </c>
      <c r="F443" s="17">
        <v>46098</v>
      </c>
      <c r="G443" s="10" t="s">
        <v>615</v>
      </c>
      <c r="H443" s="10">
        <f t="shared" si="25"/>
        <v>15</v>
      </c>
      <c r="I443" s="10">
        <f ca="1">IF(AND(F443&lt;&gt;"", J443&lt;&gt;""), NETWORKDAYS(TODAY(), J443-1, FESTIVOS!A$1:A$55), "")</f>
        <v>-43</v>
      </c>
      <c r="J443" s="49">
        <f>IF(AND(F443&lt;&gt;"", H443&lt;&gt;""), WORKDAY(F443, H443, FESTIVOS!A$1:A$55), "")</f>
        <v>46122</v>
      </c>
      <c r="K443" s="50" t="s">
        <v>656</v>
      </c>
      <c r="L443" s="50">
        <f t="shared" ca="1" si="26"/>
        <v>0</v>
      </c>
      <c r="M443" s="50" t="str">
        <f t="shared" ca="1" si="27"/>
        <v>Vencido</v>
      </c>
      <c r="N443" s="50" t="s">
        <v>797</v>
      </c>
      <c r="O443" s="49">
        <v>46111</v>
      </c>
      <c r="P443" s="11" t="e">
        <f>IF(OR(O443="", J443=""), "", NETWORKDAYS(J443, O443,#REF!))</f>
        <v>#REF!</v>
      </c>
    </row>
    <row r="444" spans="1:16" ht="15.75" x14ac:dyDescent="0.25">
      <c r="A444" s="10" t="s">
        <v>18</v>
      </c>
      <c r="B444" s="36" t="s">
        <v>1036</v>
      </c>
      <c r="C444" s="18" t="s">
        <v>88</v>
      </c>
      <c r="D444" s="18" t="s">
        <v>1033</v>
      </c>
      <c r="E444" s="16">
        <v>443</v>
      </c>
      <c r="F444" s="17">
        <v>46099</v>
      </c>
      <c r="G444" s="10" t="s">
        <v>615</v>
      </c>
      <c r="H444" s="10">
        <f t="shared" si="25"/>
        <v>15</v>
      </c>
      <c r="I444" s="10">
        <f ca="1">IF(AND(F444&lt;&gt;"", J444&lt;&gt;""), NETWORKDAYS(TODAY(), J444-1, FESTIVOS!A$1:A$55), "")</f>
        <v>-41</v>
      </c>
      <c r="J444" s="11">
        <f>IF(AND(F444&lt;&gt;"", H444&lt;&gt;""), WORKDAY(F444, H444, FESTIVOS!A$1:A$55), "")</f>
        <v>46125</v>
      </c>
      <c r="K444" s="10" t="s">
        <v>656</v>
      </c>
      <c r="L444" s="10">
        <f t="shared" ca="1" si="26"/>
        <v>0</v>
      </c>
      <c r="M444" s="10" t="str">
        <f t="shared" ca="1" si="27"/>
        <v>Vencido</v>
      </c>
      <c r="N444" s="10"/>
      <c r="O444" s="10"/>
      <c r="P444" s="11" t="str">
        <f>IF(OR(O444="", J444=""), "", NETWORKDAYS(J444, O444,#REF!))</f>
        <v/>
      </c>
    </row>
    <row r="445" spans="1:16" ht="15.75" x14ac:dyDescent="0.25">
      <c r="A445" s="10" t="s">
        <v>18</v>
      </c>
      <c r="B445" s="36" t="s">
        <v>301</v>
      </c>
      <c r="C445" s="36" t="s">
        <v>88</v>
      </c>
      <c r="D445" s="18" t="s">
        <v>217</v>
      </c>
      <c r="E445" s="16">
        <v>444</v>
      </c>
      <c r="F445" s="17">
        <v>46099</v>
      </c>
      <c r="G445" s="10" t="s">
        <v>614</v>
      </c>
      <c r="H445" s="10">
        <f t="shared" si="25"/>
        <v>15</v>
      </c>
      <c r="I445" s="10">
        <f ca="1">IF(AND(F445&lt;&gt;"", J445&lt;&gt;""), NETWORKDAYS(TODAY(), J445-1, FESTIVOS!A$1:A$55), "")</f>
        <v>-41</v>
      </c>
      <c r="J445" s="47">
        <f>IF(AND(F445&lt;&gt;"", H445&lt;&gt;""), WORKDAY(F445, H445, FESTIVOS!A$1:A$55), "")</f>
        <v>46125</v>
      </c>
      <c r="K445" s="48" t="s">
        <v>656</v>
      </c>
      <c r="L445" s="48">
        <f t="shared" ca="1" si="26"/>
        <v>0</v>
      </c>
      <c r="M445" s="48" t="str">
        <f t="shared" ca="1" si="27"/>
        <v>Vencido</v>
      </c>
      <c r="N445" s="48" t="s">
        <v>709</v>
      </c>
      <c r="O445" s="71">
        <v>46105</v>
      </c>
      <c r="P445" s="11"/>
    </row>
    <row r="446" spans="1:16" ht="15.75" x14ac:dyDescent="0.25">
      <c r="A446" s="10" t="s">
        <v>18</v>
      </c>
      <c r="B446" s="36" t="s">
        <v>639</v>
      </c>
      <c r="C446" s="36" t="s">
        <v>59</v>
      </c>
      <c r="D446" s="18" t="s">
        <v>640</v>
      </c>
      <c r="E446" s="21">
        <v>445</v>
      </c>
      <c r="F446" s="17">
        <v>46099</v>
      </c>
      <c r="G446" s="10" t="s">
        <v>614</v>
      </c>
      <c r="H446" s="10">
        <f t="shared" si="25"/>
        <v>15</v>
      </c>
      <c r="I446" s="10">
        <f ca="1">IF(AND(F446&lt;&gt;"", J446&lt;&gt;""), NETWORKDAYS(TODAY(), J446-1, FESTIVOS!A$1:A$55), "")</f>
        <v>-41</v>
      </c>
      <c r="J446" s="71">
        <f>IF(AND(F446&lt;&gt;"", H446&lt;&gt;""), WORKDAY(F446, H446, FESTIVOS!A$1:A$55), "")</f>
        <v>46125</v>
      </c>
      <c r="K446" s="72" t="s">
        <v>656</v>
      </c>
      <c r="L446" s="72">
        <f t="shared" ca="1" si="26"/>
        <v>0</v>
      </c>
      <c r="M446" s="72" t="str">
        <f t="shared" ca="1" si="27"/>
        <v>Vencido</v>
      </c>
      <c r="N446" s="72" t="s">
        <v>798</v>
      </c>
      <c r="O446" s="71">
        <v>46106</v>
      </c>
      <c r="P446" s="11" t="e">
        <f>IF(OR(O446="", J446=""), "", NETWORKDAYS(J446, O446,#REF!))</f>
        <v>#REF!</v>
      </c>
    </row>
    <row r="447" spans="1:16" ht="31.5" x14ac:dyDescent="0.25">
      <c r="A447" s="10" t="s">
        <v>18</v>
      </c>
      <c r="B447" s="6" t="s">
        <v>643</v>
      </c>
      <c r="C447" s="36" t="s">
        <v>59</v>
      </c>
      <c r="D447" s="37" t="s">
        <v>642</v>
      </c>
      <c r="E447" s="16">
        <v>446</v>
      </c>
      <c r="F447" s="17">
        <v>46099</v>
      </c>
      <c r="G447" s="10" t="s">
        <v>615</v>
      </c>
      <c r="H447" s="10">
        <f t="shared" si="25"/>
        <v>15</v>
      </c>
      <c r="I447" s="10">
        <f ca="1">IF(AND(F447&lt;&gt;"", J447&lt;&gt;""), NETWORKDAYS(TODAY(), J447-1, FESTIVOS!A$1:A$55), "")</f>
        <v>-41</v>
      </c>
      <c r="J447" s="49">
        <f>IF(AND(F447&lt;&gt;"", H447&lt;&gt;""), WORKDAY(F447, H447, FESTIVOS!A$1:A$55), "")</f>
        <v>46125</v>
      </c>
      <c r="K447" s="50" t="s">
        <v>656</v>
      </c>
      <c r="L447" s="50">
        <f t="shared" ca="1" si="26"/>
        <v>0</v>
      </c>
      <c r="M447" s="50" t="str">
        <f t="shared" ca="1" si="27"/>
        <v>Vencido</v>
      </c>
      <c r="N447" s="50" t="s">
        <v>907</v>
      </c>
      <c r="O447" s="49">
        <v>46119</v>
      </c>
      <c r="P447" s="11" t="e">
        <f>IF(OR(O447="", J447=""), "", NETWORKDAYS(J447, O447,#REF!))</f>
        <v>#REF!</v>
      </c>
    </row>
    <row r="448" spans="1:16" ht="110.25" x14ac:dyDescent="0.25">
      <c r="A448" s="10" t="s">
        <v>18</v>
      </c>
      <c r="B448" s="12" t="s">
        <v>376</v>
      </c>
      <c r="C448" s="12" t="s">
        <v>88</v>
      </c>
      <c r="D448" s="18" t="s">
        <v>641</v>
      </c>
      <c r="E448" s="16">
        <v>447</v>
      </c>
      <c r="F448" s="17">
        <v>46099</v>
      </c>
      <c r="G448" s="10" t="s">
        <v>615</v>
      </c>
      <c r="H448" s="10">
        <f t="shared" si="25"/>
        <v>15</v>
      </c>
      <c r="I448" s="10">
        <f ca="1">IF(AND(F448&lt;&gt;"", J448&lt;&gt;""), NETWORKDAYS(TODAY(), J448-1, FESTIVOS!A$1:A$55), "")</f>
        <v>-41</v>
      </c>
      <c r="J448" s="49">
        <f>IF(AND(F448&lt;&gt;"", H448&lt;&gt;""), WORKDAY(F448, H448, FESTIVOS!A$1:A$55), "")</f>
        <v>46125</v>
      </c>
      <c r="K448" s="50" t="s">
        <v>656</v>
      </c>
      <c r="L448" s="50">
        <f t="shared" ca="1" si="26"/>
        <v>0</v>
      </c>
      <c r="M448" s="50" t="str">
        <f t="shared" ca="1" si="27"/>
        <v>Vencido</v>
      </c>
      <c r="N448" s="50" t="s">
        <v>908</v>
      </c>
      <c r="O448" s="49">
        <v>46119</v>
      </c>
      <c r="P448" s="11" t="e">
        <f>IF(OR(O448="", J448=""), "", NETWORKDAYS(J448, O448,#REF!))</f>
        <v>#REF!</v>
      </c>
    </row>
    <row r="449" spans="1:16" ht="15.75" x14ac:dyDescent="0.25">
      <c r="A449" s="10" t="s">
        <v>18</v>
      </c>
      <c r="B449" s="36" t="s">
        <v>655</v>
      </c>
      <c r="C449" s="36" t="s">
        <v>59</v>
      </c>
      <c r="D449" s="18" t="s">
        <v>30</v>
      </c>
      <c r="E449" s="16">
        <v>448</v>
      </c>
      <c r="F449" s="17">
        <v>46099</v>
      </c>
      <c r="G449" s="10" t="s">
        <v>615</v>
      </c>
      <c r="H449" s="10">
        <f t="shared" si="25"/>
        <v>15</v>
      </c>
      <c r="I449" s="10">
        <f ca="1">IF(AND(F449&lt;&gt;"", J449&lt;&gt;""), NETWORKDAYS(TODAY(), J449-1, FESTIVOS!A$1:A$55), "")</f>
        <v>-41</v>
      </c>
      <c r="J449" s="49">
        <f>IF(AND(F449&lt;&gt;"", H449&lt;&gt;""), WORKDAY(F449, H449, FESTIVOS!A$1:A$55), "")</f>
        <v>46125</v>
      </c>
      <c r="K449" s="50" t="s">
        <v>656</v>
      </c>
      <c r="L449" s="50">
        <f t="shared" ca="1" si="26"/>
        <v>0</v>
      </c>
      <c r="M449" s="50" t="str">
        <f t="shared" ca="1" si="27"/>
        <v>Vencido</v>
      </c>
      <c r="N449" s="50" t="s">
        <v>909</v>
      </c>
      <c r="O449" s="49">
        <v>46108</v>
      </c>
      <c r="P449" s="11" t="e">
        <f>IF(OR(O449="", J449=""), "", NETWORKDAYS(J449, O449,#REF!))</f>
        <v>#REF!</v>
      </c>
    </row>
    <row r="450" spans="1:16" ht="47.25" x14ac:dyDescent="0.25">
      <c r="A450" s="10" t="s">
        <v>18</v>
      </c>
      <c r="B450" s="12" t="s">
        <v>87</v>
      </c>
      <c r="C450" s="12" t="s">
        <v>88</v>
      </c>
      <c r="D450" s="18" t="s">
        <v>910</v>
      </c>
      <c r="E450" s="16">
        <v>449</v>
      </c>
      <c r="F450" s="17">
        <v>46099</v>
      </c>
      <c r="G450" s="10" t="s">
        <v>615</v>
      </c>
      <c r="H450" s="10">
        <f t="shared" si="25"/>
        <v>15</v>
      </c>
      <c r="I450" s="10">
        <f ca="1">IF(AND(F450&lt;&gt;"", J450&lt;&gt;""), NETWORKDAYS(TODAY(), J450-1, FESTIVOS!A$1:A$55), "")</f>
        <v>-41</v>
      </c>
      <c r="J450" s="49">
        <f>IF(AND(F450&lt;&gt;"", H450&lt;&gt;""), WORKDAY(F450, H450, FESTIVOS!A$1:A$55), "")</f>
        <v>46125</v>
      </c>
      <c r="K450" s="50" t="s">
        <v>656</v>
      </c>
      <c r="L450" s="50">
        <f t="shared" ca="1" si="26"/>
        <v>0</v>
      </c>
      <c r="M450" s="50" t="str">
        <f t="shared" ca="1" si="27"/>
        <v>Vencido</v>
      </c>
      <c r="N450" s="50" t="s">
        <v>652</v>
      </c>
      <c r="O450" s="50"/>
      <c r="P450" s="11" t="str">
        <f>IF(OR(O450="", J450=""), "", NETWORKDAYS(J450, O450,#REF!))</f>
        <v/>
      </c>
    </row>
    <row r="451" spans="1:16" ht="15.75" x14ac:dyDescent="0.25">
      <c r="A451" s="10" t="s">
        <v>18</v>
      </c>
      <c r="B451" s="36" t="s">
        <v>775</v>
      </c>
      <c r="C451" s="36" t="s">
        <v>59</v>
      </c>
      <c r="D451" s="18" t="s">
        <v>118</v>
      </c>
      <c r="E451" s="16">
        <v>450</v>
      </c>
      <c r="F451" s="17">
        <v>46099</v>
      </c>
      <c r="G451" s="10" t="s">
        <v>614</v>
      </c>
      <c r="H451" s="10">
        <f t="shared" si="25"/>
        <v>15</v>
      </c>
      <c r="I451" s="10">
        <f ca="1">IF(AND(F451&lt;&gt;"", J451&lt;&gt;""), NETWORKDAYS(TODAY(), J451-1, FESTIVOS!A$1:A$55), "")</f>
        <v>-41</v>
      </c>
      <c r="J451" s="78">
        <f>IF(AND(F451&lt;&gt;"", H451&lt;&gt;""), WORKDAY(F451, H451, FESTIVOS!A$1:A$55), "")</f>
        <v>46125</v>
      </c>
      <c r="K451" s="79" t="s">
        <v>656</v>
      </c>
      <c r="L451" s="79">
        <f t="shared" ca="1" si="26"/>
        <v>0</v>
      </c>
      <c r="M451" s="79" t="str">
        <f t="shared" ca="1" si="27"/>
        <v>Vencido</v>
      </c>
      <c r="N451" s="79" t="s">
        <v>774</v>
      </c>
      <c r="O451" s="78">
        <v>46111</v>
      </c>
      <c r="P451" s="11" t="e">
        <f>IF(OR(O451="", J451=""), "", NETWORKDAYS(J451, O451,#REF!))</f>
        <v>#REF!</v>
      </c>
    </row>
    <row r="452" spans="1:16" ht="31.5" x14ac:dyDescent="0.25">
      <c r="A452" s="10" t="s">
        <v>18</v>
      </c>
      <c r="B452" s="36" t="s">
        <v>87</v>
      </c>
      <c r="C452" s="36" t="s">
        <v>88</v>
      </c>
      <c r="D452" s="18" t="s">
        <v>776</v>
      </c>
      <c r="E452" s="16">
        <v>451</v>
      </c>
      <c r="F452" s="17">
        <v>46099</v>
      </c>
      <c r="G452" s="10" t="s">
        <v>615</v>
      </c>
      <c r="H452" s="10">
        <f t="shared" si="25"/>
        <v>15</v>
      </c>
      <c r="I452" s="10">
        <f ca="1">IF(AND(F452&lt;&gt;"", J452&lt;&gt;""), NETWORKDAYS(TODAY(), J452-1, FESTIVOS!A$1:A$55), "")</f>
        <v>-41</v>
      </c>
      <c r="J452" s="49">
        <f>IF(AND(F452&lt;&gt;"", H452&lt;&gt;""), WORKDAY(F452, H452, FESTIVOS!A$1:A$55), "")</f>
        <v>46125</v>
      </c>
      <c r="K452" s="50" t="s">
        <v>656</v>
      </c>
      <c r="L452" s="50">
        <f t="shared" ca="1" si="26"/>
        <v>0</v>
      </c>
      <c r="M452" s="50" t="str">
        <f t="shared" ca="1" si="27"/>
        <v>Vencido</v>
      </c>
      <c r="N452" s="50" t="s">
        <v>652</v>
      </c>
      <c r="O452" s="50"/>
      <c r="P452" s="11" t="str">
        <f>IF(OR(O452="", J452=""), "", NETWORKDAYS(J452, O452,#REF!))</f>
        <v/>
      </c>
    </row>
    <row r="453" spans="1:16" ht="15.75" x14ac:dyDescent="0.25">
      <c r="A453" s="10" t="s">
        <v>18</v>
      </c>
      <c r="B453" s="36"/>
      <c r="C453" s="36"/>
      <c r="D453" s="18"/>
      <c r="E453" s="16">
        <v>452</v>
      </c>
      <c r="F453" s="17">
        <v>46099</v>
      </c>
      <c r="G453" s="10" t="s">
        <v>646</v>
      </c>
      <c r="H453" s="10">
        <f t="shared" si="25"/>
        <v>15</v>
      </c>
      <c r="I453" s="10">
        <f ca="1">IF(AND(F453&lt;&gt;"", J453&lt;&gt;""), NETWORKDAYS(TODAY(), J453-1, FESTIVOS!A$1:A$55), "")</f>
        <v>-41</v>
      </c>
      <c r="J453" s="80">
        <f>IF(AND(F453&lt;&gt;"", H453&lt;&gt;""), WORKDAY(F453, H453, FESTIVOS!A$1:A$55), "")</f>
        <v>46125</v>
      </c>
      <c r="K453" s="81" t="s">
        <v>656</v>
      </c>
      <c r="L453" s="81">
        <f t="shared" ca="1" si="26"/>
        <v>0</v>
      </c>
      <c r="M453" s="81" t="str">
        <f t="shared" ca="1" si="27"/>
        <v>Vencido</v>
      </c>
      <c r="N453" s="81" t="s">
        <v>949</v>
      </c>
      <c r="O453" s="80">
        <v>46125</v>
      </c>
      <c r="P453" s="11" t="e">
        <f>IF(OR(O453="", J453=""), "", NETWORKDAYS(J453, O453,#REF!))</f>
        <v>#REF!</v>
      </c>
    </row>
    <row r="454" spans="1:16" ht="15.75" x14ac:dyDescent="0.25">
      <c r="A454" s="10" t="s">
        <v>18</v>
      </c>
      <c r="B454" s="36" t="s">
        <v>660</v>
      </c>
      <c r="C454" s="36" t="s">
        <v>59</v>
      </c>
      <c r="D454" s="18" t="s">
        <v>21</v>
      </c>
      <c r="E454" s="16">
        <v>453</v>
      </c>
      <c r="F454" s="17">
        <v>46099</v>
      </c>
      <c r="G454" s="10" t="s">
        <v>615</v>
      </c>
      <c r="H454" s="10">
        <f t="shared" si="25"/>
        <v>15</v>
      </c>
      <c r="I454" s="10">
        <f ca="1">IF(AND(F454&lt;&gt;"", J454&lt;&gt;""), NETWORKDAYS(TODAY(), J454-1, FESTIVOS!A$1:A$55), "")</f>
        <v>-41</v>
      </c>
      <c r="J454" s="49">
        <f>IF(AND(F454&lt;&gt;"", H454&lt;&gt;""), WORKDAY(F454, H454, FESTIVOS!A$1:A$55), "")</f>
        <v>46125</v>
      </c>
      <c r="K454" s="50" t="s">
        <v>656</v>
      </c>
      <c r="L454" s="50">
        <f t="shared" ca="1" si="26"/>
        <v>0</v>
      </c>
      <c r="M454" s="50" t="str">
        <f t="shared" ca="1" si="27"/>
        <v>Vencido</v>
      </c>
      <c r="N454" s="50" t="s">
        <v>950</v>
      </c>
      <c r="O454" s="49">
        <v>46125</v>
      </c>
      <c r="P454" s="11" t="e">
        <f>IF(OR(O454="", J454=""), "", NETWORKDAYS(J454, O454,#REF!))</f>
        <v>#REF!</v>
      </c>
    </row>
    <row r="455" spans="1:16" ht="15.75" x14ac:dyDescent="0.25">
      <c r="A455" s="10" t="s">
        <v>18</v>
      </c>
      <c r="B455" s="36" t="s">
        <v>662</v>
      </c>
      <c r="C455" s="36" t="s">
        <v>59</v>
      </c>
      <c r="D455" s="18" t="s">
        <v>661</v>
      </c>
      <c r="E455" s="16">
        <v>454</v>
      </c>
      <c r="F455" s="17">
        <v>46099</v>
      </c>
      <c r="G455" s="10" t="s">
        <v>614</v>
      </c>
      <c r="H455" s="10">
        <f t="shared" si="25"/>
        <v>15</v>
      </c>
      <c r="I455" s="10">
        <f ca="1">IF(AND(F455&lt;&gt;"", J455&lt;&gt;""), NETWORKDAYS(TODAY(), J455-1, FESTIVOS!A$1:A$55), "")</f>
        <v>-41</v>
      </c>
      <c r="J455" s="78">
        <f>IF(AND(F455&lt;&gt;"", H455&lt;&gt;""), WORKDAY(F455, H455, FESTIVOS!A$1:A$55), "")</f>
        <v>46125</v>
      </c>
      <c r="K455" s="79" t="s">
        <v>656</v>
      </c>
      <c r="L455" s="79">
        <f t="shared" ca="1" si="26"/>
        <v>0</v>
      </c>
      <c r="M455" s="79" t="str">
        <f t="shared" ca="1" si="27"/>
        <v>Vencido</v>
      </c>
      <c r="N455" s="79" t="s">
        <v>911</v>
      </c>
      <c r="O455" s="78">
        <v>46108</v>
      </c>
      <c r="P455" s="11" t="e">
        <f>IF(OR(O455="", J455=""), "", NETWORKDAYS(J455, O455,#REF!))</f>
        <v>#REF!</v>
      </c>
    </row>
    <row r="456" spans="1:16" ht="15.75" x14ac:dyDescent="0.25">
      <c r="A456" s="10" t="s">
        <v>18</v>
      </c>
      <c r="B456" s="36" t="s">
        <v>663</v>
      </c>
      <c r="C456" s="36" t="s">
        <v>59</v>
      </c>
      <c r="D456" s="18" t="s">
        <v>664</v>
      </c>
      <c r="E456" s="16">
        <v>455</v>
      </c>
      <c r="F456" s="17">
        <v>46099</v>
      </c>
      <c r="G456" s="10" t="s">
        <v>615</v>
      </c>
      <c r="H456" s="10">
        <f t="shared" si="25"/>
        <v>15</v>
      </c>
      <c r="I456" s="10">
        <f ca="1">IF(AND(F456&lt;&gt;"", J456&lt;&gt;""), NETWORKDAYS(TODAY(), J456-1, FESTIVOS!A$1:A$55), "")</f>
        <v>-41</v>
      </c>
      <c r="J456" s="49">
        <f>IF(AND(F456&lt;&gt;"", H456&lt;&gt;""), WORKDAY(F456, H456, FESTIVOS!A$1:A$55), "")</f>
        <v>46125</v>
      </c>
      <c r="K456" s="50" t="s">
        <v>656</v>
      </c>
      <c r="L456" s="50">
        <f t="shared" ca="1" si="26"/>
        <v>0</v>
      </c>
      <c r="M456" s="50" t="str">
        <f t="shared" ca="1" si="27"/>
        <v>Vencido</v>
      </c>
      <c r="N456" s="50" t="s">
        <v>951</v>
      </c>
      <c r="O456" s="49">
        <v>46122</v>
      </c>
      <c r="P456" s="11" t="e">
        <f>IF(OR(O456="", J456=""), "", NETWORKDAYS(J456, O456,#REF!))</f>
        <v>#REF!</v>
      </c>
    </row>
    <row r="457" spans="1:16" ht="15.75" x14ac:dyDescent="0.25">
      <c r="A457" s="10" t="s">
        <v>18</v>
      </c>
      <c r="B457" s="36" t="s">
        <v>666</v>
      </c>
      <c r="C457" s="36" t="s">
        <v>59</v>
      </c>
      <c r="D457" s="18" t="s">
        <v>664</v>
      </c>
      <c r="E457" s="16">
        <v>456</v>
      </c>
      <c r="F457" s="17">
        <v>46099</v>
      </c>
      <c r="G457" s="10" t="s">
        <v>615</v>
      </c>
      <c r="H457" s="10">
        <v>15</v>
      </c>
      <c r="I457" s="10">
        <f ca="1">IF(AND(F457&lt;&gt;"", J457&lt;&gt;""), NETWORKDAYS(TODAY(), J457-1, FESTIVOS!A$1:A$55), "")</f>
        <v>-41</v>
      </c>
      <c r="J457" s="49">
        <f>IF(AND(F457&lt;&gt;"", H457&lt;&gt;""), WORKDAY(F457, H457, FESTIVOS!A$1:A$55), "")</f>
        <v>46125</v>
      </c>
      <c r="K457" s="50" t="s">
        <v>656</v>
      </c>
      <c r="L457" s="50">
        <f t="shared" ca="1" si="26"/>
        <v>0</v>
      </c>
      <c r="M457" s="50" t="str">
        <f t="shared" ca="1" si="27"/>
        <v>Vencido</v>
      </c>
      <c r="N457" s="50" t="s">
        <v>912</v>
      </c>
      <c r="O457" s="49">
        <v>46120</v>
      </c>
      <c r="P457" s="11" t="e">
        <f>IF(OR(O457="", J457=""), "", NETWORKDAYS(J457, O457,#REF!))</f>
        <v>#REF!</v>
      </c>
    </row>
    <row r="458" spans="1:16" ht="15.75" x14ac:dyDescent="0.25">
      <c r="A458" s="10" t="s">
        <v>18</v>
      </c>
      <c r="B458" s="36" t="s">
        <v>667</v>
      </c>
      <c r="C458" s="36" t="s">
        <v>169</v>
      </c>
      <c r="D458" s="18" t="s">
        <v>40</v>
      </c>
      <c r="E458" s="16">
        <v>457</v>
      </c>
      <c r="F458" s="17">
        <v>46100</v>
      </c>
      <c r="G458" s="10" t="s">
        <v>615</v>
      </c>
      <c r="H458" s="10">
        <f t="shared" si="25"/>
        <v>15</v>
      </c>
      <c r="I458" s="10">
        <f ca="1">IF(AND(F458&lt;&gt;"", J458&lt;&gt;""), NETWORKDAYS(TODAY(), J458-1, FESTIVOS!A$1:A$55), "")</f>
        <v>-41</v>
      </c>
      <c r="J458" s="49">
        <f>IF(AND(F458&lt;&gt;"", H458&lt;&gt;""), WORKDAY(F458, H458, FESTIVOS!A$1:A$55), "")</f>
        <v>46126</v>
      </c>
      <c r="K458" s="50" t="s">
        <v>656</v>
      </c>
      <c r="L458" s="50">
        <f t="shared" ca="1" si="26"/>
        <v>0</v>
      </c>
      <c r="M458" s="50" t="str">
        <f t="shared" ca="1" si="27"/>
        <v>Vencido</v>
      </c>
      <c r="N458" s="50" t="s">
        <v>972</v>
      </c>
      <c r="O458" s="49">
        <v>46126</v>
      </c>
      <c r="P458" s="11" t="s">
        <v>973</v>
      </c>
    </row>
    <row r="459" spans="1:16" ht="31.5" x14ac:dyDescent="0.25">
      <c r="A459" s="10" t="s">
        <v>18</v>
      </c>
      <c r="B459" s="36" t="s">
        <v>668</v>
      </c>
      <c r="C459" s="36" t="s">
        <v>59</v>
      </c>
      <c r="D459" s="18" t="s">
        <v>669</v>
      </c>
      <c r="E459" s="16">
        <v>458</v>
      </c>
      <c r="F459" s="17">
        <v>46100</v>
      </c>
      <c r="G459" s="10" t="s">
        <v>615</v>
      </c>
      <c r="H459" s="10">
        <f t="shared" si="25"/>
        <v>15</v>
      </c>
      <c r="I459" s="10">
        <f ca="1">IF(AND(F459&lt;&gt;"", J459&lt;&gt;""), NETWORKDAYS(TODAY(), J459-1, FESTIVOS!A$1:A$55), "")</f>
        <v>-41</v>
      </c>
      <c r="J459" s="49">
        <f>IF(AND(F459&lt;&gt;"", H459&lt;&gt;""), WORKDAY(F459, H459, FESTIVOS!A$1:A$55), "")</f>
        <v>46126</v>
      </c>
      <c r="K459" s="50" t="s">
        <v>656</v>
      </c>
      <c r="L459" s="50">
        <f t="shared" ca="1" si="26"/>
        <v>0</v>
      </c>
      <c r="M459" s="50" t="str">
        <f t="shared" ca="1" si="27"/>
        <v>Vencido</v>
      </c>
      <c r="N459" s="50" t="s">
        <v>952</v>
      </c>
      <c r="O459" s="49">
        <v>46120</v>
      </c>
      <c r="P459" s="11" t="e">
        <f>IF(OR(O459="", J459=""), "", NETWORKDAYS(J459, O459,#REF!))</f>
        <v>#REF!</v>
      </c>
    </row>
    <row r="460" spans="1:16" ht="15.75" x14ac:dyDescent="0.25">
      <c r="A460" s="10" t="s">
        <v>18</v>
      </c>
      <c r="B460" s="36" t="s">
        <v>953</v>
      </c>
      <c r="C460" s="36" t="s">
        <v>59</v>
      </c>
      <c r="D460" s="18" t="s">
        <v>297</v>
      </c>
      <c r="E460" s="16">
        <v>459</v>
      </c>
      <c r="F460" s="17">
        <v>46100</v>
      </c>
      <c r="G460" s="10" t="s">
        <v>615</v>
      </c>
      <c r="H460" s="10">
        <f t="shared" si="25"/>
        <v>15</v>
      </c>
      <c r="I460" s="10">
        <f ca="1">IF(AND(F460&lt;&gt;"", J460&lt;&gt;""), NETWORKDAYS(TODAY(), J460-1, FESTIVOS!A$1:A$55), "")</f>
        <v>-41</v>
      </c>
      <c r="J460" s="49">
        <f>IF(AND(F460&lt;&gt;"", H460&lt;&gt;""), WORKDAY(F460, H460, FESTIVOS!A$1:A$55), "")</f>
        <v>46126</v>
      </c>
      <c r="K460" s="50" t="s">
        <v>656</v>
      </c>
      <c r="L460" s="50">
        <f t="shared" ca="1" si="26"/>
        <v>0</v>
      </c>
      <c r="M460" s="50" t="str">
        <f t="shared" ca="1" si="27"/>
        <v>Vencido</v>
      </c>
      <c r="N460" s="50" t="s">
        <v>974</v>
      </c>
      <c r="O460" s="49">
        <v>46126</v>
      </c>
      <c r="P460" s="11" t="e">
        <f>IF(OR(O460="", J460=""), "", NETWORKDAYS(J460, O460,#REF!))</f>
        <v>#REF!</v>
      </c>
    </row>
    <row r="461" spans="1:16" ht="15.75" x14ac:dyDescent="0.25">
      <c r="A461" s="10" t="s">
        <v>18</v>
      </c>
      <c r="B461" s="36" t="s">
        <v>1036</v>
      </c>
      <c r="C461" s="18" t="s">
        <v>88</v>
      </c>
      <c r="D461" s="18" t="s">
        <v>1033</v>
      </c>
      <c r="E461" s="16">
        <v>460</v>
      </c>
      <c r="F461" s="17">
        <v>46101</v>
      </c>
      <c r="G461" s="10" t="s">
        <v>615</v>
      </c>
      <c r="H461" s="10">
        <f t="shared" si="25"/>
        <v>15</v>
      </c>
      <c r="I461" s="10">
        <f ca="1">IF(AND(F461&lt;&gt;"", J461&lt;&gt;""), NETWORKDAYS(TODAY(), J461-1, FESTIVOS!A$1:A$55), "")</f>
        <v>-40</v>
      </c>
      <c r="J461" s="11">
        <f>IF(AND(F461&lt;&gt;"", H461&lt;&gt;""), WORKDAY(F461, H461, FESTIVOS!A$1:A$55), "")</f>
        <v>46127</v>
      </c>
      <c r="K461" s="10" t="s">
        <v>656</v>
      </c>
      <c r="L461" s="10">
        <f t="shared" ca="1" si="26"/>
        <v>0</v>
      </c>
      <c r="M461" s="10" t="str">
        <f t="shared" ca="1" si="27"/>
        <v>Vencido</v>
      </c>
      <c r="N461" s="10"/>
      <c r="O461" s="10"/>
      <c r="P461" s="11" t="str">
        <f>IF(OR(O461="", J461=""), "", NETWORKDAYS(J461, O461,#REF!))</f>
        <v/>
      </c>
    </row>
    <row r="462" spans="1:16" ht="15.75" x14ac:dyDescent="0.25">
      <c r="A462" s="10" t="s">
        <v>18</v>
      </c>
      <c r="B462" s="36" t="s">
        <v>955</v>
      </c>
      <c r="C462" s="36" t="s">
        <v>59</v>
      </c>
      <c r="D462" s="18" t="s">
        <v>661</v>
      </c>
      <c r="E462" s="16">
        <v>461</v>
      </c>
      <c r="F462" s="17">
        <v>46100</v>
      </c>
      <c r="G462" s="10" t="s">
        <v>615</v>
      </c>
      <c r="H462" s="10">
        <f t="shared" si="25"/>
        <v>15</v>
      </c>
      <c r="I462" s="10">
        <f ca="1">IF(AND(F462&lt;&gt;"", J462&lt;&gt;""), NETWORKDAYS(TODAY(), J462-1, FESTIVOS!A$1:A$55), "")</f>
        <v>-41</v>
      </c>
      <c r="J462" s="71">
        <f>IF(AND(F462&lt;&gt;"", H462&lt;&gt;""), WORKDAY(F462, H462, FESTIVOS!A$1:A$55), "")</f>
        <v>46126</v>
      </c>
      <c r="K462" s="72" t="s">
        <v>656</v>
      </c>
      <c r="L462" s="72">
        <f t="shared" ca="1" si="26"/>
        <v>0</v>
      </c>
      <c r="M462" s="72" t="str">
        <f t="shared" ca="1" si="27"/>
        <v>Vencido</v>
      </c>
      <c r="N462" s="72" t="s">
        <v>954</v>
      </c>
      <c r="O462" s="71">
        <v>46106</v>
      </c>
      <c r="P462" s="11" t="e">
        <f>IF(OR(O462="", J462=""), "", NETWORKDAYS(J462, O462,#REF!))</f>
        <v>#REF!</v>
      </c>
    </row>
    <row r="463" spans="1:16" ht="15.75" x14ac:dyDescent="0.25">
      <c r="A463" s="10" t="s">
        <v>18</v>
      </c>
      <c r="B463" s="36" t="s">
        <v>956</v>
      </c>
      <c r="C463" s="36" t="s">
        <v>88</v>
      </c>
      <c r="D463" s="18" t="s">
        <v>664</v>
      </c>
      <c r="E463" s="16">
        <v>462</v>
      </c>
      <c r="F463" s="17">
        <v>46101</v>
      </c>
      <c r="G463" s="10" t="s">
        <v>615</v>
      </c>
      <c r="H463" s="10">
        <f t="shared" si="25"/>
        <v>15</v>
      </c>
      <c r="I463" s="10">
        <f ca="1">IF(AND(F463&lt;&gt;"", J463&lt;&gt;""), NETWORKDAYS(TODAY(), J463-1, FESTIVOS!A$1:A$55), "")</f>
        <v>-40</v>
      </c>
      <c r="J463" s="49">
        <f>IF(AND(F463&lt;&gt;"", H463&lt;&gt;""), WORKDAY(F463, H463, FESTIVOS!A$1:A$55), "")</f>
        <v>46127</v>
      </c>
      <c r="K463" s="50" t="s">
        <v>656</v>
      </c>
      <c r="L463" s="50">
        <f t="shared" ca="1" si="26"/>
        <v>0</v>
      </c>
      <c r="M463" s="50" t="str">
        <f t="shared" ca="1" si="27"/>
        <v>Vencido</v>
      </c>
      <c r="N463" s="50" t="s">
        <v>957</v>
      </c>
      <c r="O463" s="49">
        <v>46111</v>
      </c>
      <c r="P463" s="11" t="e">
        <f>IF(OR(O463="", J463=""), "", NETWORKDAYS(J463, O463,#REF!))</f>
        <v>#REF!</v>
      </c>
    </row>
    <row r="464" spans="1:16" ht="15.75" x14ac:dyDescent="0.25">
      <c r="A464" s="10" t="s">
        <v>18</v>
      </c>
      <c r="B464" s="36"/>
      <c r="C464" s="36" t="s">
        <v>672</v>
      </c>
      <c r="D464" s="18" t="s">
        <v>21</v>
      </c>
      <c r="E464" s="16">
        <v>463</v>
      </c>
      <c r="F464" s="17">
        <v>46101</v>
      </c>
      <c r="G464" s="10" t="s">
        <v>615</v>
      </c>
      <c r="H464" s="10">
        <f t="shared" si="25"/>
        <v>15</v>
      </c>
      <c r="I464" s="10">
        <f ca="1">IF(AND(F464&lt;&gt;"", J464&lt;&gt;""), NETWORKDAYS(TODAY(), J464-1, FESTIVOS!A$1:A$55), "")</f>
        <v>-40</v>
      </c>
      <c r="J464" s="49">
        <f>IF(AND(F464&lt;&gt;"", H464&lt;&gt;""), WORKDAY(F464, H464, FESTIVOS!A$1:A$55), "")</f>
        <v>46127</v>
      </c>
      <c r="K464" s="50" t="s">
        <v>656</v>
      </c>
      <c r="L464" s="50">
        <f t="shared" ca="1" si="26"/>
        <v>0</v>
      </c>
      <c r="M464" s="50" t="str">
        <f t="shared" ca="1" si="27"/>
        <v>Vencido</v>
      </c>
      <c r="N464" s="50" t="s">
        <v>950</v>
      </c>
      <c r="O464" s="49">
        <v>46125</v>
      </c>
      <c r="P464" s="11" t="e">
        <f>IF(OR(O464="", J464=""), "", NETWORKDAYS(J464, O464,#REF!))</f>
        <v>#REF!</v>
      </c>
    </row>
    <row r="465" spans="1:16" ht="15.75" x14ac:dyDescent="0.25">
      <c r="A465" s="10" t="s">
        <v>18</v>
      </c>
      <c r="B465" s="36"/>
      <c r="C465" s="36" t="s">
        <v>59</v>
      </c>
      <c r="D465" s="18" t="s">
        <v>664</v>
      </c>
      <c r="E465" s="16">
        <v>464</v>
      </c>
      <c r="F465" s="17">
        <v>46101</v>
      </c>
      <c r="G465" s="10" t="s">
        <v>615</v>
      </c>
      <c r="H465" s="10">
        <f t="shared" si="25"/>
        <v>15</v>
      </c>
      <c r="I465" s="10">
        <f ca="1">IF(AND(F465&lt;&gt;"", J465&lt;&gt;""), NETWORKDAYS(TODAY(), J465-1, FESTIVOS!A$1:A$55), "")</f>
        <v>-40</v>
      </c>
      <c r="J465" s="49">
        <f>IF(AND(F465&lt;&gt;"", H465&lt;&gt;""), WORKDAY(F465, H465, FESTIVOS!A$1:A$55), "")</f>
        <v>46127</v>
      </c>
      <c r="K465" s="50" t="s">
        <v>656</v>
      </c>
      <c r="L465" s="50">
        <f t="shared" ca="1" si="26"/>
        <v>0</v>
      </c>
      <c r="M465" s="50" t="str">
        <f t="shared" ca="1" si="27"/>
        <v>Vencido</v>
      </c>
      <c r="N465" s="50" t="s">
        <v>958</v>
      </c>
      <c r="O465" s="50" t="s">
        <v>959</v>
      </c>
      <c r="P465" s="11" t="e">
        <f>IF(OR(O465="", J465=""), "", NETWORKDAYS(J465, O465,#REF!))</f>
        <v>#VALUE!</v>
      </c>
    </row>
    <row r="466" spans="1:16" ht="15.75" x14ac:dyDescent="0.25">
      <c r="A466" s="10" t="s">
        <v>18</v>
      </c>
      <c r="B466" s="36" t="s">
        <v>674</v>
      </c>
      <c r="C466" s="36" t="s">
        <v>59</v>
      </c>
      <c r="D466" s="18" t="s">
        <v>44</v>
      </c>
      <c r="E466" s="16">
        <v>465</v>
      </c>
      <c r="F466" s="17">
        <v>46101</v>
      </c>
      <c r="G466" s="10" t="s">
        <v>615</v>
      </c>
      <c r="H466" s="10">
        <f t="shared" si="25"/>
        <v>15</v>
      </c>
      <c r="I466" s="10">
        <f ca="1">IF(AND(F466&lt;&gt;"", J466&lt;&gt;""), NETWORKDAYS(TODAY(), J466-1, FESTIVOS!A$1:A$55), "")</f>
        <v>-40</v>
      </c>
      <c r="J466" s="49">
        <f>IF(AND(F466&lt;&gt;"", H466&lt;&gt;""), WORKDAY(F466, H466, FESTIVOS!A$1:A$55), "")</f>
        <v>46127</v>
      </c>
      <c r="K466" s="50" t="s">
        <v>656</v>
      </c>
      <c r="L466" s="50">
        <f t="shared" ca="1" si="26"/>
        <v>0</v>
      </c>
      <c r="M466" s="50" t="str">
        <f t="shared" ca="1" si="27"/>
        <v>Vencido</v>
      </c>
      <c r="N466" s="50" t="s">
        <v>652</v>
      </c>
      <c r="O466" s="50"/>
      <c r="P466" s="11" t="str">
        <f>IF(OR(O466="", J466=""), "", NETWORKDAYS(J466, O466,#REF!))</f>
        <v/>
      </c>
    </row>
    <row r="467" spans="1:16" ht="47.25" x14ac:dyDescent="0.25">
      <c r="A467" s="10" t="s">
        <v>18</v>
      </c>
      <c r="B467" s="12" t="s">
        <v>87</v>
      </c>
      <c r="C467" s="36" t="s">
        <v>88</v>
      </c>
      <c r="D467" s="18" t="s">
        <v>675</v>
      </c>
      <c r="E467" s="16">
        <v>466</v>
      </c>
      <c r="F467" s="17">
        <v>46101</v>
      </c>
      <c r="G467" s="10" t="s">
        <v>615</v>
      </c>
      <c r="H467" s="10">
        <f t="shared" si="25"/>
        <v>15</v>
      </c>
      <c r="I467" s="10">
        <f ca="1">IF(AND(F467&lt;&gt;"", J467&lt;&gt;""), NETWORKDAYS(TODAY(), J467-1, FESTIVOS!A$1:A$55), "")</f>
        <v>-40</v>
      </c>
      <c r="J467" s="49">
        <f>IF(AND(F467&lt;&gt;"", H467&lt;&gt;""), WORKDAY(F467, H467, FESTIVOS!A$1:A$55), "")</f>
        <v>46127</v>
      </c>
      <c r="K467" s="50" t="s">
        <v>656</v>
      </c>
      <c r="L467" s="50">
        <f t="shared" ca="1" si="26"/>
        <v>0</v>
      </c>
      <c r="M467" s="50" t="str">
        <f t="shared" ca="1" si="27"/>
        <v>Vencido</v>
      </c>
      <c r="N467" s="51" t="s">
        <v>652</v>
      </c>
      <c r="O467" s="50"/>
      <c r="P467" s="11" t="str">
        <f>IF(OR(O467="", J467=""), "", NETWORKDAYS(J467, O467,#REF!))</f>
        <v/>
      </c>
    </row>
    <row r="468" spans="1:16" ht="15.75" x14ac:dyDescent="0.25">
      <c r="A468" s="10" t="s">
        <v>18</v>
      </c>
      <c r="B468" s="12" t="s">
        <v>677</v>
      </c>
      <c r="C468" s="36" t="s">
        <v>59</v>
      </c>
      <c r="D468" s="18" t="s">
        <v>676</v>
      </c>
      <c r="E468" s="16">
        <v>467</v>
      </c>
      <c r="F468" s="17">
        <v>46101</v>
      </c>
      <c r="G468" s="10" t="s">
        <v>646</v>
      </c>
      <c r="H468" s="10">
        <f t="shared" si="25"/>
        <v>15</v>
      </c>
      <c r="I468" s="10">
        <f ca="1">IF(AND(F468&lt;&gt;"", J468&lt;&gt;""), NETWORKDAYS(TODAY(), J468-1, FESTIVOS!A$1:A$55), "")</f>
        <v>-40</v>
      </c>
      <c r="J468" s="66">
        <f>IF(AND(F468&lt;&gt;"", H468&lt;&gt;""), WORKDAY(F468, H468, FESTIVOS!A$1:A$55), "")</f>
        <v>46127</v>
      </c>
      <c r="K468" s="67" t="s">
        <v>656</v>
      </c>
      <c r="L468" s="67">
        <f t="shared" ca="1" si="26"/>
        <v>0</v>
      </c>
      <c r="M468" s="67" t="str">
        <f t="shared" ca="1" si="27"/>
        <v>Vencido</v>
      </c>
      <c r="N468" s="67" t="s">
        <v>960</v>
      </c>
      <c r="O468" s="67"/>
      <c r="P468" s="11" t="str">
        <f>IF(OR(O468="", J468=""), "", NETWORKDAYS(J468, O468,#REF!))</f>
        <v/>
      </c>
    </row>
    <row r="469" spans="1:16" ht="15.75" x14ac:dyDescent="0.25">
      <c r="A469" s="10" t="s">
        <v>18</v>
      </c>
      <c r="B469" s="12" t="s">
        <v>678</v>
      </c>
      <c r="C469" s="36" t="s">
        <v>59</v>
      </c>
      <c r="D469" s="18" t="s">
        <v>449</v>
      </c>
      <c r="E469" s="16">
        <v>468</v>
      </c>
      <c r="F469" s="17">
        <v>46101</v>
      </c>
      <c r="G469" s="10" t="s">
        <v>614</v>
      </c>
      <c r="H469" s="10">
        <f t="shared" si="25"/>
        <v>15</v>
      </c>
      <c r="I469" s="10">
        <f ca="1">IF(AND(F469&lt;&gt;"", J469&lt;&gt;""), NETWORKDAYS(TODAY(), J469-1, FESTIVOS!A$1:A$55), "")</f>
        <v>-40</v>
      </c>
      <c r="J469" s="71">
        <f>IF(AND(F469&lt;&gt;"", H469&lt;&gt;""), WORKDAY(F469, H469, FESTIVOS!A$1:A$55), "")</f>
        <v>46127</v>
      </c>
      <c r="K469" s="72" t="s">
        <v>656</v>
      </c>
      <c r="L469" s="72">
        <f t="shared" ca="1" si="26"/>
        <v>0</v>
      </c>
      <c r="M469" s="72" t="str">
        <f t="shared" ca="1" si="27"/>
        <v>Vencido</v>
      </c>
      <c r="N469" s="72" t="s">
        <v>961</v>
      </c>
      <c r="O469" s="71">
        <v>46107</v>
      </c>
      <c r="P469" s="11" t="e">
        <f>IF(OR(O469="", J469=""), "", NETWORKDAYS(J469, O469,#REF!))</f>
        <v>#REF!</v>
      </c>
    </row>
    <row r="470" spans="1:16" ht="15.75" x14ac:dyDescent="0.25">
      <c r="A470" s="10" t="s">
        <v>18</v>
      </c>
      <c r="B470" s="12" t="s">
        <v>679</v>
      </c>
      <c r="C470" s="36" t="s">
        <v>59</v>
      </c>
      <c r="D470" s="18" t="s">
        <v>24</v>
      </c>
      <c r="E470" s="16">
        <v>469</v>
      </c>
      <c r="F470" s="17">
        <v>46091</v>
      </c>
      <c r="G470" s="10" t="s">
        <v>614</v>
      </c>
      <c r="H470" s="10">
        <f t="shared" si="25"/>
        <v>15</v>
      </c>
      <c r="I470" s="10">
        <f ca="1">IF(AND(F470&lt;&gt;"", J470&lt;&gt;""), NETWORKDAYS(TODAY(), J470-1, FESTIVOS!A$1:A$55), "")</f>
        <v>-48</v>
      </c>
      <c r="J470" s="71">
        <f>IF(AND(F470&lt;&gt;"", H470&lt;&gt;""), WORKDAY(F470, H470, FESTIVOS!A$1:A$55), "")</f>
        <v>46113</v>
      </c>
      <c r="K470" s="72" t="s">
        <v>656</v>
      </c>
      <c r="L470" s="72">
        <f t="shared" ca="1" si="26"/>
        <v>0</v>
      </c>
      <c r="M470" s="72" t="str">
        <f t="shared" ca="1" si="27"/>
        <v>Vencido</v>
      </c>
      <c r="N470" s="72" t="s">
        <v>779</v>
      </c>
      <c r="O470" s="71">
        <v>46112</v>
      </c>
      <c r="P470" s="11" t="e">
        <f>IF(OR(O470="", J470=""), "", NETWORKDAYS(J470, O470,#REF!))</f>
        <v>#REF!</v>
      </c>
    </row>
    <row r="471" spans="1:16" ht="15.75" x14ac:dyDescent="0.25">
      <c r="A471" s="10" t="s">
        <v>18</v>
      </c>
      <c r="B471" s="12" t="s">
        <v>680</v>
      </c>
      <c r="C471" s="36" t="s">
        <v>59</v>
      </c>
      <c r="D471" s="18" t="s">
        <v>217</v>
      </c>
      <c r="E471" s="16">
        <v>470</v>
      </c>
      <c r="F471" s="17">
        <v>46101</v>
      </c>
      <c r="G471" s="10" t="s">
        <v>614</v>
      </c>
      <c r="H471" s="10">
        <f t="shared" si="25"/>
        <v>15</v>
      </c>
      <c r="I471" s="10">
        <f ca="1">IF(AND(F471&lt;&gt;"", J471&lt;&gt;""), NETWORKDAYS(TODAY(), J471-1, FESTIVOS!A$1:A$55), "")</f>
        <v>-40</v>
      </c>
      <c r="J471" s="49">
        <f>IF(AND(F471&lt;&gt;"", H471&lt;&gt;""), WORKDAY(F471, H471, FESTIVOS!A$1:A$55), "")</f>
        <v>46127</v>
      </c>
      <c r="K471" s="50" t="s">
        <v>656</v>
      </c>
      <c r="L471" s="50">
        <f t="shared" ca="1" si="26"/>
        <v>0</v>
      </c>
      <c r="M471" s="50" t="str">
        <f t="shared" ca="1" si="27"/>
        <v>Vencido</v>
      </c>
      <c r="N471" s="50" t="s">
        <v>755</v>
      </c>
      <c r="O471" s="49">
        <v>46111</v>
      </c>
      <c r="P471" s="11" t="e">
        <f>IF(OR(O471="", J471=""), "", NETWORKDAYS(J471, O471,#REF!))</f>
        <v>#REF!</v>
      </c>
    </row>
    <row r="472" spans="1:16" ht="15.75" x14ac:dyDescent="0.25">
      <c r="A472" s="10" t="s">
        <v>18</v>
      </c>
      <c r="B472" s="12" t="s">
        <v>753</v>
      </c>
      <c r="C472" s="36" t="s">
        <v>59</v>
      </c>
      <c r="D472" s="18" t="s">
        <v>30</v>
      </c>
      <c r="E472" s="16">
        <v>471</v>
      </c>
      <c r="F472" s="17">
        <v>46101</v>
      </c>
      <c r="G472" s="10" t="s">
        <v>615</v>
      </c>
      <c r="H472" s="10">
        <f t="shared" si="25"/>
        <v>15</v>
      </c>
      <c r="I472" s="10">
        <f ca="1">IF(AND(F472&lt;&gt;"", J472&lt;&gt;""), NETWORKDAYS(TODAY(), J472-1, FESTIVOS!A$1:A$55), "")</f>
        <v>-40</v>
      </c>
      <c r="J472" s="49">
        <f>IF(AND(F472&lt;&gt;"", H472&lt;&gt;""), WORKDAY(F472, H472, FESTIVOS!A$1:A$55), "")</f>
        <v>46127</v>
      </c>
      <c r="K472" s="50" t="s">
        <v>656</v>
      </c>
      <c r="L472" s="50">
        <f t="shared" ca="1" si="26"/>
        <v>0</v>
      </c>
      <c r="M472" s="50" t="str">
        <f t="shared" ca="1" si="27"/>
        <v>Vencido</v>
      </c>
      <c r="N472" s="50" t="s">
        <v>799</v>
      </c>
      <c r="O472" s="49">
        <v>46120</v>
      </c>
      <c r="P472" s="11" t="e">
        <f>IF(OR(O472="", J472=""), "", NETWORKDAYS(J472, O472,#REF!))</f>
        <v>#REF!</v>
      </c>
    </row>
    <row r="473" spans="1:16" ht="15.75" x14ac:dyDescent="0.25">
      <c r="A473" s="10" t="s">
        <v>18</v>
      </c>
      <c r="B473" s="12" t="s">
        <v>258</v>
      </c>
      <c r="C473" s="36" t="s">
        <v>59</v>
      </c>
      <c r="D473" s="18" t="s">
        <v>681</v>
      </c>
      <c r="E473" s="16">
        <v>472</v>
      </c>
      <c r="F473" s="17">
        <v>46105</v>
      </c>
      <c r="G473" s="10" t="s">
        <v>615</v>
      </c>
      <c r="H473" s="10">
        <f t="shared" si="25"/>
        <v>15</v>
      </c>
      <c r="I473" s="10">
        <f ca="1">IF(AND(F473&lt;&gt;"", J473&lt;&gt;""), NETWORKDAYS(TODAY(), J473-1, FESTIVOS!A$1:A$55), "")</f>
        <v>-39</v>
      </c>
      <c r="J473" s="49">
        <f>IF(AND(F473&lt;&gt;"", H473&lt;&gt;""), WORKDAY(F473, H473, FESTIVOS!A$1:A$55), "")</f>
        <v>46128</v>
      </c>
      <c r="K473" s="50" t="s">
        <v>656</v>
      </c>
      <c r="L473" s="50">
        <f t="shared" ca="1" si="26"/>
        <v>0</v>
      </c>
      <c r="M473" s="50" t="str">
        <f t="shared" ca="1" si="27"/>
        <v>Vencido</v>
      </c>
      <c r="N473" s="50" t="s">
        <v>748</v>
      </c>
      <c r="O473" s="49">
        <v>46108</v>
      </c>
      <c r="P473" s="11"/>
    </row>
    <row r="474" spans="1:16" ht="15.75" x14ac:dyDescent="0.25">
      <c r="A474" s="10" t="s">
        <v>18</v>
      </c>
      <c r="B474" s="12" t="s">
        <v>689</v>
      </c>
      <c r="C474" s="36" t="s">
        <v>59</v>
      </c>
      <c r="D474" s="18" t="s">
        <v>688</v>
      </c>
      <c r="E474" s="16">
        <v>473</v>
      </c>
      <c r="F474" s="17">
        <v>46105</v>
      </c>
      <c r="G474" s="10" t="s">
        <v>615</v>
      </c>
      <c r="H474" s="10">
        <f t="shared" si="25"/>
        <v>15</v>
      </c>
      <c r="I474" s="10">
        <f ca="1">IF(AND(F474&lt;&gt;"", J474&lt;&gt;""), NETWORKDAYS(TODAY(), J474-1, FESTIVOS!A$1:A$55), "")</f>
        <v>-39</v>
      </c>
      <c r="J474" s="49">
        <f>IF(AND(F474&lt;&gt;"", H474&lt;&gt;""), WORKDAY(F474, H474, FESTIVOS!A$1:A$55), "")</f>
        <v>46128</v>
      </c>
      <c r="K474" s="50" t="s">
        <v>656</v>
      </c>
      <c r="L474" s="50">
        <f t="shared" ca="1" si="26"/>
        <v>0</v>
      </c>
      <c r="M474" s="50" t="str">
        <f t="shared" ca="1" si="27"/>
        <v>Vencido</v>
      </c>
      <c r="N474" s="50" t="s">
        <v>975</v>
      </c>
      <c r="O474" s="49">
        <v>46126</v>
      </c>
      <c r="P474" s="11" t="e">
        <f>IF(OR(O474="", J474=""), "", NETWORKDAYS(J474, O474,#REF!))</f>
        <v>#REF!</v>
      </c>
    </row>
    <row r="475" spans="1:16" ht="15.75" x14ac:dyDescent="0.25">
      <c r="A475" s="10" t="s">
        <v>18</v>
      </c>
      <c r="B475" s="12" t="s">
        <v>948</v>
      </c>
      <c r="C475" s="36" t="s">
        <v>162</v>
      </c>
      <c r="D475" s="18" t="s">
        <v>947</v>
      </c>
      <c r="E475" s="16">
        <v>474</v>
      </c>
      <c r="F475" s="17">
        <v>46105</v>
      </c>
      <c r="G475" s="10" t="s">
        <v>615</v>
      </c>
      <c r="H475" s="10">
        <f t="shared" si="25"/>
        <v>15</v>
      </c>
      <c r="I475" s="10">
        <f ca="1">IF(AND(F475&lt;&gt;"", J475&lt;&gt;""), NETWORKDAYS(TODAY(), J475-1, FESTIVOS!A$1:A$55), "")</f>
        <v>-39</v>
      </c>
      <c r="J475" s="49">
        <f>IF(AND(F475&lt;&gt;"", H475&lt;&gt;""), WORKDAY(F475, H475, FESTIVOS!A$1:A$55), "")</f>
        <v>46128</v>
      </c>
      <c r="K475" s="50" t="s">
        <v>656</v>
      </c>
      <c r="L475" s="50">
        <f t="shared" ca="1" si="26"/>
        <v>0</v>
      </c>
      <c r="M475" s="50" t="str">
        <f t="shared" ca="1" si="27"/>
        <v>Vencido</v>
      </c>
      <c r="N475" s="50" t="s">
        <v>962</v>
      </c>
      <c r="O475" s="49">
        <v>46120</v>
      </c>
      <c r="P475" s="11" t="e">
        <f>IF(OR(O475="", J475=""), "", NETWORKDAYS(J475, O475,#REF!))</f>
        <v>#REF!</v>
      </c>
    </row>
    <row r="476" spans="1:16" ht="31.5" x14ac:dyDescent="0.25">
      <c r="A476" s="10" t="s">
        <v>18</v>
      </c>
      <c r="B476" s="12" t="s">
        <v>945</v>
      </c>
      <c r="C476" s="36" t="s">
        <v>59</v>
      </c>
      <c r="D476" s="18" t="s">
        <v>946</v>
      </c>
      <c r="E476" s="16">
        <v>475</v>
      </c>
      <c r="F476" s="17">
        <v>46105</v>
      </c>
      <c r="G476" s="10" t="s">
        <v>614</v>
      </c>
      <c r="H476" s="10">
        <f t="shared" si="25"/>
        <v>15</v>
      </c>
      <c r="I476" s="10">
        <f ca="1">IF(AND(F476&lt;&gt;"", J476&lt;&gt;""), NETWORKDAYS(TODAY(), J476-1, FESTIVOS!A$1:A$55), "")</f>
        <v>-39</v>
      </c>
      <c r="J476" s="71">
        <f>IF(AND(F476&lt;&gt;"", H476&lt;&gt;""), WORKDAY(F476, H476, FESTIVOS!A$1:A$55), "")</f>
        <v>46128</v>
      </c>
      <c r="K476" s="72" t="s">
        <v>656</v>
      </c>
      <c r="L476" s="72">
        <f t="shared" ca="1" si="26"/>
        <v>0</v>
      </c>
      <c r="M476" s="72" t="str">
        <f t="shared" ca="1" si="27"/>
        <v>Vencido</v>
      </c>
      <c r="N476" s="72" t="s">
        <v>963</v>
      </c>
      <c r="O476" s="71">
        <v>46106</v>
      </c>
      <c r="P476" s="11" t="e">
        <f>IF(OR(O476="", J476=""), "", NETWORKDAYS(J476, O476,#REF!))</f>
        <v>#REF!</v>
      </c>
    </row>
    <row r="477" spans="1:16" ht="31.5" x14ac:dyDescent="0.25">
      <c r="A477" s="10" t="s">
        <v>18</v>
      </c>
      <c r="B477" s="12" t="s">
        <v>944</v>
      </c>
      <c r="C477" s="36" t="s">
        <v>59</v>
      </c>
      <c r="D477" s="18" t="s">
        <v>943</v>
      </c>
      <c r="E477" s="16">
        <v>476</v>
      </c>
      <c r="F477" s="17">
        <v>46105</v>
      </c>
      <c r="G477" s="10" t="s">
        <v>614</v>
      </c>
      <c r="H477" s="10">
        <f t="shared" si="25"/>
        <v>15</v>
      </c>
      <c r="I477" s="10">
        <f ca="1">IF(AND(F477&lt;&gt;"", J477&lt;&gt;""), NETWORKDAYS(TODAY(), J477-1, FESTIVOS!A$1:A$55), "")</f>
        <v>-39</v>
      </c>
      <c r="J477" s="71">
        <f>IF(AND(F477&lt;&gt;"", H477&lt;&gt;""), WORKDAY(F477, H477, FESTIVOS!A$1:A$55), "")</f>
        <v>46128</v>
      </c>
      <c r="K477" s="72" t="s">
        <v>656</v>
      </c>
      <c r="L477" s="72">
        <f t="shared" ca="1" si="26"/>
        <v>0</v>
      </c>
      <c r="M477" s="72" t="str">
        <f t="shared" ca="1" si="27"/>
        <v>Vencido</v>
      </c>
      <c r="N477" s="72" t="s">
        <v>964</v>
      </c>
      <c r="O477" s="71">
        <v>46106</v>
      </c>
      <c r="P477" s="11" t="e">
        <f>IF(OR(O477="", J477=""), "", NETWORKDAYS(J477, O477,#REF!))</f>
        <v>#REF!</v>
      </c>
    </row>
    <row r="478" spans="1:16" ht="15.75" x14ac:dyDescent="0.25">
      <c r="A478" s="10" t="s">
        <v>18</v>
      </c>
      <c r="B478" s="12" t="s">
        <v>693</v>
      </c>
      <c r="C478" s="36" t="s">
        <v>59</v>
      </c>
      <c r="D478" s="18" t="s">
        <v>694</v>
      </c>
      <c r="E478" s="16">
        <v>477</v>
      </c>
      <c r="F478" s="17">
        <v>46105</v>
      </c>
      <c r="G478" s="10" t="s">
        <v>615</v>
      </c>
      <c r="H478" s="10">
        <f t="shared" si="25"/>
        <v>15</v>
      </c>
      <c r="I478" s="10">
        <f ca="1">IF(AND(F478&lt;&gt;"", J478&lt;&gt;""), NETWORKDAYS(TODAY(), J478-1, FESTIVOS!A$1:A$55), "")</f>
        <v>-39</v>
      </c>
      <c r="J478" s="49">
        <f>IF(AND(F478&lt;&gt;"", H478&lt;&gt;""), WORKDAY(F478, H478, FESTIVOS!A$1:A$55), "")</f>
        <v>46128</v>
      </c>
      <c r="K478" s="50" t="s">
        <v>656</v>
      </c>
      <c r="L478" s="50">
        <f t="shared" ca="1" si="26"/>
        <v>0</v>
      </c>
      <c r="M478" s="50" t="str">
        <f t="shared" ca="1" si="27"/>
        <v>Vencido</v>
      </c>
      <c r="N478" s="50" t="s">
        <v>746</v>
      </c>
      <c r="O478" s="49">
        <v>46108</v>
      </c>
      <c r="P478" s="11"/>
    </row>
    <row r="479" spans="1:16" ht="31.5" x14ac:dyDescent="0.25">
      <c r="A479" s="10" t="s">
        <v>18</v>
      </c>
      <c r="B479" s="12" t="s">
        <v>218</v>
      </c>
      <c r="C479" s="36" t="s">
        <v>88</v>
      </c>
      <c r="D479" s="18" t="s">
        <v>942</v>
      </c>
      <c r="E479" s="16">
        <v>478</v>
      </c>
      <c r="F479" s="17">
        <v>46105</v>
      </c>
      <c r="G479" s="10"/>
      <c r="H479" s="10">
        <f t="shared" si="25"/>
        <v>15</v>
      </c>
      <c r="I479" s="10">
        <f ca="1">IF(AND(F479&lt;&gt;"", J479&lt;&gt;""), NETWORKDAYS(TODAY(), J479-1, FESTIVOS!A$1:A$55), "")</f>
        <v>-39</v>
      </c>
      <c r="J479" s="71">
        <f>IF(AND(F479&lt;&gt;"", H479&lt;&gt;""), WORKDAY(F479, H479, FESTIVOS!A$1:A$55), "")</f>
        <v>46128</v>
      </c>
      <c r="K479" s="72" t="s">
        <v>656</v>
      </c>
      <c r="L479" s="72">
        <f t="shared" ca="1" si="26"/>
        <v>0</v>
      </c>
      <c r="M479" s="72" t="str">
        <f t="shared" ca="1" si="27"/>
        <v>Vencido</v>
      </c>
      <c r="N479" s="72" t="s">
        <v>652</v>
      </c>
      <c r="O479" s="72"/>
      <c r="P479" s="11" t="str">
        <f>IF(OR(O479="", J479=""), "", NETWORKDAYS(J479, O479,#REF!))</f>
        <v/>
      </c>
    </row>
    <row r="480" spans="1:16" ht="31.5" x14ac:dyDescent="0.25">
      <c r="A480" s="10" t="s">
        <v>18</v>
      </c>
      <c r="B480" s="36" t="s">
        <v>678</v>
      </c>
      <c r="C480" s="36" t="s">
        <v>59</v>
      </c>
      <c r="D480" s="18" t="s">
        <v>941</v>
      </c>
      <c r="E480" s="16">
        <v>479</v>
      </c>
      <c r="F480" s="17">
        <v>46105</v>
      </c>
      <c r="G480" s="10" t="s">
        <v>614</v>
      </c>
      <c r="H480" s="10">
        <f t="shared" si="25"/>
        <v>15</v>
      </c>
      <c r="I480" s="10">
        <f ca="1">IF(AND(F480&lt;&gt;"", J480&lt;&gt;""), NETWORKDAYS(TODAY(), J480-1, FESTIVOS!A$1:A$55), "")</f>
        <v>-39</v>
      </c>
      <c r="J480" s="71">
        <f>IF(AND(F480&lt;&gt;"", H480&lt;&gt;""), WORKDAY(F480, H480, FESTIVOS!A$1:A$55), "")</f>
        <v>46128</v>
      </c>
      <c r="K480" s="72" t="s">
        <v>656</v>
      </c>
      <c r="L480" s="72">
        <f t="shared" ca="1" si="26"/>
        <v>0</v>
      </c>
      <c r="M480" s="72" t="str">
        <f t="shared" ca="1" si="27"/>
        <v>Vencido</v>
      </c>
      <c r="N480" s="72" t="s">
        <v>965</v>
      </c>
      <c r="O480" s="71">
        <v>46107</v>
      </c>
      <c r="P480" s="11" t="e">
        <f>IF(OR(O480="", J480=""), "", NETWORKDAYS(J480, O480,#REF!))</f>
        <v>#REF!</v>
      </c>
    </row>
    <row r="481" spans="1:16" ht="31.5" x14ac:dyDescent="0.25">
      <c r="A481" s="10" t="s">
        <v>18</v>
      </c>
      <c r="B481" s="36" t="s">
        <v>587</v>
      </c>
      <c r="C481" s="36" t="s">
        <v>59</v>
      </c>
      <c r="D481" s="18" t="s">
        <v>940</v>
      </c>
      <c r="E481" s="16">
        <v>480</v>
      </c>
      <c r="F481" s="17">
        <v>46105</v>
      </c>
      <c r="G481" s="10" t="s">
        <v>614</v>
      </c>
      <c r="H481" s="10">
        <f t="shared" si="25"/>
        <v>15</v>
      </c>
      <c r="I481" s="10">
        <f ca="1">IF(AND(F481&lt;&gt;"", J481&lt;&gt;""), NETWORKDAYS(TODAY(), J481-1, FESTIVOS!A$1:A$55), "")</f>
        <v>-39</v>
      </c>
      <c r="J481" s="71">
        <f>IF(AND(F481&lt;&gt;"", H481&lt;&gt;""), WORKDAY(F481, H481, FESTIVOS!A$1:A$55), "")</f>
        <v>46128</v>
      </c>
      <c r="K481" s="72" t="s">
        <v>656</v>
      </c>
      <c r="L481" s="72">
        <f t="shared" ca="1" si="26"/>
        <v>0</v>
      </c>
      <c r="M481" s="72" t="str">
        <f t="shared" ca="1" si="27"/>
        <v>Vencido</v>
      </c>
      <c r="N481" s="72" t="s">
        <v>966</v>
      </c>
      <c r="O481" s="71">
        <v>46113</v>
      </c>
      <c r="P481" s="11" t="e">
        <f>IF(OR(O481="", J481=""), "", NETWORKDAYS(J481, O481,#REF!))</f>
        <v>#REF!</v>
      </c>
    </row>
    <row r="482" spans="1:16" ht="47.25" x14ac:dyDescent="0.25">
      <c r="A482" s="10" t="s">
        <v>18</v>
      </c>
      <c r="B482" s="12" t="s">
        <v>939</v>
      </c>
      <c r="C482" s="12" t="s">
        <v>59</v>
      </c>
      <c r="D482" s="18" t="s">
        <v>938</v>
      </c>
      <c r="E482" s="16">
        <v>481</v>
      </c>
      <c r="F482" s="17">
        <v>46105</v>
      </c>
      <c r="G482" s="10" t="s">
        <v>615</v>
      </c>
      <c r="H482" s="10">
        <f t="shared" si="25"/>
        <v>15</v>
      </c>
      <c r="I482" s="10">
        <f ca="1">IF(AND(F482&lt;&gt;"", J482&lt;&gt;""), NETWORKDAYS(TODAY(), J482-1, FESTIVOS!A$1:A$55), "")</f>
        <v>-39</v>
      </c>
      <c r="J482" s="49">
        <f>IF(AND(F482&lt;&gt;"", H482&lt;&gt;""), WORKDAY(F482, H482, FESTIVOS!A$1:A$55), "")</f>
        <v>46128</v>
      </c>
      <c r="K482" s="50" t="s">
        <v>656</v>
      </c>
      <c r="L482" s="50">
        <f t="shared" ca="1" si="26"/>
        <v>0</v>
      </c>
      <c r="M482" s="50" t="str">
        <f t="shared" ca="1" si="27"/>
        <v>Vencido</v>
      </c>
      <c r="N482" s="50" t="s">
        <v>747</v>
      </c>
      <c r="O482" s="49">
        <v>46108</v>
      </c>
      <c r="P482" s="11"/>
    </row>
    <row r="483" spans="1:16" ht="15.75" x14ac:dyDescent="0.25">
      <c r="A483" s="10" t="s">
        <v>18</v>
      </c>
      <c r="B483" s="6" t="s">
        <v>937</v>
      </c>
      <c r="C483" s="36" t="s">
        <v>59</v>
      </c>
      <c r="D483" s="18" t="s">
        <v>936</v>
      </c>
      <c r="E483" s="16">
        <v>482</v>
      </c>
      <c r="F483" s="17">
        <v>46105</v>
      </c>
      <c r="G483" s="10" t="s">
        <v>615</v>
      </c>
      <c r="H483" s="10">
        <f t="shared" si="25"/>
        <v>15</v>
      </c>
      <c r="I483" s="10">
        <f ca="1">IF(AND(F483&lt;&gt;"", J483&lt;&gt;""), NETWORKDAYS(TODAY(), J483-1, FESTIVOS!A$1:A$55), "")</f>
        <v>-39</v>
      </c>
      <c r="J483" s="49">
        <f>IF(AND(F483&lt;&gt;"", H483&lt;&gt;""), WORKDAY(F483, H483, FESTIVOS!A$1:A$55), "")</f>
        <v>46128</v>
      </c>
      <c r="K483" s="50" t="s">
        <v>656</v>
      </c>
      <c r="L483" s="50">
        <f t="shared" ca="1" si="26"/>
        <v>0</v>
      </c>
      <c r="M483" s="50" t="str">
        <f t="shared" ca="1" si="27"/>
        <v>Vencido</v>
      </c>
      <c r="N483" s="50" t="s">
        <v>967</v>
      </c>
      <c r="O483" s="49">
        <v>46120</v>
      </c>
      <c r="P483" s="11" t="e">
        <f>IF(OR(O483="", J483=""), "", NETWORKDAYS(J483, O483,#REF!))</f>
        <v>#REF!</v>
      </c>
    </row>
    <row r="484" spans="1:16" ht="47.25" x14ac:dyDescent="0.25">
      <c r="A484" s="10" t="s">
        <v>18</v>
      </c>
      <c r="B484" s="12" t="s">
        <v>935</v>
      </c>
      <c r="C484" s="36" t="s">
        <v>59</v>
      </c>
      <c r="D484" s="18" t="s">
        <v>934</v>
      </c>
      <c r="E484" s="16">
        <v>483</v>
      </c>
      <c r="F484" s="17">
        <v>46105</v>
      </c>
      <c r="G484" s="10" t="s">
        <v>658</v>
      </c>
      <c r="H484" s="10">
        <f t="shared" si="25"/>
        <v>15</v>
      </c>
      <c r="I484" s="10">
        <f ca="1">IF(AND(F484&lt;&gt;"", J484&lt;&gt;""), NETWORKDAYS(TODAY(), J484-1, FESTIVOS!A$1:A$55), "")</f>
        <v>-39</v>
      </c>
      <c r="J484" s="82">
        <f>IF(AND(F484&lt;&gt;"", H484&lt;&gt;""), WORKDAY(F484, H484, FESTIVOS!A$1:A$55), "")</f>
        <v>46128</v>
      </c>
      <c r="K484" s="83" t="s">
        <v>656</v>
      </c>
      <c r="L484" s="83">
        <f t="shared" ca="1" si="26"/>
        <v>0</v>
      </c>
      <c r="M484" s="83" t="str">
        <f t="shared" ca="1" si="27"/>
        <v>Vencido</v>
      </c>
      <c r="N484" s="84" t="s">
        <v>652</v>
      </c>
      <c r="O484" s="83"/>
      <c r="P484" s="11" t="str">
        <f>IF(OR(O484="", J484=""), "", NETWORKDAYS(J484, O484,#REF!))</f>
        <v/>
      </c>
    </row>
    <row r="485" spans="1:16" ht="47.25" x14ac:dyDescent="0.25">
      <c r="A485" s="10" t="s">
        <v>18</v>
      </c>
      <c r="B485" s="12" t="s">
        <v>933</v>
      </c>
      <c r="C485" s="36" t="s">
        <v>59</v>
      </c>
      <c r="D485" s="18" t="s">
        <v>932</v>
      </c>
      <c r="E485" s="16">
        <v>484</v>
      </c>
      <c r="F485" s="17">
        <v>46105</v>
      </c>
      <c r="G485" s="10" t="s">
        <v>658</v>
      </c>
      <c r="H485" s="10">
        <f t="shared" si="25"/>
        <v>15</v>
      </c>
      <c r="I485" s="10">
        <f ca="1">IF(AND(F485&lt;&gt;"", J485&lt;&gt;""), NETWORKDAYS(TODAY(), J485-1, FESTIVOS!A$1:A$55), "")</f>
        <v>-39</v>
      </c>
      <c r="J485" s="82">
        <f>IF(AND(F485&lt;&gt;"", H485&lt;&gt;""), WORKDAY(F485, H485, FESTIVOS!A$1:A$55), "")</f>
        <v>46128</v>
      </c>
      <c r="K485" s="83" t="s">
        <v>656</v>
      </c>
      <c r="L485" s="83">
        <f t="shared" ca="1" si="26"/>
        <v>0</v>
      </c>
      <c r="M485" s="83" t="str">
        <f t="shared" ca="1" si="27"/>
        <v>Vencido</v>
      </c>
      <c r="N485" s="84" t="s">
        <v>652</v>
      </c>
      <c r="O485" s="83"/>
      <c r="P485" s="11" t="str">
        <f>IF(OR(O485="", J485=""), "", NETWORKDAYS(J485, O485,#REF!))</f>
        <v/>
      </c>
    </row>
    <row r="486" spans="1:16" ht="63" x14ac:dyDescent="0.25">
      <c r="A486" s="10" t="s">
        <v>18</v>
      </c>
      <c r="B486" s="12" t="s">
        <v>931</v>
      </c>
      <c r="C486" s="12" t="s">
        <v>931</v>
      </c>
      <c r="D486" s="18" t="s">
        <v>930</v>
      </c>
      <c r="E486" s="16">
        <v>485</v>
      </c>
      <c r="F486" s="17">
        <v>46105</v>
      </c>
      <c r="G486" s="10" t="s">
        <v>658</v>
      </c>
      <c r="H486" s="10">
        <f t="shared" si="25"/>
        <v>15</v>
      </c>
      <c r="I486" s="10">
        <f ca="1">IF(AND(F486&lt;&gt;"", J486&lt;&gt;""), NETWORKDAYS(TODAY(), J486-1, FESTIVOS!A$1:A$55), "")</f>
        <v>-39</v>
      </c>
      <c r="J486" s="82">
        <f>IF(AND(F486&lt;&gt;"", H486&lt;&gt;""), WORKDAY(F486, H486, FESTIVOS!A$1:A$55), "")</f>
        <v>46128</v>
      </c>
      <c r="K486" s="83" t="s">
        <v>656</v>
      </c>
      <c r="L486" s="83">
        <f t="shared" ca="1" si="26"/>
        <v>0</v>
      </c>
      <c r="M486" s="83" t="str">
        <f t="shared" ca="1" si="27"/>
        <v>Vencido</v>
      </c>
      <c r="N486" s="84" t="s">
        <v>652</v>
      </c>
      <c r="O486" s="83"/>
      <c r="P486" s="11" t="str">
        <f>IF(OR(O486="", J486=""), "", NETWORKDAYS(J486, O486,#REF!))</f>
        <v/>
      </c>
    </row>
    <row r="487" spans="1:16" ht="15.75" x14ac:dyDescent="0.25">
      <c r="A487" s="10" t="s">
        <v>18</v>
      </c>
      <c r="B487" s="12" t="s">
        <v>337</v>
      </c>
      <c r="C487" s="36" t="s">
        <v>59</v>
      </c>
      <c r="D487" s="18" t="s">
        <v>695</v>
      </c>
      <c r="E487" s="16">
        <v>486</v>
      </c>
      <c r="F487" s="17">
        <v>46105</v>
      </c>
      <c r="G487" s="10" t="s">
        <v>614</v>
      </c>
      <c r="H487" s="10">
        <f t="shared" si="25"/>
        <v>15</v>
      </c>
      <c r="I487" s="10">
        <f ca="1">IF(AND(F487&lt;&gt;"", J487&lt;&gt;""), NETWORKDAYS(TODAY(), J487-1, FESTIVOS!A$1:A$55), "")</f>
        <v>-39</v>
      </c>
      <c r="J487" s="71">
        <f>IF(AND(F487&lt;&gt;"", H487&lt;&gt;""), WORKDAY(F487, H487, FESTIVOS!A$1:A$55), "")</f>
        <v>46128</v>
      </c>
      <c r="K487" s="72" t="s">
        <v>656</v>
      </c>
      <c r="L487" s="72">
        <f t="shared" ca="1" si="26"/>
        <v>0</v>
      </c>
      <c r="M487" s="72" t="str">
        <f t="shared" ca="1" si="27"/>
        <v>Vencido</v>
      </c>
      <c r="N487" s="72" t="s">
        <v>976</v>
      </c>
      <c r="O487" s="71">
        <v>46111</v>
      </c>
      <c r="P487" s="11" t="e">
        <f>IF(OR(O487="", J487=""), "", NETWORKDAYS(J487, O487,#REF!))</f>
        <v>#REF!</v>
      </c>
    </row>
    <row r="488" spans="1:16" ht="63" x14ac:dyDescent="0.25">
      <c r="A488" s="42" t="s">
        <v>18</v>
      </c>
      <c r="B488" s="12" t="s">
        <v>696</v>
      </c>
      <c r="C488" s="36" t="s">
        <v>88</v>
      </c>
      <c r="D488" s="18" t="s">
        <v>929</v>
      </c>
      <c r="E488" s="16">
        <v>487</v>
      </c>
      <c r="F488" s="17">
        <v>46105</v>
      </c>
      <c r="G488" s="42" t="s">
        <v>615</v>
      </c>
      <c r="H488" s="10">
        <f t="shared" si="25"/>
        <v>15</v>
      </c>
      <c r="I488" s="42">
        <f ca="1">IF(AND(F488&lt;&gt;"", J488&lt;&gt;""), NETWORKDAYS(TODAY(), J488-1, FESTIVOS!A$1:A$55), "")</f>
        <v>-39</v>
      </c>
      <c r="J488" s="49">
        <f>IF(AND(F488&lt;&gt;"", H488&lt;&gt;""), WORKDAY(F488, H488, FESTIVOS!A$1:A$55), "")</f>
        <v>46128</v>
      </c>
      <c r="K488" s="50" t="s">
        <v>656</v>
      </c>
      <c r="L488" s="85">
        <f t="shared" ca="1" si="26"/>
        <v>0</v>
      </c>
      <c r="M488" s="85" t="str">
        <f t="shared" ca="1" si="27"/>
        <v>Vencido</v>
      </c>
      <c r="N488" s="75" t="s">
        <v>968</v>
      </c>
      <c r="O488" s="76">
        <v>46119</v>
      </c>
      <c r="P488" s="4" t="e">
        <f>IF(OR(O488="", J488=""), "", NETWORKDAYS(J488, O488,#REF!))</f>
        <v>#REF!</v>
      </c>
    </row>
    <row r="489" spans="1:16" ht="15.75" x14ac:dyDescent="0.25">
      <c r="A489" s="42" t="s">
        <v>18</v>
      </c>
      <c r="B489" s="12" t="s">
        <v>928</v>
      </c>
      <c r="C489" s="36" t="s">
        <v>59</v>
      </c>
      <c r="D489" s="18" t="s">
        <v>927</v>
      </c>
      <c r="E489" s="16">
        <v>488</v>
      </c>
      <c r="F489" s="17">
        <v>46105</v>
      </c>
      <c r="G489" s="42" t="s">
        <v>615</v>
      </c>
      <c r="H489" s="10">
        <f t="shared" si="25"/>
        <v>15</v>
      </c>
      <c r="I489" s="42">
        <f ca="1">IF(AND(F489&lt;&gt;"", J489&lt;&gt;""), NETWORKDAYS(TODAY(), J489-1, FESTIVOS!A$1:A$55), "")</f>
        <v>-39</v>
      </c>
      <c r="J489" s="49">
        <f>IF(AND(F489&lt;&gt;"", H489&lt;&gt;""), WORKDAY(F489, H489, FESTIVOS!A$1:A$55), "")</f>
        <v>46128</v>
      </c>
      <c r="K489" s="50" t="s">
        <v>656</v>
      </c>
      <c r="L489" s="85">
        <f t="shared" ca="1" si="26"/>
        <v>0</v>
      </c>
      <c r="M489" s="85" t="str">
        <f t="shared" ca="1" si="27"/>
        <v>Vencido</v>
      </c>
      <c r="N489" s="75" t="s">
        <v>969</v>
      </c>
      <c r="O489" s="49">
        <v>46120</v>
      </c>
      <c r="P489" s="4" t="e">
        <f>IF(OR(O489="", J489=""), "", NETWORKDAYS(J489, O489,#REF!))</f>
        <v>#REF!</v>
      </c>
    </row>
    <row r="490" spans="1:16" ht="78.75" x14ac:dyDescent="0.25">
      <c r="A490" s="42" t="s">
        <v>18</v>
      </c>
      <c r="B490" s="12" t="s">
        <v>566</v>
      </c>
      <c r="C490" s="12" t="s">
        <v>61</v>
      </c>
      <c r="D490" s="18" t="s">
        <v>926</v>
      </c>
      <c r="E490" s="16">
        <v>489</v>
      </c>
      <c r="F490" s="17">
        <v>46105</v>
      </c>
      <c r="G490" s="10" t="s">
        <v>615</v>
      </c>
      <c r="H490" s="10">
        <f t="shared" si="25"/>
        <v>15</v>
      </c>
      <c r="I490" s="42">
        <f ca="1">IF(AND(F490&lt;&gt;"", J490&lt;&gt;""), NETWORKDAYS(TODAY(), J490-1, FESTIVOS!A$1:A$55), "")</f>
        <v>-39</v>
      </c>
      <c r="J490" s="11">
        <f>IF(AND(F490&lt;&gt;"", H490&lt;&gt;""), WORKDAY(F490, H490, FESTIVOS!A$1:A$55), "")</f>
        <v>46128</v>
      </c>
      <c r="K490" s="10" t="s">
        <v>656</v>
      </c>
      <c r="L490" s="3">
        <f t="shared" ca="1" si="26"/>
        <v>0</v>
      </c>
      <c r="M490" s="3" t="str">
        <f t="shared" ca="1" si="27"/>
        <v>Vencido</v>
      </c>
      <c r="N490" s="42" t="s">
        <v>706</v>
      </c>
      <c r="O490" s="3"/>
      <c r="P490" s="4" t="str">
        <f>IF(OR(O490="", J490=""), "", NETWORKDAYS(J490, O490,#REF!))</f>
        <v/>
      </c>
    </row>
    <row r="491" spans="1:16" ht="31.5" x14ac:dyDescent="0.25">
      <c r="A491" s="42"/>
      <c r="B491" s="12" t="s">
        <v>925</v>
      </c>
      <c r="C491" s="36" t="s">
        <v>59</v>
      </c>
      <c r="D491" s="44" t="s">
        <v>924</v>
      </c>
      <c r="E491" s="45">
        <v>490</v>
      </c>
      <c r="F491" s="46">
        <v>46106</v>
      </c>
      <c r="G491" s="42" t="s">
        <v>615</v>
      </c>
      <c r="H491" s="42">
        <v>15</v>
      </c>
      <c r="I491" s="42">
        <f ca="1">IF(AND(F491&lt;&gt;"", J491&lt;&gt;""), NETWORKDAYS(TODAY(), J491-1, FESTIVOS!A$1:A$55), "")</f>
        <v>-38</v>
      </c>
      <c r="J491" s="49">
        <f>IF(AND(F491&lt;&gt;"", H491&lt;&gt;""), WORKDAY(F491, H491, FESTIVOS!A$1:A$55), "")</f>
        <v>46129</v>
      </c>
      <c r="K491" s="75" t="s">
        <v>656</v>
      </c>
      <c r="L491" s="75">
        <f t="shared" ca="1" si="26"/>
        <v>0</v>
      </c>
      <c r="M491" s="75" t="str">
        <f t="shared" ca="1" si="27"/>
        <v>Vencido</v>
      </c>
      <c r="N491" s="75" t="s">
        <v>970</v>
      </c>
      <c r="O491" s="76">
        <v>46121</v>
      </c>
      <c r="P491" s="4" t="e">
        <f>IF(OR(O491="", J491=""), "", NETWORKDAYS(J491, O491,#REF!))</f>
        <v>#REF!</v>
      </c>
    </row>
    <row r="492" spans="1:16" ht="15.75" x14ac:dyDescent="0.25">
      <c r="A492" s="42" t="s">
        <v>18</v>
      </c>
      <c r="B492" s="36" t="s">
        <v>1036</v>
      </c>
      <c r="C492" s="18" t="s">
        <v>88</v>
      </c>
      <c r="D492" s="44" t="s">
        <v>1033</v>
      </c>
      <c r="E492" s="45">
        <v>491</v>
      </c>
      <c r="F492" s="46">
        <v>46106</v>
      </c>
      <c r="G492" s="10" t="s">
        <v>615</v>
      </c>
      <c r="H492" s="42">
        <f t="shared" si="25"/>
        <v>15</v>
      </c>
      <c r="I492" s="42">
        <f ca="1">IF(AND(F492&lt;&gt;"", J492&lt;&gt;""), NETWORKDAYS(TODAY(), J492-1, FESTIVOS!A$1:A$55), "")</f>
        <v>-38</v>
      </c>
      <c r="J492" s="11">
        <f>IF(AND(F492&lt;&gt;"", H492&lt;&gt;""), WORKDAY(F492, H492, FESTIVOS!A$1:A$55), "")</f>
        <v>46129</v>
      </c>
      <c r="K492" s="42" t="s">
        <v>656</v>
      </c>
      <c r="L492" s="42">
        <f t="shared" ca="1" si="26"/>
        <v>0</v>
      </c>
      <c r="M492" s="42" t="str">
        <f t="shared" ca="1" si="27"/>
        <v>Vencido</v>
      </c>
      <c r="N492" s="42"/>
      <c r="O492" s="42"/>
      <c r="P492" s="4" t="str">
        <f>IF(OR(O492="", J492=""), "", NETWORKDAYS(J492, O492,#REF!))</f>
        <v/>
      </c>
    </row>
    <row r="493" spans="1:16" ht="47.25" x14ac:dyDescent="0.25">
      <c r="A493" s="42" t="s">
        <v>18</v>
      </c>
      <c r="B493" s="12" t="s">
        <v>77</v>
      </c>
      <c r="C493" s="36" t="s">
        <v>169</v>
      </c>
      <c r="D493" s="44" t="s">
        <v>913</v>
      </c>
      <c r="E493" s="45">
        <v>492</v>
      </c>
      <c r="F493" s="46">
        <v>46106</v>
      </c>
      <c r="G493" s="42" t="s">
        <v>615</v>
      </c>
      <c r="H493" s="42">
        <f t="shared" si="25"/>
        <v>15</v>
      </c>
      <c r="I493" s="42">
        <f ca="1">IF(AND(F493&lt;&gt;"", J493&lt;&gt;""), NETWORKDAYS(TODAY(), J493-1, FESTIVOS!A$1:A$55), "")</f>
        <v>-38</v>
      </c>
      <c r="J493" s="49">
        <f>IF(AND(F493&lt;&gt;"", H493&lt;&gt;""), WORKDAY(F493, H493, FESTIVOS!A$1:A$55), "")</f>
        <v>46129</v>
      </c>
      <c r="K493" s="75" t="s">
        <v>656</v>
      </c>
      <c r="L493" s="75">
        <f t="shared" ca="1" si="26"/>
        <v>0</v>
      </c>
      <c r="M493" s="75" t="str">
        <f t="shared" ca="1" si="27"/>
        <v>Vencido</v>
      </c>
      <c r="N493" s="87" t="s">
        <v>652</v>
      </c>
      <c r="O493" s="75"/>
      <c r="P493" s="4" t="str">
        <f>IF(OR(O493="", J493=""), "", NETWORKDAYS(J493, O493,#REF!))</f>
        <v/>
      </c>
    </row>
    <row r="494" spans="1:16" ht="31.5" x14ac:dyDescent="0.25">
      <c r="A494" s="42" t="s">
        <v>18</v>
      </c>
      <c r="B494" s="12" t="s">
        <v>915</v>
      </c>
      <c r="C494" s="36" t="s">
        <v>65</v>
      </c>
      <c r="D494" s="44" t="s">
        <v>914</v>
      </c>
      <c r="E494" s="45">
        <v>493</v>
      </c>
      <c r="F494" s="46">
        <v>46106</v>
      </c>
      <c r="G494" s="42" t="s">
        <v>646</v>
      </c>
      <c r="H494" s="42">
        <f t="shared" si="25"/>
        <v>15</v>
      </c>
      <c r="I494" s="42">
        <f ca="1">IF(AND(F494&lt;&gt;"", J494&lt;&gt;""), NETWORKDAYS(TODAY(), J494-1, FESTIVOS!A$1:A$55), "")</f>
        <v>-38</v>
      </c>
      <c r="J494" s="11">
        <f>IF(AND(F494&lt;&gt;"", H494&lt;&gt;""), WORKDAY(F494, H494, FESTIVOS!A$1:A$55), "")</f>
        <v>46129</v>
      </c>
      <c r="K494" s="42" t="s">
        <v>656</v>
      </c>
      <c r="L494" s="42">
        <f t="shared" ca="1" si="26"/>
        <v>0</v>
      </c>
      <c r="M494" s="42" t="str">
        <f t="shared" ca="1" si="27"/>
        <v>Vencido</v>
      </c>
      <c r="N494" s="42"/>
      <c r="O494" s="42"/>
      <c r="P494" s="4" t="str">
        <f>IF(OR(O494="", J494=""), "", NETWORKDAYS(J494, O494,#REF!))</f>
        <v/>
      </c>
    </row>
    <row r="495" spans="1:16" ht="31.9" customHeight="1" x14ac:dyDescent="0.25">
      <c r="A495" s="42" t="s">
        <v>18</v>
      </c>
      <c r="B495" s="12" t="s">
        <v>777</v>
      </c>
      <c r="C495" s="36" t="s">
        <v>65</v>
      </c>
      <c r="D495" s="44" t="s">
        <v>916</v>
      </c>
      <c r="E495" s="45">
        <v>494</v>
      </c>
      <c r="F495" s="46">
        <v>46106</v>
      </c>
      <c r="G495" s="42" t="s">
        <v>646</v>
      </c>
      <c r="H495" s="42">
        <f t="shared" si="25"/>
        <v>15</v>
      </c>
      <c r="I495" s="42">
        <f ca="1">IF(AND(F495&lt;&gt;"", J495&lt;&gt;""), NETWORKDAYS(TODAY(), J495-1, FESTIVOS!A$1:A$55), "")</f>
        <v>-38</v>
      </c>
      <c r="J495" s="66">
        <f>IF(AND(F495&lt;&gt;"", H495&lt;&gt;""), WORKDAY(F495, H495, FESTIVOS!A$1:A$55), "")</f>
        <v>46129</v>
      </c>
      <c r="K495" s="73" t="s">
        <v>656</v>
      </c>
      <c r="L495" s="73">
        <f t="shared" ca="1" si="26"/>
        <v>0</v>
      </c>
      <c r="M495" s="73" t="str">
        <f t="shared" ca="1" si="27"/>
        <v>Vencido</v>
      </c>
      <c r="N495" s="74" t="s">
        <v>652</v>
      </c>
      <c r="O495" s="42"/>
      <c r="P495" s="4" t="str">
        <f>IF(OR(O495="", J495=""), "", NETWORKDAYS(J495, O495,#REF!))</f>
        <v/>
      </c>
    </row>
    <row r="496" spans="1:16" ht="15.75" x14ac:dyDescent="0.25">
      <c r="A496" s="42" t="s">
        <v>18</v>
      </c>
      <c r="B496" s="12" t="s">
        <v>918</v>
      </c>
      <c r="C496" s="36" t="s">
        <v>59</v>
      </c>
      <c r="D496" s="44" t="s">
        <v>917</v>
      </c>
      <c r="E496" s="45">
        <v>495</v>
      </c>
      <c r="F496" s="46">
        <v>46107</v>
      </c>
      <c r="G496" s="42" t="s">
        <v>615</v>
      </c>
      <c r="H496" s="42">
        <v>15</v>
      </c>
      <c r="I496" s="42">
        <f ca="1">IF(AND(F496&lt;&gt;"", J496&lt;&gt;""), NETWORKDAYS(TODAY(), J496-1, FESTIVOS!A$1:A$55), "")</f>
        <v>-36</v>
      </c>
      <c r="J496" s="11">
        <f>IF(AND(F496&lt;&gt;"", H496&lt;&gt;""), WORKDAY(F496, H496, FESTIVOS!A$1:A$55), "")</f>
        <v>46132</v>
      </c>
      <c r="K496" s="42" t="s">
        <v>656</v>
      </c>
      <c r="L496" s="42">
        <f t="shared" ca="1" si="26"/>
        <v>0</v>
      </c>
      <c r="M496" s="42" t="str">
        <f t="shared" ca="1" si="27"/>
        <v>Vencido</v>
      </c>
      <c r="N496" s="42"/>
      <c r="O496" s="42"/>
      <c r="P496" s="4" t="str">
        <f>IF(OR(O496="", J496=""), "", NETWORKDAYS(J496, O496,#REF!))</f>
        <v/>
      </c>
    </row>
    <row r="497" spans="1:16" ht="31.5" x14ac:dyDescent="0.25">
      <c r="A497" s="42" t="s">
        <v>18</v>
      </c>
      <c r="B497" s="12" t="s">
        <v>919</v>
      </c>
      <c r="C497" s="36" t="s">
        <v>59</v>
      </c>
      <c r="D497" s="44" t="s">
        <v>841</v>
      </c>
      <c r="E497" s="45">
        <v>496</v>
      </c>
      <c r="F497" s="46">
        <v>46107</v>
      </c>
      <c r="G497" s="42" t="s">
        <v>615</v>
      </c>
      <c r="H497" s="42">
        <f t="shared" si="25"/>
        <v>15</v>
      </c>
      <c r="I497" s="42">
        <f ca="1">IF(AND(F497&lt;&gt;"", J497&lt;&gt;""), NETWORKDAYS(TODAY(), J497-1, FESTIVOS!A$1:A$55), "")</f>
        <v>-36</v>
      </c>
      <c r="J497" s="11">
        <f>IF(AND(F497&lt;&gt;"", H497&lt;&gt;""), WORKDAY(F497, H497, FESTIVOS!A$1:A$55), "")</f>
        <v>46132</v>
      </c>
      <c r="K497" s="42" t="s">
        <v>656</v>
      </c>
      <c r="L497" s="42">
        <f t="shared" ca="1" si="26"/>
        <v>0</v>
      </c>
      <c r="M497" s="42" t="str">
        <f t="shared" ca="1" si="27"/>
        <v>Vencido</v>
      </c>
      <c r="N497" s="42"/>
      <c r="O497" s="42"/>
      <c r="P497" s="4" t="str">
        <f>IF(OR(O497="", J497=""), "", NETWORKDAYS(J497, O497,#REF!))</f>
        <v/>
      </c>
    </row>
    <row r="498" spans="1:16" ht="15.75" x14ac:dyDescent="0.25">
      <c r="A498" s="42" t="s">
        <v>18</v>
      </c>
      <c r="B498" s="12" t="s">
        <v>696</v>
      </c>
      <c r="C498" s="36" t="s">
        <v>59</v>
      </c>
      <c r="D498" s="44" t="s">
        <v>30</v>
      </c>
      <c r="E498" s="45">
        <v>497</v>
      </c>
      <c r="F498" s="46">
        <v>46107</v>
      </c>
      <c r="G498" s="42" t="s">
        <v>615</v>
      </c>
      <c r="H498" s="42">
        <f t="shared" si="25"/>
        <v>15</v>
      </c>
      <c r="I498" s="42">
        <f ca="1">IF(AND(F498&lt;&gt;"", J498&lt;&gt;""), NETWORKDAYS(TODAY(), J498-1, FESTIVOS!A$1:A$55), "")</f>
        <v>-36</v>
      </c>
      <c r="J498" s="49">
        <f>IF(AND(F498&lt;&gt;"", H498&lt;&gt;""), WORKDAY(F498, H498, FESTIVOS!A$1:A$55), "")</f>
        <v>46132</v>
      </c>
      <c r="K498" s="75" t="s">
        <v>656</v>
      </c>
      <c r="L498" s="75">
        <f t="shared" ca="1" si="26"/>
        <v>0</v>
      </c>
      <c r="M498" s="75" t="str">
        <f t="shared" ca="1" si="27"/>
        <v>Vencido</v>
      </c>
      <c r="N498" s="75" t="s">
        <v>978</v>
      </c>
      <c r="O498" s="76">
        <v>46126</v>
      </c>
      <c r="P498" s="4" t="e">
        <f>IF(OR(O498="", J498=""), "", NETWORKDAYS(J498, O498,#REF!))</f>
        <v>#REF!</v>
      </c>
    </row>
    <row r="499" spans="1:16" ht="15.75" x14ac:dyDescent="0.25">
      <c r="A499" s="42" t="s">
        <v>18</v>
      </c>
      <c r="B499" s="12" t="s">
        <v>696</v>
      </c>
      <c r="C499" s="36" t="s">
        <v>59</v>
      </c>
      <c r="D499" s="44" t="s">
        <v>52</v>
      </c>
      <c r="E499" s="45">
        <v>498</v>
      </c>
      <c r="F499" s="46">
        <v>46107</v>
      </c>
      <c r="G499" s="42" t="s">
        <v>615</v>
      </c>
      <c r="H499" s="42">
        <f t="shared" si="25"/>
        <v>15</v>
      </c>
      <c r="I499" s="42">
        <f ca="1">IF(AND(F499&lt;&gt;"", J499&lt;&gt;""), NETWORKDAYS(TODAY(), J499-1, FESTIVOS!A$1:A$55), "")</f>
        <v>-36</v>
      </c>
      <c r="J499" s="49">
        <f>IF(AND(F499&lt;&gt;"", H499&lt;&gt;""), WORKDAY(F499, H499, FESTIVOS!A$1:A$55), "")</f>
        <v>46132</v>
      </c>
      <c r="K499" s="75" t="s">
        <v>656</v>
      </c>
      <c r="L499" s="75">
        <f t="shared" ca="1" si="26"/>
        <v>0</v>
      </c>
      <c r="M499" s="75" t="str">
        <f t="shared" ca="1" si="27"/>
        <v>Vencido</v>
      </c>
      <c r="N499" s="75" t="s">
        <v>971</v>
      </c>
      <c r="O499" s="76">
        <v>46120</v>
      </c>
      <c r="P499" s="4" t="e">
        <f>IF(OR(O499="", J499=""), "", NETWORKDAYS(J499, O499,#REF!))</f>
        <v>#REF!</v>
      </c>
    </row>
    <row r="500" spans="1:16" ht="31.5" x14ac:dyDescent="0.25">
      <c r="A500" s="42" t="s">
        <v>19</v>
      </c>
      <c r="B500" s="12" t="s">
        <v>778</v>
      </c>
      <c r="C500" s="36" t="s">
        <v>923</v>
      </c>
      <c r="D500" s="44" t="s">
        <v>922</v>
      </c>
      <c r="E500" s="45">
        <v>499</v>
      </c>
      <c r="F500" s="46">
        <v>46107</v>
      </c>
      <c r="G500" s="42" t="s">
        <v>646</v>
      </c>
      <c r="H500" s="42">
        <f t="shared" si="25"/>
        <v>10</v>
      </c>
      <c r="I500" s="42">
        <f ca="1">IF(AND(F500&lt;&gt;"", J500&lt;&gt;""), NETWORKDAYS(TODAY(), J500-1, FESTIVOS!A$1:A$55), "")</f>
        <v>-41</v>
      </c>
      <c r="J500" s="11">
        <f>IF(AND(F500&lt;&gt;"", H500&lt;&gt;""), WORKDAY(F500, H500, FESTIVOS!A$1:A$55), "")</f>
        <v>46125</v>
      </c>
      <c r="K500" s="42" t="s">
        <v>656</v>
      </c>
      <c r="L500" s="42">
        <f t="shared" ca="1" si="26"/>
        <v>0</v>
      </c>
      <c r="M500" s="42" t="str">
        <f t="shared" ca="1" si="27"/>
        <v>Vencido</v>
      </c>
      <c r="N500" s="42"/>
      <c r="O500" s="42"/>
      <c r="P500" s="4" t="str">
        <f>IF(OR(O500="", J500=""), "", NETWORKDAYS(J500, O500,#REF!))</f>
        <v/>
      </c>
    </row>
    <row r="501" spans="1:16" ht="31.5" x14ac:dyDescent="0.25">
      <c r="A501" s="42" t="s">
        <v>18</v>
      </c>
      <c r="B501" s="12" t="s">
        <v>920</v>
      </c>
      <c r="C501" s="36" t="s">
        <v>61</v>
      </c>
      <c r="D501" s="44" t="s">
        <v>921</v>
      </c>
      <c r="E501" s="45">
        <v>500</v>
      </c>
      <c r="F501" s="46">
        <v>46107</v>
      </c>
      <c r="G501" s="42" t="s">
        <v>615</v>
      </c>
      <c r="H501" s="42">
        <f t="shared" si="25"/>
        <v>15</v>
      </c>
      <c r="I501" s="42">
        <f ca="1">IF(AND(F501&lt;&gt;"", J501&lt;&gt;""), NETWORKDAYS(TODAY(), J501-1, FESTIVOS!A$1:A$55), "")</f>
        <v>-36</v>
      </c>
      <c r="J501" s="11">
        <f>IF(AND(F501&lt;&gt;"", H501&lt;&gt;""), WORKDAY(F501, H501, FESTIVOS!A$1:A$55), "")</f>
        <v>46132</v>
      </c>
      <c r="K501" s="42" t="s">
        <v>656</v>
      </c>
      <c r="L501" s="42">
        <f t="shared" ca="1" si="26"/>
        <v>0</v>
      </c>
      <c r="M501" s="42" t="str">
        <f t="shared" ca="1" si="27"/>
        <v>Vencido</v>
      </c>
      <c r="N501" s="42"/>
      <c r="O501" s="42"/>
      <c r="P501" s="4" t="str">
        <f>IF(OR(O501="", J501=""), "", NETWORKDAYS(J501, O501,#REF!))</f>
        <v/>
      </c>
    </row>
    <row r="502" spans="1:16" ht="31.5" x14ac:dyDescent="0.25">
      <c r="A502" s="42" t="s">
        <v>18</v>
      </c>
      <c r="B502" s="12" t="s">
        <v>899</v>
      </c>
      <c r="C502" s="36" t="s">
        <v>59</v>
      </c>
      <c r="D502" s="44" t="s">
        <v>898</v>
      </c>
      <c r="E502" s="45">
        <v>501</v>
      </c>
      <c r="F502" s="46">
        <v>46107</v>
      </c>
      <c r="G502" s="42" t="s">
        <v>615</v>
      </c>
      <c r="H502" s="42">
        <f t="shared" ref="H502:H565" si="28">IF(A502="INFORMACIÓN O DOCUMENTOS", 10, IF(A502="CONSULTA", 30, IF(A502="FACTURACIÓN Y COBROS", 15, IF(A502="VINCULACIÓN Y DESVINCULACIÓN", 15, IF(A502="NO ES DE NUESTRA COMPETENCIA", 5, IF(A502="OTRO", 15, ""))))))</f>
        <v>15</v>
      </c>
      <c r="I502" s="42">
        <f ca="1">IF(AND(F502&lt;&gt;"", J502&lt;&gt;""), NETWORKDAYS(TODAY(), J502-1, FESTIVOS!A$1:A$55), "")</f>
        <v>-36</v>
      </c>
      <c r="J502" s="49">
        <f>IF(AND(F502&lt;&gt;"", H502&lt;&gt;""), WORKDAY(F502, H502, FESTIVOS!A$1:A$55), "")</f>
        <v>46132</v>
      </c>
      <c r="K502" s="75" t="s">
        <v>656</v>
      </c>
      <c r="L502" s="75">
        <f t="shared" ref="L502:L565" ca="1" si="29">IF(I502="", "", MAX(0, I502 - (TODAY() - TODAY())))</f>
        <v>0</v>
      </c>
      <c r="M502" s="75" t="str">
        <f t="shared" ref="M502:M565" ca="1" si="30">IF(OR(I502="", H502=""), "", IF(I502&lt;0, "Vencido", IF(I502&gt;(H502/2), "Supere la mitad", "Bajo la mitad")))</f>
        <v>Vencido</v>
      </c>
      <c r="N502" s="75" t="s">
        <v>1009</v>
      </c>
      <c r="O502" s="76">
        <v>46120</v>
      </c>
      <c r="P502" s="4" t="e">
        <f>IF(OR(O502="", J502=""), "", NETWORKDAYS(J502, O502,#REF!))</f>
        <v>#REF!</v>
      </c>
    </row>
    <row r="503" spans="1:16" ht="31.5" x14ac:dyDescent="0.25">
      <c r="A503" s="42" t="s">
        <v>18</v>
      </c>
      <c r="B503" s="12" t="s">
        <v>399</v>
      </c>
      <c r="C503" s="36" t="s">
        <v>169</v>
      </c>
      <c r="D503" s="44" t="s">
        <v>897</v>
      </c>
      <c r="E503" s="45">
        <v>502</v>
      </c>
      <c r="F503" s="46">
        <v>46107</v>
      </c>
      <c r="G503" s="42" t="s">
        <v>615</v>
      </c>
      <c r="H503" s="42">
        <f t="shared" si="28"/>
        <v>15</v>
      </c>
      <c r="I503" s="42">
        <f ca="1">IF(AND(F503&lt;&gt;"", J503&lt;&gt;""), NETWORKDAYS(TODAY(), J503-1, FESTIVOS!A$1:A$55), "")</f>
        <v>-36</v>
      </c>
      <c r="J503" s="11">
        <f>IF(AND(F503&lt;&gt;"", H503&lt;&gt;""), WORKDAY(F503, H503, FESTIVOS!A$1:A$55), "")</f>
        <v>46132</v>
      </c>
      <c r="K503" s="42" t="s">
        <v>656</v>
      </c>
      <c r="L503" s="42">
        <f t="shared" ca="1" si="29"/>
        <v>0</v>
      </c>
      <c r="M503" s="42" t="str">
        <f t="shared" ca="1" si="30"/>
        <v>Vencido</v>
      </c>
      <c r="N503" s="42"/>
      <c r="O503" s="42"/>
      <c r="P503" s="4" t="str">
        <f>IF(OR(O503="", J503=""), "", NETWORKDAYS(J503, O503,#REF!))</f>
        <v/>
      </c>
    </row>
    <row r="504" spans="1:16" ht="15.75" x14ac:dyDescent="0.25">
      <c r="A504" s="42" t="s">
        <v>18</v>
      </c>
      <c r="B504" s="12" t="s">
        <v>896</v>
      </c>
      <c r="C504" s="36" t="s">
        <v>269</v>
      </c>
      <c r="D504" s="44" t="s">
        <v>40</v>
      </c>
      <c r="E504" s="45">
        <v>503</v>
      </c>
      <c r="F504" s="46">
        <v>46107</v>
      </c>
      <c r="G504" s="42" t="s">
        <v>615</v>
      </c>
      <c r="H504" s="42">
        <f t="shared" si="28"/>
        <v>15</v>
      </c>
      <c r="I504" s="42">
        <f ca="1">IF(AND(F504&lt;&gt;"", J504&lt;&gt;""), NETWORKDAYS(TODAY(), J504-1, FESTIVOS!A$1:A$55), "")</f>
        <v>-36</v>
      </c>
      <c r="J504" s="49">
        <f>IF(AND(F504&lt;&gt;"", H504&lt;&gt;""), WORKDAY(F504, H504, FESTIVOS!A$1:A$55), "")</f>
        <v>46132</v>
      </c>
      <c r="K504" s="75" t="s">
        <v>656</v>
      </c>
      <c r="L504" s="75">
        <f t="shared" ca="1" si="29"/>
        <v>0</v>
      </c>
      <c r="M504" s="75" t="str">
        <f t="shared" ca="1" si="30"/>
        <v>Vencido</v>
      </c>
      <c r="N504" s="75" t="s">
        <v>1010</v>
      </c>
      <c r="O504" s="76">
        <v>46120</v>
      </c>
      <c r="P504" s="4" t="e">
        <f>IF(OR(O504="", J504=""), "", NETWORKDAYS(J504, O504,#REF!))</f>
        <v>#REF!</v>
      </c>
    </row>
    <row r="505" spans="1:16" ht="15.75" x14ac:dyDescent="0.25">
      <c r="A505" s="42" t="s">
        <v>18</v>
      </c>
      <c r="B505" s="12" t="s">
        <v>56</v>
      </c>
      <c r="C505" s="36" t="s">
        <v>84</v>
      </c>
      <c r="D505" s="44" t="s">
        <v>45</v>
      </c>
      <c r="E505" s="45">
        <v>504</v>
      </c>
      <c r="F505" s="46">
        <v>46108</v>
      </c>
      <c r="G505" s="42" t="s">
        <v>615</v>
      </c>
      <c r="H505" s="42">
        <f t="shared" si="28"/>
        <v>15</v>
      </c>
      <c r="I505" s="42">
        <f ca="1">IF(AND(F505&lt;&gt;"", J505&lt;&gt;""), NETWORKDAYS(TODAY(), J505-1, FESTIVOS!A$1:A$55), "")</f>
        <v>-36</v>
      </c>
      <c r="J505" s="11">
        <f>IF(AND(F505&lt;&gt;"", H505&lt;&gt;""), WORKDAY(F505, H505, FESTIVOS!A$1:A$55), "")</f>
        <v>46133</v>
      </c>
      <c r="K505" s="42" t="s">
        <v>656</v>
      </c>
      <c r="L505" s="42">
        <f t="shared" ca="1" si="29"/>
        <v>0</v>
      </c>
      <c r="M505" s="42" t="str">
        <f t="shared" ca="1" si="30"/>
        <v>Vencido</v>
      </c>
      <c r="N505" s="42"/>
      <c r="O505" s="42"/>
      <c r="P505" s="4" t="str">
        <f>IF(OR(O505="", J505=""), "", NETWORKDAYS(J505, O505,#REF!))</f>
        <v/>
      </c>
    </row>
    <row r="506" spans="1:16" ht="47.25" x14ac:dyDescent="0.25">
      <c r="A506" s="42" t="s">
        <v>18</v>
      </c>
      <c r="B506" s="12" t="s">
        <v>429</v>
      </c>
      <c r="C506" s="36" t="s">
        <v>65</v>
      </c>
      <c r="D506" s="44" t="s">
        <v>895</v>
      </c>
      <c r="E506" s="45">
        <v>505</v>
      </c>
      <c r="F506" s="46">
        <v>46108</v>
      </c>
      <c r="G506" s="42" t="s">
        <v>646</v>
      </c>
      <c r="H506" s="42">
        <f t="shared" si="28"/>
        <v>15</v>
      </c>
      <c r="I506" s="42">
        <f ca="1">IF(AND(F506&lt;&gt;"", J506&lt;&gt;""), NETWORKDAYS(TODAY(), J506-1, FESTIVOS!A$1:A$55), "")</f>
        <v>-36</v>
      </c>
      <c r="J506" s="11">
        <f>IF(AND(F506&lt;&gt;"", H506&lt;&gt;""), WORKDAY(F506, H506, FESTIVOS!A$1:A$55), "")</f>
        <v>46133</v>
      </c>
      <c r="K506" s="42" t="s">
        <v>656</v>
      </c>
      <c r="L506" s="42">
        <f t="shared" ca="1" si="29"/>
        <v>0</v>
      </c>
      <c r="M506" s="42" t="str">
        <f t="shared" ca="1" si="30"/>
        <v>Vencido</v>
      </c>
      <c r="N506" s="42"/>
      <c r="O506" s="42"/>
      <c r="P506" s="4" t="str">
        <f>IF(OR(O506="", J506=""), "", NETWORKDAYS(J506, O506,#REF!))</f>
        <v/>
      </c>
    </row>
    <row r="507" spans="1:16" ht="15.75" x14ac:dyDescent="0.25">
      <c r="A507" s="42" t="s">
        <v>18</v>
      </c>
      <c r="B507" s="12" t="s">
        <v>894</v>
      </c>
      <c r="C507" s="36" t="s">
        <v>59</v>
      </c>
      <c r="D507" s="44" t="s">
        <v>893</v>
      </c>
      <c r="E507" s="45">
        <v>506</v>
      </c>
      <c r="F507" s="46">
        <v>46106</v>
      </c>
      <c r="G507" s="42" t="s">
        <v>615</v>
      </c>
      <c r="H507" s="42">
        <f t="shared" si="28"/>
        <v>15</v>
      </c>
      <c r="I507" s="42">
        <f ca="1">IF(AND(F507&lt;&gt;"", J507&lt;&gt;""), NETWORKDAYS(TODAY(), J507-1, FESTIVOS!A$1:A$55), "")</f>
        <v>-38</v>
      </c>
      <c r="J507" s="49">
        <f>IF(AND(F507&lt;&gt;"", H507&lt;&gt;""), WORKDAY(F507, H507, FESTIVOS!A$1:A$55), "")</f>
        <v>46129</v>
      </c>
      <c r="K507" s="75" t="s">
        <v>656</v>
      </c>
      <c r="L507" s="75">
        <f t="shared" ca="1" si="29"/>
        <v>0</v>
      </c>
      <c r="M507" s="75" t="str">
        <f t="shared" ca="1" si="30"/>
        <v>Vencido</v>
      </c>
      <c r="N507" s="75" t="s">
        <v>1011</v>
      </c>
      <c r="O507" s="76">
        <v>46119</v>
      </c>
      <c r="P507" s="4" t="e">
        <f>IF(OR(O507="", J507=""), "", NETWORKDAYS(J507, O507,#REF!))</f>
        <v>#REF!</v>
      </c>
    </row>
    <row r="508" spans="1:16" ht="15.75" x14ac:dyDescent="0.25">
      <c r="A508" s="42" t="s">
        <v>18</v>
      </c>
      <c r="B508" s="12" t="s">
        <v>505</v>
      </c>
      <c r="C508" s="36" t="s">
        <v>169</v>
      </c>
      <c r="D508" s="21" t="s">
        <v>892</v>
      </c>
      <c r="E508" s="45">
        <v>507</v>
      </c>
      <c r="F508" s="46">
        <v>46106</v>
      </c>
      <c r="G508" s="42" t="s">
        <v>615</v>
      </c>
      <c r="H508" s="42">
        <f t="shared" si="28"/>
        <v>15</v>
      </c>
      <c r="I508" s="42">
        <f ca="1">IF(AND(F508&lt;&gt;"", J508&lt;&gt;""), NETWORKDAYS(TODAY(), J508-1, FESTIVOS!A$1:A$55), "")</f>
        <v>-38</v>
      </c>
      <c r="J508" s="49">
        <f>IF(AND(F508&lt;&gt;"", H508&lt;&gt;""), WORKDAY(F508, H508, FESTIVOS!A$1:A$55), "")</f>
        <v>46129</v>
      </c>
      <c r="K508" s="75" t="s">
        <v>656</v>
      </c>
      <c r="L508" s="75">
        <f t="shared" ca="1" si="29"/>
        <v>0</v>
      </c>
      <c r="M508" s="75" t="str">
        <f t="shared" ca="1" si="30"/>
        <v>Vencido</v>
      </c>
      <c r="N508" s="75" t="s">
        <v>1012</v>
      </c>
      <c r="O508" s="76">
        <v>46119</v>
      </c>
      <c r="P508" s="4" t="e">
        <f>IF(OR(O508="", J508=""), "", NETWORKDAYS(J508, O508,#REF!))</f>
        <v>#REF!</v>
      </c>
    </row>
    <row r="509" spans="1:16" ht="31.5" x14ac:dyDescent="0.25">
      <c r="A509" s="42" t="s">
        <v>18</v>
      </c>
      <c r="B509" s="12" t="s">
        <v>890</v>
      </c>
      <c r="C509" s="36" t="s">
        <v>59</v>
      </c>
      <c r="D509" s="44" t="s">
        <v>891</v>
      </c>
      <c r="E509" s="45">
        <v>508</v>
      </c>
      <c r="F509" s="46">
        <v>46105</v>
      </c>
      <c r="G509" s="42" t="s">
        <v>615</v>
      </c>
      <c r="H509" s="42">
        <f t="shared" si="28"/>
        <v>15</v>
      </c>
      <c r="I509" s="75">
        <f ca="1">IF(AND(F509&lt;&gt;"", J509&lt;&gt;""), NETWORKDAYS(TODAY(), J509-1, FESTIVOS!A$1:A$55), "")</f>
        <v>-39</v>
      </c>
      <c r="J509" s="49">
        <f>IF(AND(F509&lt;&gt;"", H509&lt;&gt;""), WORKDAY(F509, H509, FESTIVOS!A$1:A$55), "")</f>
        <v>46128</v>
      </c>
      <c r="K509" s="75" t="s">
        <v>656</v>
      </c>
      <c r="L509" s="75">
        <f t="shared" ca="1" si="29"/>
        <v>0</v>
      </c>
      <c r="M509" s="75" t="str">
        <f t="shared" ca="1" si="30"/>
        <v>Vencido</v>
      </c>
      <c r="N509" s="75" t="s">
        <v>759</v>
      </c>
      <c r="O509" s="76">
        <v>46111</v>
      </c>
      <c r="P509" s="4" t="e">
        <f>IF(OR(O509="", J509=""), "", NETWORKDAYS(J509, O509,#REF!))</f>
        <v>#REF!</v>
      </c>
    </row>
    <row r="510" spans="1:16" ht="34.15" customHeight="1" x14ac:dyDescent="0.25">
      <c r="A510" s="42" t="s">
        <v>18</v>
      </c>
      <c r="B510" s="12" t="s">
        <v>77</v>
      </c>
      <c r="C510" s="36" t="s">
        <v>169</v>
      </c>
      <c r="D510" s="44" t="s">
        <v>758</v>
      </c>
      <c r="E510" s="45">
        <v>509</v>
      </c>
      <c r="F510" s="46">
        <v>46108</v>
      </c>
      <c r="G510" s="42" t="s">
        <v>615</v>
      </c>
      <c r="H510" s="42">
        <f t="shared" si="28"/>
        <v>15</v>
      </c>
      <c r="I510" s="42">
        <f ca="1">IF(AND(F510&lt;&gt;"", J510&lt;&gt;""), NETWORKDAYS(TODAY(), J510-1, FESTIVOS!A$1:A$55), "")</f>
        <v>-36</v>
      </c>
      <c r="J510" s="49">
        <f>IF(AND(F510&lt;&gt;"", H510&lt;&gt;""), WORKDAY(F510, H510, FESTIVOS!A$1:A$55), "")</f>
        <v>46133</v>
      </c>
      <c r="K510" s="75" t="s">
        <v>656</v>
      </c>
      <c r="L510" s="75">
        <f t="shared" ca="1" si="29"/>
        <v>0</v>
      </c>
      <c r="M510" s="75" t="str">
        <f t="shared" ca="1" si="30"/>
        <v>Vencido</v>
      </c>
      <c r="N510" s="87" t="s">
        <v>652</v>
      </c>
      <c r="O510" s="75"/>
      <c r="P510" s="4" t="str">
        <f>IF(OR(O510="", J510=""), "", NETWORKDAYS(J510, O510,#REF!))</f>
        <v/>
      </c>
    </row>
    <row r="511" spans="1:16" ht="15.75" x14ac:dyDescent="0.25">
      <c r="A511" s="42" t="s">
        <v>18</v>
      </c>
      <c r="B511" s="12" t="s">
        <v>888</v>
      </c>
      <c r="C511" s="36" t="s">
        <v>59</v>
      </c>
      <c r="D511" s="44" t="s">
        <v>889</v>
      </c>
      <c r="E511" s="45">
        <v>510</v>
      </c>
      <c r="F511" s="46">
        <v>46108</v>
      </c>
      <c r="G511" s="42" t="s">
        <v>615</v>
      </c>
      <c r="H511" s="42">
        <f t="shared" si="28"/>
        <v>15</v>
      </c>
      <c r="I511" s="42">
        <f ca="1">IF(AND(F511&lt;&gt;"", J511&lt;&gt;""), NETWORKDAYS(TODAY(), J511-1, FESTIVOS!A$1:A$55), "")</f>
        <v>-36</v>
      </c>
      <c r="J511" s="49">
        <f>IF(AND(F511&lt;&gt;"", H511&lt;&gt;""), WORKDAY(F511, H511, FESTIVOS!A$1:A$55), "")</f>
        <v>46133</v>
      </c>
      <c r="K511" s="75" t="s">
        <v>656</v>
      </c>
      <c r="L511" s="75">
        <f t="shared" ca="1" si="29"/>
        <v>0</v>
      </c>
      <c r="M511" s="75" t="str">
        <f t="shared" ca="1" si="30"/>
        <v>Vencido</v>
      </c>
      <c r="N511" s="75" t="s">
        <v>1008</v>
      </c>
      <c r="O511" s="76">
        <v>46113</v>
      </c>
      <c r="P511" s="4" t="e">
        <f>IF(OR(O511="", J511=""), "", NETWORKDAYS(J511, O511,#REF!))</f>
        <v>#REF!</v>
      </c>
    </row>
    <row r="512" spans="1:16" ht="15.75" x14ac:dyDescent="0.25">
      <c r="A512" s="42" t="s">
        <v>18</v>
      </c>
      <c r="B512" s="12" t="s">
        <v>887</v>
      </c>
      <c r="C512" s="36" t="s">
        <v>59</v>
      </c>
      <c r="D512" s="44" t="s">
        <v>875</v>
      </c>
      <c r="E512" s="45">
        <v>511</v>
      </c>
      <c r="F512" s="46">
        <v>46108</v>
      </c>
      <c r="G512" s="42" t="s">
        <v>615</v>
      </c>
      <c r="H512" s="42">
        <f t="shared" si="28"/>
        <v>15</v>
      </c>
      <c r="I512" s="42">
        <f ca="1">IF(AND(F512&lt;&gt;"", J512&lt;&gt;""), NETWORKDAYS(TODAY(), J512-1, FESTIVOS!A$1:A$55), "")</f>
        <v>-36</v>
      </c>
      <c r="J512" s="49">
        <f>IF(AND(F512&lt;&gt;"", H512&lt;&gt;""), WORKDAY(F512, H512, FESTIVOS!A$1:A$55), "")</f>
        <v>46133</v>
      </c>
      <c r="K512" s="75" t="s">
        <v>656</v>
      </c>
      <c r="L512" s="75">
        <f t="shared" ca="1" si="29"/>
        <v>0</v>
      </c>
      <c r="M512" s="75" t="str">
        <f t="shared" ca="1" si="30"/>
        <v>Vencido</v>
      </c>
      <c r="N512" s="75" t="s">
        <v>982</v>
      </c>
      <c r="O512" s="76">
        <v>46125</v>
      </c>
      <c r="P512" s="4" t="e">
        <f>IF(OR(O512="", J512=""), "", NETWORKDAYS(J512, O512,#REF!))</f>
        <v>#REF!</v>
      </c>
    </row>
    <row r="513" spans="1:16" ht="15.75" x14ac:dyDescent="0.25">
      <c r="A513" s="42" t="s">
        <v>18</v>
      </c>
      <c r="B513" s="12" t="s">
        <v>749</v>
      </c>
      <c r="C513" s="36" t="s">
        <v>59</v>
      </c>
      <c r="D513" s="44" t="s">
        <v>30</v>
      </c>
      <c r="E513" s="45">
        <v>512</v>
      </c>
      <c r="F513" s="46">
        <v>46108</v>
      </c>
      <c r="G513" s="42" t="s">
        <v>615</v>
      </c>
      <c r="H513" s="42">
        <f t="shared" si="28"/>
        <v>15</v>
      </c>
      <c r="I513" s="42">
        <f ca="1">IF(AND(F513&lt;&gt;"", J513&lt;&gt;""), NETWORKDAYS(TODAY(), J513-1, FESTIVOS!A$1:A$55), "")</f>
        <v>-36</v>
      </c>
      <c r="J513" s="49">
        <f>IF(AND(F513&lt;&gt;"", H513&lt;&gt;""), WORKDAY(F513, H513, FESTIVOS!A$1:A$55), "")</f>
        <v>46133</v>
      </c>
      <c r="K513" s="75" t="s">
        <v>656</v>
      </c>
      <c r="L513" s="75">
        <f t="shared" ca="1" si="29"/>
        <v>0</v>
      </c>
      <c r="M513" s="75" t="str">
        <f t="shared" ca="1" si="30"/>
        <v>Vencido</v>
      </c>
      <c r="N513" s="75" t="s">
        <v>1013</v>
      </c>
      <c r="O513" s="76">
        <v>46120</v>
      </c>
      <c r="P513" s="4" t="e">
        <f>IF(OR(O513="", J513=""), "", NETWORKDAYS(J513, O513,#REF!))</f>
        <v>#REF!</v>
      </c>
    </row>
    <row r="514" spans="1:16" ht="15.75" x14ac:dyDescent="0.25">
      <c r="A514" s="42" t="s">
        <v>18</v>
      </c>
      <c r="B514" s="12" t="s">
        <v>886</v>
      </c>
      <c r="C514" s="36" t="s">
        <v>59</v>
      </c>
      <c r="D514" s="44" t="s">
        <v>217</v>
      </c>
      <c r="E514" s="45">
        <v>513</v>
      </c>
      <c r="F514" s="46">
        <v>46108</v>
      </c>
      <c r="G514" s="42" t="s">
        <v>615</v>
      </c>
      <c r="H514" s="42">
        <f>IF(A514="INFORMACIÓN O DOCUMENTOS", 10, IF(A514="CONSULTA", 30, IF(A514="FACTURACIÓN Y COBROS", 15, IF(A514="VINCULACIÓN Y DESVINCULACIÓN", 15, IF(A514="NO ES DE NUESTRA COMPETENCIA", 5, IF(A514="OTRO", 15, ""))))))</f>
        <v>15</v>
      </c>
      <c r="I514" s="42">
        <f ca="1">IF(AND(F514&lt;&gt;"", J514&lt;&gt;""), NETWORKDAYS(TODAY(), J514-1, FESTIVOS!A$1:A$55), "")</f>
        <v>-36</v>
      </c>
      <c r="J514" s="49">
        <f>IF(AND(F514&lt;&gt;"", H514&lt;&gt;""), WORKDAY(F514, H514, FESTIVOS!A$1:A$55), "")</f>
        <v>46133</v>
      </c>
      <c r="K514" s="75" t="s">
        <v>656</v>
      </c>
      <c r="L514" s="75">
        <f t="shared" ca="1" si="29"/>
        <v>0</v>
      </c>
      <c r="M514" s="75" t="str">
        <f ca="1">IF(OR(I514="", H514=""), "", IF(I514&lt;0, "Vencido", IF(I514&gt;(H514/2), "Supere la mitad", "Bajo la mitad")))</f>
        <v>Vencido</v>
      </c>
      <c r="N514" s="75" t="s">
        <v>1014</v>
      </c>
      <c r="O514" s="76">
        <v>46120</v>
      </c>
      <c r="P514" s="4" t="e">
        <f>IF(OR(O514="", J514=""), "", NETWORKDAYS(J514, O514,#REF!))</f>
        <v>#REF!</v>
      </c>
    </row>
    <row r="515" spans="1:16" ht="15.75" x14ac:dyDescent="0.25">
      <c r="A515" s="42" t="s">
        <v>18</v>
      </c>
      <c r="B515" s="12" t="s">
        <v>826</v>
      </c>
      <c r="C515" s="36" t="s">
        <v>84</v>
      </c>
      <c r="D515" s="44" t="s">
        <v>754</v>
      </c>
      <c r="E515" s="45">
        <v>514</v>
      </c>
      <c r="F515" s="46">
        <v>46101</v>
      </c>
      <c r="G515" s="42" t="s">
        <v>615</v>
      </c>
      <c r="H515" s="42">
        <f t="shared" si="28"/>
        <v>15</v>
      </c>
      <c r="I515" s="42">
        <f ca="1">IF(AND(F515&lt;&gt;"", J515&lt;&gt;""), NETWORKDAYS(TODAY(), J515-1, FESTIVOS!A$1:A$55), "")</f>
        <v>-40</v>
      </c>
      <c r="J515" s="11">
        <f>IF(AND(F515&lt;&gt;"", H515&lt;&gt;""), WORKDAY(F515, H515, FESTIVOS!A$1:A$55), "")</f>
        <v>46127</v>
      </c>
      <c r="K515" s="42" t="s">
        <v>656</v>
      </c>
      <c r="L515" s="42">
        <f t="shared" ca="1" si="29"/>
        <v>0</v>
      </c>
      <c r="M515" s="42" t="str">
        <f t="shared" ca="1" si="30"/>
        <v>Vencido</v>
      </c>
      <c r="N515" s="42"/>
      <c r="O515" s="42"/>
      <c r="P515" s="4" t="str">
        <f>IF(OR(O515="", J515=""), "", NETWORKDAYS(J515, O515,#REF!))</f>
        <v/>
      </c>
    </row>
    <row r="516" spans="1:16" ht="15.75" x14ac:dyDescent="0.25">
      <c r="A516" s="42" t="s">
        <v>18</v>
      </c>
      <c r="B516" s="12" t="s">
        <v>885</v>
      </c>
      <c r="C516" s="36" t="s">
        <v>59</v>
      </c>
      <c r="D516" s="44" t="s">
        <v>118</v>
      </c>
      <c r="E516" s="45">
        <v>515</v>
      </c>
      <c r="F516" s="46">
        <v>46111</v>
      </c>
      <c r="G516" s="42" t="s">
        <v>614</v>
      </c>
      <c r="H516" s="42">
        <f t="shared" si="28"/>
        <v>15</v>
      </c>
      <c r="I516" s="42">
        <f ca="1">IF(AND(F516&lt;&gt;"", J516&lt;&gt;""), NETWORKDAYS(TODAY(), J516-1, FESTIVOS!A$1:A$55), "")</f>
        <v>-35</v>
      </c>
      <c r="J516" s="71">
        <f>IF(AND(F516&lt;&gt;"", H516&lt;&gt;""), WORKDAY(F516, H516, FESTIVOS!A$1:A$55), "")</f>
        <v>46134</v>
      </c>
      <c r="K516" s="89" t="s">
        <v>656</v>
      </c>
      <c r="L516" s="89">
        <f t="shared" ca="1" si="29"/>
        <v>0</v>
      </c>
      <c r="M516" s="89" t="str">
        <f t="shared" ca="1" si="30"/>
        <v>Vencido</v>
      </c>
      <c r="N516" s="89" t="s">
        <v>1015</v>
      </c>
      <c r="O516" s="90">
        <v>46113</v>
      </c>
      <c r="P516" s="4" t="e">
        <f>IF(OR(O516="", J516=""), "", NETWORKDAYS(J516, O516,#REF!))</f>
        <v>#REF!</v>
      </c>
    </row>
    <row r="517" spans="1:16" ht="31.5" x14ac:dyDescent="0.25">
      <c r="A517" s="42" t="s">
        <v>18</v>
      </c>
      <c r="B517" s="12" t="s">
        <v>884</v>
      </c>
      <c r="C517" s="36" t="s">
        <v>59</v>
      </c>
      <c r="D517" s="44" t="s">
        <v>883</v>
      </c>
      <c r="E517" s="45">
        <v>516</v>
      </c>
      <c r="F517" s="46">
        <v>46111</v>
      </c>
      <c r="G517" s="42" t="s">
        <v>615</v>
      </c>
      <c r="H517" s="42">
        <f t="shared" si="28"/>
        <v>15</v>
      </c>
      <c r="I517" s="42">
        <f ca="1">IF(AND(F517&lt;&gt;"", J517&lt;&gt;""), NETWORKDAYS(TODAY(), J517-1, FESTIVOS!A$1:A$55), "")</f>
        <v>-35</v>
      </c>
      <c r="J517" s="49">
        <f>IF(AND(F517&lt;&gt;"", H517&lt;&gt;""), WORKDAY(F517, H517, FESTIVOS!A$1:A$55), "")</f>
        <v>46134</v>
      </c>
      <c r="K517" s="75" t="s">
        <v>656</v>
      </c>
      <c r="L517" s="75">
        <f t="shared" ca="1" si="29"/>
        <v>0</v>
      </c>
      <c r="M517" s="75" t="str">
        <f t="shared" ca="1" si="30"/>
        <v>Vencido</v>
      </c>
      <c r="N517" s="75" t="s">
        <v>1016</v>
      </c>
      <c r="O517" s="76">
        <v>46119</v>
      </c>
      <c r="P517" s="4" t="e">
        <f>IF(OR(O517="", J517=""), "", NETWORKDAYS(J517, O517,#REF!))</f>
        <v>#REF!</v>
      </c>
    </row>
    <row r="518" spans="1:16" ht="15.75" x14ac:dyDescent="0.25">
      <c r="A518" s="42" t="s">
        <v>18</v>
      </c>
      <c r="B518" s="12" t="s">
        <v>882</v>
      </c>
      <c r="C518" s="36" t="s">
        <v>59</v>
      </c>
      <c r="D518" s="44" t="s">
        <v>664</v>
      </c>
      <c r="E518" s="45">
        <v>517</v>
      </c>
      <c r="F518" s="46">
        <v>46111</v>
      </c>
      <c r="G518" s="42" t="s">
        <v>614</v>
      </c>
      <c r="H518" s="42">
        <f t="shared" si="28"/>
        <v>15</v>
      </c>
      <c r="I518" s="42">
        <f ca="1">IF(AND(F518&lt;&gt;"", J518&lt;&gt;""), NETWORKDAYS(TODAY(), J518-1, FESTIVOS!A$1:A$55), "")</f>
        <v>-35</v>
      </c>
      <c r="J518" s="49">
        <f>IF(AND(F518&lt;&gt;"", H518&lt;&gt;""), WORKDAY(F518, H518, FESTIVOS!A$1:A$55), "")</f>
        <v>46134</v>
      </c>
      <c r="K518" s="75" t="s">
        <v>656</v>
      </c>
      <c r="L518" s="75">
        <f t="shared" ca="1" si="29"/>
        <v>0</v>
      </c>
      <c r="M518" s="75" t="str">
        <f t="shared" ca="1" si="30"/>
        <v>Vencido</v>
      </c>
      <c r="N518" s="75" t="s">
        <v>1017</v>
      </c>
      <c r="O518" s="76">
        <v>46113</v>
      </c>
      <c r="P518" s="4" t="e">
        <f>IF(OR(O518="", J518=""), "", NETWORKDAYS(J518, O518,#REF!))</f>
        <v>#REF!</v>
      </c>
    </row>
    <row r="519" spans="1:16" ht="15.75" x14ac:dyDescent="0.25">
      <c r="A519" s="42" t="s">
        <v>18</v>
      </c>
      <c r="B519" s="12" t="s">
        <v>881</v>
      </c>
      <c r="C519" s="36" t="s">
        <v>59</v>
      </c>
      <c r="D519" s="44" t="s">
        <v>30</v>
      </c>
      <c r="E519" s="45">
        <v>518</v>
      </c>
      <c r="F519" s="46">
        <v>46111</v>
      </c>
      <c r="G519" s="42" t="s">
        <v>615</v>
      </c>
      <c r="H519" s="42">
        <f t="shared" si="28"/>
        <v>15</v>
      </c>
      <c r="I519" s="42">
        <f ca="1">IF(AND(F519&lt;&gt;"", J519&lt;&gt;""), NETWORKDAYS(TODAY(), J519-1, FESTIVOS!A$1:A$55), "")</f>
        <v>-35</v>
      </c>
      <c r="J519" s="49">
        <f>IF(AND(F519&lt;&gt;"", H519&lt;&gt;""), WORKDAY(F519, H519, FESTIVOS!A$1:A$55), "")</f>
        <v>46134</v>
      </c>
      <c r="K519" s="75" t="s">
        <v>656</v>
      </c>
      <c r="L519" s="75">
        <f t="shared" ca="1" si="29"/>
        <v>0</v>
      </c>
      <c r="M519" s="75" t="str">
        <f t="shared" ca="1" si="30"/>
        <v>Vencido</v>
      </c>
      <c r="N519" s="75" t="s">
        <v>1018</v>
      </c>
      <c r="O519" s="76">
        <v>46120</v>
      </c>
      <c r="P519" s="4" t="e">
        <f>IF(OR(O519="", J519=""), "", NETWORKDAYS(J519, O519,#REF!))</f>
        <v>#REF!</v>
      </c>
    </row>
    <row r="520" spans="1:16" ht="31.5" x14ac:dyDescent="0.25">
      <c r="A520" s="42" t="s">
        <v>18</v>
      </c>
      <c r="B520" s="12" t="s">
        <v>880</v>
      </c>
      <c r="C520" s="36" t="s">
        <v>59</v>
      </c>
      <c r="D520" s="77" t="s">
        <v>879</v>
      </c>
      <c r="E520" s="45">
        <v>519</v>
      </c>
      <c r="F520" s="46">
        <v>46111</v>
      </c>
      <c r="G520" s="42" t="s">
        <v>615</v>
      </c>
      <c r="H520" s="42">
        <f t="shared" si="28"/>
        <v>15</v>
      </c>
      <c r="I520" s="42">
        <f ca="1">IF(AND(F520&lt;&gt;"", J520&lt;&gt;""), NETWORKDAYS(TODAY(), J520-1, FESTIVOS!A$1:A$55), "")</f>
        <v>-35</v>
      </c>
      <c r="J520" s="49">
        <f>IF(AND(F520&lt;&gt;"", H520&lt;&gt;""), WORKDAY(F520, H520, FESTIVOS!A$1:A$55), "")</f>
        <v>46134</v>
      </c>
      <c r="K520" s="75" t="s">
        <v>656</v>
      </c>
      <c r="L520" s="75">
        <f t="shared" ca="1" si="29"/>
        <v>0</v>
      </c>
      <c r="M520" s="75" t="str">
        <f t="shared" ca="1" si="30"/>
        <v>Vencido</v>
      </c>
      <c r="N520" s="75" t="s">
        <v>980</v>
      </c>
      <c r="O520" s="76">
        <v>46126</v>
      </c>
      <c r="P520" s="4" t="e">
        <f>IF(OR(O520="", J520=""), "", NETWORKDAYS(J520, O520,#REF!))</f>
        <v>#REF!</v>
      </c>
    </row>
    <row r="521" spans="1:16" ht="47.25" x14ac:dyDescent="0.25">
      <c r="A521" s="42" t="s">
        <v>18</v>
      </c>
      <c r="B521" s="12" t="s">
        <v>878</v>
      </c>
      <c r="C521" s="36" t="s">
        <v>59</v>
      </c>
      <c r="D521" s="44" t="s">
        <v>877</v>
      </c>
      <c r="E521" s="45">
        <v>520</v>
      </c>
      <c r="F521" s="46">
        <v>46111</v>
      </c>
      <c r="G521" s="42" t="s">
        <v>615</v>
      </c>
      <c r="H521" s="42">
        <f t="shared" si="28"/>
        <v>15</v>
      </c>
      <c r="I521" s="42">
        <f ca="1">IF(AND(F521&lt;&gt;"", J521&lt;&gt;""), NETWORKDAYS(TODAY(), J521-1, FESTIVOS!A$1:A$55), "")</f>
        <v>-35</v>
      </c>
      <c r="J521" s="49">
        <f>IF(AND(F521&lt;&gt;"", H521&lt;&gt;""), WORKDAY(F521, H521, FESTIVOS!A$1:A$55), "")</f>
        <v>46134</v>
      </c>
      <c r="K521" s="75" t="s">
        <v>656</v>
      </c>
      <c r="L521" s="75">
        <f t="shared" ca="1" si="29"/>
        <v>0</v>
      </c>
      <c r="M521" s="75" t="str">
        <f t="shared" ca="1" si="30"/>
        <v>Vencido</v>
      </c>
      <c r="N521" s="75" t="s">
        <v>1019</v>
      </c>
      <c r="O521" s="76">
        <v>46120</v>
      </c>
      <c r="P521" s="4" t="e">
        <f>IF(OR(O521="", J521=""), "", NETWORKDAYS(J521, O521,#REF!))</f>
        <v>#REF!</v>
      </c>
    </row>
    <row r="522" spans="1:16" ht="15.75" x14ac:dyDescent="0.25">
      <c r="A522" s="42" t="s">
        <v>18</v>
      </c>
      <c r="B522" s="12" t="s">
        <v>876</v>
      </c>
      <c r="C522" s="36" t="s">
        <v>59</v>
      </c>
      <c r="D522" s="44" t="s">
        <v>875</v>
      </c>
      <c r="E522" s="45">
        <v>521</v>
      </c>
      <c r="F522" s="46">
        <v>46111</v>
      </c>
      <c r="G522" s="42" t="s">
        <v>615</v>
      </c>
      <c r="H522" s="42">
        <f t="shared" si="28"/>
        <v>15</v>
      </c>
      <c r="I522" s="42">
        <f ca="1">IF(AND(F522&lt;&gt;"", J522&lt;&gt;""), NETWORKDAYS(TODAY(), J522-1, FESTIVOS!A$1:A$55), "")</f>
        <v>-35</v>
      </c>
      <c r="J522" s="49">
        <f>IF(AND(F522&lt;&gt;"", H522&lt;&gt;""), WORKDAY(F522, H522, FESTIVOS!A$1:A$55), "")</f>
        <v>46134</v>
      </c>
      <c r="K522" s="75" t="s">
        <v>656</v>
      </c>
      <c r="L522" s="75">
        <f t="shared" ca="1" si="29"/>
        <v>0</v>
      </c>
      <c r="M522" s="75" t="str">
        <f t="shared" ca="1" si="30"/>
        <v>Vencido</v>
      </c>
      <c r="N522" s="75" t="s">
        <v>984</v>
      </c>
      <c r="O522" s="76">
        <v>46122</v>
      </c>
      <c r="P522" s="4" t="e">
        <f>IF(OR(O522="", J522=""), "", NETWORKDAYS(J522, O522,#REF!))</f>
        <v>#REF!</v>
      </c>
    </row>
    <row r="523" spans="1:16" ht="31.5" x14ac:dyDescent="0.25">
      <c r="A523" s="42" t="s">
        <v>18</v>
      </c>
      <c r="B523" s="12" t="s">
        <v>874</v>
      </c>
      <c r="C523" s="36" t="s">
        <v>59</v>
      </c>
      <c r="D523" s="44" t="s">
        <v>873</v>
      </c>
      <c r="E523" s="45">
        <v>522</v>
      </c>
      <c r="F523" s="46">
        <v>46111</v>
      </c>
      <c r="G523" s="42" t="s">
        <v>615</v>
      </c>
      <c r="H523" s="42">
        <f t="shared" si="28"/>
        <v>15</v>
      </c>
      <c r="I523" s="42">
        <f ca="1">IF(AND(F523&lt;&gt;"", J523&lt;&gt;""), NETWORKDAYS(TODAY(), J523-1, FESTIVOS!A$1:A$55), "")</f>
        <v>-35</v>
      </c>
      <c r="J523" s="11">
        <f>IF(AND(F523&lt;&gt;"", H523&lt;&gt;""), WORKDAY(F523, H523, FESTIVOS!A$1:A$55), "")</f>
        <v>46134</v>
      </c>
      <c r="K523" s="42" t="s">
        <v>656</v>
      </c>
      <c r="L523" s="42">
        <f t="shared" ca="1" si="29"/>
        <v>0</v>
      </c>
      <c r="M523" s="42" t="str">
        <f t="shared" ca="1" si="30"/>
        <v>Vencido</v>
      </c>
      <c r="N523" s="42"/>
      <c r="O523" s="42"/>
      <c r="P523" s="4" t="str">
        <f>IF(OR(O523="", J523=""), "", NETWORKDAYS(J523, O523,#REF!))</f>
        <v/>
      </c>
    </row>
    <row r="524" spans="1:16" ht="15.75" x14ac:dyDescent="0.25">
      <c r="A524" s="42" t="s">
        <v>18</v>
      </c>
      <c r="B524" s="12" t="s">
        <v>826</v>
      </c>
      <c r="C524" s="36" t="s">
        <v>84</v>
      </c>
      <c r="D524" s="44" t="s">
        <v>39</v>
      </c>
      <c r="E524" s="45">
        <v>523</v>
      </c>
      <c r="F524" s="46">
        <v>46111</v>
      </c>
      <c r="G524" s="42" t="s">
        <v>615</v>
      </c>
      <c r="H524" s="42">
        <f t="shared" si="28"/>
        <v>15</v>
      </c>
      <c r="I524" s="42">
        <f ca="1">IF(AND(F524&lt;&gt;"", J524&lt;&gt;""), NETWORKDAYS(TODAY(), J524-1, FESTIVOS!A$1:A$55), "")</f>
        <v>-35</v>
      </c>
      <c r="J524" s="11">
        <f>IF(AND(F524&lt;&gt;"", H524&lt;&gt;""), WORKDAY(F524, H524, FESTIVOS!A$1:A$55), "")</f>
        <v>46134</v>
      </c>
      <c r="K524" s="42" t="s">
        <v>656</v>
      </c>
      <c r="L524" s="42">
        <f t="shared" ca="1" si="29"/>
        <v>0</v>
      </c>
      <c r="M524" s="42" t="str">
        <f t="shared" ca="1" si="30"/>
        <v>Vencido</v>
      </c>
      <c r="N524" s="42"/>
      <c r="O524" s="42"/>
      <c r="P524" s="4" t="str">
        <f>IF(OR(O524="", J524=""), "", NETWORKDAYS(J524, O524,#REF!))</f>
        <v/>
      </c>
    </row>
    <row r="525" spans="1:16" ht="15.75" x14ac:dyDescent="0.25">
      <c r="A525" s="42" t="s">
        <v>18</v>
      </c>
      <c r="B525" s="12" t="s">
        <v>826</v>
      </c>
      <c r="C525" s="36" t="s">
        <v>84</v>
      </c>
      <c r="D525" s="44" t="s">
        <v>39</v>
      </c>
      <c r="E525" s="45">
        <v>524</v>
      </c>
      <c r="F525" s="46">
        <v>46111</v>
      </c>
      <c r="G525" s="42" t="s">
        <v>615</v>
      </c>
      <c r="H525" s="42">
        <f t="shared" si="28"/>
        <v>15</v>
      </c>
      <c r="I525" s="42">
        <f ca="1">IF(AND(F525&lt;&gt;"", J525&lt;&gt;""), NETWORKDAYS(TODAY(), J525-1, FESTIVOS!A$1:A$55), "")</f>
        <v>-35</v>
      </c>
      <c r="J525" s="43">
        <f>IF(AND(F525&lt;&gt;"", H525&lt;&gt;""), WORKDAY(F525, H525, FESTIVOS!A$1:A$55), "")</f>
        <v>46134</v>
      </c>
      <c r="K525" s="42" t="s">
        <v>656</v>
      </c>
      <c r="L525" s="42">
        <f t="shared" ca="1" si="29"/>
        <v>0</v>
      </c>
      <c r="M525" s="42" t="str">
        <f t="shared" ca="1" si="30"/>
        <v>Vencido</v>
      </c>
      <c r="N525" s="42"/>
      <c r="O525" s="42"/>
      <c r="P525" s="4" t="str">
        <f>IF(OR(O525="", J525=""), "", NETWORKDAYS(J525, O525,#REF!))</f>
        <v/>
      </c>
    </row>
    <row r="526" spans="1:16" ht="15.75" x14ac:dyDescent="0.25">
      <c r="A526" s="42" t="s">
        <v>18</v>
      </c>
      <c r="B526" s="12" t="s">
        <v>826</v>
      </c>
      <c r="C526" s="36" t="s">
        <v>84</v>
      </c>
      <c r="D526" s="44" t="s">
        <v>39</v>
      </c>
      <c r="E526" s="45">
        <v>525</v>
      </c>
      <c r="F526" s="46">
        <v>46111</v>
      </c>
      <c r="G526" s="42" t="s">
        <v>615</v>
      </c>
      <c r="H526" s="42">
        <f t="shared" si="28"/>
        <v>15</v>
      </c>
      <c r="I526" s="42">
        <f ca="1">IF(AND(F526&lt;&gt;"", J526&lt;&gt;""), NETWORKDAYS(TODAY(), J526-1, FESTIVOS!A$1:A$55), "")</f>
        <v>-35</v>
      </c>
      <c r="J526" s="43">
        <f>IF(AND(F526&lt;&gt;"", H526&lt;&gt;""), WORKDAY(F526, H526, FESTIVOS!A$1:A$55), "")</f>
        <v>46134</v>
      </c>
      <c r="K526" s="42" t="s">
        <v>656</v>
      </c>
      <c r="L526" s="42">
        <f t="shared" ca="1" si="29"/>
        <v>0</v>
      </c>
      <c r="M526" s="42" t="str">
        <f t="shared" ca="1" si="30"/>
        <v>Vencido</v>
      </c>
      <c r="N526" s="42"/>
      <c r="O526" s="42"/>
      <c r="P526" s="4" t="str">
        <f>IF(OR(O526="", J526=""), "", NETWORKDAYS(J526, O526,#REF!))</f>
        <v/>
      </c>
    </row>
    <row r="527" spans="1:16" ht="15.75" x14ac:dyDescent="0.25">
      <c r="A527" s="42" t="s">
        <v>18</v>
      </c>
      <c r="B527" s="12" t="s">
        <v>872</v>
      </c>
      <c r="C527" s="36" t="s">
        <v>59</v>
      </c>
      <c r="D527" s="44" t="s">
        <v>871</v>
      </c>
      <c r="E527" s="45">
        <v>526</v>
      </c>
      <c r="F527" s="46">
        <v>46111</v>
      </c>
      <c r="G527" s="42" t="s">
        <v>617</v>
      </c>
      <c r="H527" s="42">
        <f t="shared" si="28"/>
        <v>15</v>
      </c>
      <c r="I527" s="42">
        <f ca="1">IF(AND(F527&lt;&gt;"", J527&lt;&gt;""), NETWORKDAYS(TODAY(), J527-1, FESTIVOS!A$1:A$55), "")</f>
        <v>-35</v>
      </c>
      <c r="J527" s="43">
        <f>IF(AND(F527&lt;&gt;"", H527&lt;&gt;""), WORKDAY(F527, H527, FESTIVOS!A$1:A$55), "")</f>
        <v>46134</v>
      </c>
      <c r="K527" s="42" t="s">
        <v>656</v>
      </c>
      <c r="L527" s="42">
        <f t="shared" ca="1" si="29"/>
        <v>0</v>
      </c>
      <c r="M527" s="42" t="str">
        <f t="shared" ca="1" si="30"/>
        <v>Vencido</v>
      </c>
      <c r="N527" s="42"/>
      <c r="O527" s="42"/>
      <c r="P527" s="4" t="str">
        <f>IF(OR(O527="", J527=""), "", NETWORKDAYS(J527, O527,#REF!))</f>
        <v/>
      </c>
    </row>
    <row r="528" spans="1:16" ht="15.75" x14ac:dyDescent="0.25">
      <c r="A528" s="42" t="s">
        <v>18</v>
      </c>
      <c r="B528" s="12" t="s">
        <v>869</v>
      </c>
      <c r="C528" s="36" t="s">
        <v>59</v>
      </c>
      <c r="D528" s="44" t="s">
        <v>800</v>
      </c>
      <c r="E528" s="45">
        <v>527</v>
      </c>
      <c r="F528" s="46">
        <v>46111</v>
      </c>
      <c r="G528" s="42" t="s">
        <v>646</v>
      </c>
      <c r="H528" s="42">
        <f t="shared" si="28"/>
        <v>15</v>
      </c>
      <c r="I528" s="42">
        <f ca="1">IF(AND(F528&lt;&gt;"", J528&lt;&gt;""), NETWORKDAYS(TODAY(), J528-1, FESTIVOS!A$1:A$55), "")</f>
        <v>-35</v>
      </c>
      <c r="J528" s="91">
        <f>IF(AND(F528&lt;&gt;"", H528&lt;&gt;""), WORKDAY(F528, H528, FESTIVOS!A$1:A$55), "")</f>
        <v>46134</v>
      </c>
      <c r="K528" s="73" t="s">
        <v>656</v>
      </c>
      <c r="L528" s="73">
        <f t="shared" ca="1" si="29"/>
        <v>0</v>
      </c>
      <c r="M528" s="73" t="str">
        <f t="shared" ca="1" si="30"/>
        <v>Vencido</v>
      </c>
      <c r="N528" s="73" t="s">
        <v>1020</v>
      </c>
      <c r="O528" s="91">
        <v>46113</v>
      </c>
      <c r="P528" s="4" t="e">
        <f>IF(OR(O528="", J528=""), "", NETWORKDAYS(J528, O528,#REF!))</f>
        <v>#REF!</v>
      </c>
    </row>
    <row r="529" spans="1:16" ht="15.75" x14ac:dyDescent="0.25">
      <c r="A529" s="42" t="s">
        <v>18</v>
      </c>
      <c r="B529" s="12" t="s">
        <v>868</v>
      </c>
      <c r="C529" s="36" t="s">
        <v>59</v>
      </c>
      <c r="D529" s="44" t="s">
        <v>870</v>
      </c>
      <c r="E529" s="45">
        <v>528</v>
      </c>
      <c r="F529" s="46">
        <v>46112</v>
      </c>
      <c r="G529" s="42" t="s">
        <v>614</v>
      </c>
      <c r="H529" s="42">
        <f t="shared" si="28"/>
        <v>15</v>
      </c>
      <c r="I529" s="42">
        <f ca="1">IF(AND(F529&lt;&gt;"", J529&lt;&gt;""), NETWORKDAYS(TODAY(), J529-1, FESTIVOS!A$1:A$55), "")</f>
        <v>-34</v>
      </c>
      <c r="J529" s="90">
        <f>IF(AND(F529&lt;&gt;"", H529&lt;&gt;""), WORKDAY(F529, H529, FESTIVOS!A$1:A$55), "")</f>
        <v>46135</v>
      </c>
      <c r="K529" s="89" t="s">
        <v>656</v>
      </c>
      <c r="L529" s="89">
        <f t="shared" ca="1" si="29"/>
        <v>0</v>
      </c>
      <c r="M529" s="89" t="str">
        <f t="shared" ca="1" si="30"/>
        <v>Vencido</v>
      </c>
      <c r="N529" s="89" t="s">
        <v>1021</v>
      </c>
      <c r="O529" s="90">
        <v>46113</v>
      </c>
      <c r="P529" s="4" t="e">
        <f>IF(OR(O529="", J529=""), "", NETWORKDAYS(J529, O529,#REF!))</f>
        <v>#REF!</v>
      </c>
    </row>
    <row r="530" spans="1:16" ht="15.75" x14ac:dyDescent="0.25">
      <c r="A530" s="42" t="s">
        <v>18</v>
      </c>
      <c r="B530" s="12" t="s">
        <v>867</v>
      </c>
      <c r="C530" s="36" t="s">
        <v>59</v>
      </c>
      <c r="D530" s="44" t="s">
        <v>866</v>
      </c>
      <c r="E530" s="45">
        <v>529</v>
      </c>
      <c r="F530" s="46">
        <v>46112</v>
      </c>
      <c r="G530" s="42" t="s">
        <v>615</v>
      </c>
      <c r="H530" s="42">
        <f t="shared" si="28"/>
        <v>15</v>
      </c>
      <c r="I530" s="42">
        <f ca="1">IF(AND(F530&lt;&gt;"", J530&lt;&gt;""), NETWORKDAYS(TODAY(), J530-1, FESTIVOS!A$1:A$55), "")</f>
        <v>-34</v>
      </c>
      <c r="J530" s="76">
        <f>IF(AND(F530&lt;&gt;"", H530&lt;&gt;""), WORKDAY(F530, H530, FESTIVOS!A$1:A$55), "")</f>
        <v>46135</v>
      </c>
      <c r="K530" s="75" t="s">
        <v>656</v>
      </c>
      <c r="L530" s="75">
        <f t="shared" ca="1" si="29"/>
        <v>0</v>
      </c>
      <c r="M530" s="75" t="str">
        <f t="shared" ca="1" si="30"/>
        <v>Vencido</v>
      </c>
      <c r="N530" s="75" t="s">
        <v>1022</v>
      </c>
      <c r="O530" s="76">
        <v>46119</v>
      </c>
      <c r="P530" s="4" t="e">
        <f>IF(OR(O530="", J530=""), "", NETWORKDAYS(J530, O530,#REF!))</f>
        <v>#REF!</v>
      </c>
    </row>
    <row r="531" spans="1:16" ht="15.75" x14ac:dyDescent="0.25">
      <c r="A531" s="42" t="s">
        <v>18</v>
      </c>
      <c r="B531" s="12" t="s">
        <v>865</v>
      </c>
      <c r="C531" s="36" t="s">
        <v>59</v>
      </c>
      <c r="D531" s="44" t="s">
        <v>52</v>
      </c>
      <c r="E531" s="45">
        <v>530</v>
      </c>
      <c r="F531" s="46">
        <v>46112</v>
      </c>
      <c r="G531" s="42" t="s">
        <v>615</v>
      </c>
      <c r="H531" s="42">
        <f t="shared" si="28"/>
        <v>15</v>
      </c>
      <c r="I531" s="42">
        <f ca="1">IF(AND(F531&lt;&gt;"", J531&lt;&gt;""), NETWORKDAYS(TODAY(), J531-1, FESTIVOS!A$1:A$55), "")</f>
        <v>-34</v>
      </c>
      <c r="J531" s="76">
        <f>IF(AND(F531&lt;&gt;"", H531&lt;&gt;""), WORKDAY(F531, H531, FESTIVOS!A$1:A$55), "")</f>
        <v>46135</v>
      </c>
      <c r="K531" s="75" t="s">
        <v>656</v>
      </c>
      <c r="L531" s="75">
        <f t="shared" ca="1" si="29"/>
        <v>0</v>
      </c>
      <c r="M531" s="75" t="str">
        <f t="shared" ca="1" si="30"/>
        <v>Vencido</v>
      </c>
      <c r="N531" s="75" t="s">
        <v>1023</v>
      </c>
      <c r="O531" s="76">
        <v>46120</v>
      </c>
      <c r="P531" s="4" t="e">
        <f>IF(OR(O531="", J531=""), "", NETWORKDAYS(J531, O531,#REF!))</f>
        <v>#REF!</v>
      </c>
    </row>
    <row r="532" spans="1:16" ht="15.75" x14ac:dyDescent="0.25">
      <c r="A532" s="42" t="s">
        <v>18</v>
      </c>
      <c r="B532" s="12" t="s">
        <v>864</v>
      </c>
      <c r="C532" s="36" t="s">
        <v>59</v>
      </c>
      <c r="D532" s="44" t="s">
        <v>118</v>
      </c>
      <c r="E532" s="45">
        <v>531</v>
      </c>
      <c r="F532" s="46">
        <v>46112</v>
      </c>
      <c r="G532" s="42" t="s">
        <v>614</v>
      </c>
      <c r="H532" s="42">
        <f t="shared" si="28"/>
        <v>15</v>
      </c>
      <c r="I532" s="42">
        <f ca="1">IF(AND(F532&lt;&gt;"", J532&lt;&gt;""), NETWORKDAYS(TODAY(), J532-1, FESTIVOS!A$1:A$55), "")</f>
        <v>-34</v>
      </c>
      <c r="J532" s="90">
        <f>IF(AND(F532&lt;&gt;"", H532&lt;&gt;""), WORKDAY(F532, H532, FESTIVOS!A$1:A$55), "")</f>
        <v>46135</v>
      </c>
      <c r="K532" s="89" t="s">
        <v>656</v>
      </c>
      <c r="L532" s="89">
        <f t="shared" ca="1" si="29"/>
        <v>0</v>
      </c>
      <c r="M532" s="89" t="str">
        <f t="shared" ca="1" si="30"/>
        <v>Vencido</v>
      </c>
      <c r="N532" s="89" t="s">
        <v>1024</v>
      </c>
      <c r="O532" s="90">
        <v>46121</v>
      </c>
      <c r="P532" s="4" t="e">
        <f>IF(OR(O532="", J532=""), "", NETWORKDAYS(J532, O532,#REF!))</f>
        <v>#REF!</v>
      </c>
    </row>
    <row r="533" spans="1:16" ht="15.75" x14ac:dyDescent="0.25">
      <c r="A533" s="42" t="s">
        <v>18</v>
      </c>
      <c r="B533" s="12" t="s">
        <v>351</v>
      </c>
      <c r="C533" s="36" t="s">
        <v>59</v>
      </c>
      <c r="D533" s="44" t="s">
        <v>863</v>
      </c>
      <c r="E533" s="45">
        <v>532</v>
      </c>
      <c r="F533" s="46">
        <v>46112</v>
      </c>
      <c r="G533" s="42" t="s">
        <v>615</v>
      </c>
      <c r="H533" s="42">
        <f t="shared" si="28"/>
        <v>15</v>
      </c>
      <c r="I533" s="42">
        <f ca="1">IF(AND(F533&lt;&gt;"", J533&lt;&gt;""), NETWORKDAYS(TODAY(), J533-1, FESTIVOS!A$1:A$55), "")</f>
        <v>-34</v>
      </c>
      <c r="J533" s="43">
        <f>IF(AND(F533&lt;&gt;"", H533&lt;&gt;""), WORKDAY(F533, H533, FESTIVOS!A$1:A$55), "")</f>
        <v>46135</v>
      </c>
      <c r="K533" s="42" t="s">
        <v>656</v>
      </c>
      <c r="L533" s="42">
        <f t="shared" ca="1" si="29"/>
        <v>0</v>
      </c>
      <c r="M533" s="42" t="str">
        <f t="shared" ca="1" si="30"/>
        <v>Vencido</v>
      </c>
      <c r="N533" s="42"/>
      <c r="O533" s="42"/>
      <c r="P533" s="4" t="str">
        <f>IF(OR(O533="", J533=""), "", NETWORKDAYS(J533, O533,#REF!))</f>
        <v/>
      </c>
    </row>
    <row r="534" spans="1:16" ht="15.75" x14ac:dyDescent="0.25">
      <c r="A534" s="42" t="s">
        <v>18</v>
      </c>
      <c r="B534" s="12" t="s">
        <v>862</v>
      </c>
      <c r="C534" s="36" t="s">
        <v>59</v>
      </c>
      <c r="D534" s="44" t="s">
        <v>30</v>
      </c>
      <c r="E534" s="45">
        <v>533</v>
      </c>
      <c r="F534" s="46">
        <v>46112</v>
      </c>
      <c r="G534" s="42" t="s">
        <v>615</v>
      </c>
      <c r="H534" s="42">
        <f t="shared" si="28"/>
        <v>15</v>
      </c>
      <c r="I534" s="42">
        <f ca="1">IF(AND(F534&lt;&gt;"", J534&lt;&gt;""), NETWORKDAYS(TODAY(), J534-1, FESTIVOS!A$1:A$55), "")</f>
        <v>-34</v>
      </c>
      <c r="J534" s="76">
        <f>IF(AND(F534&lt;&gt;"", H534&lt;&gt;""), WORKDAY(F534, H534, FESTIVOS!A$1:A$55), "")</f>
        <v>46135</v>
      </c>
      <c r="K534" s="75" t="s">
        <v>656</v>
      </c>
      <c r="L534" s="75">
        <f t="shared" ca="1" si="29"/>
        <v>0</v>
      </c>
      <c r="M534" s="75" t="str">
        <f t="shared" ca="1" si="30"/>
        <v>Vencido</v>
      </c>
      <c r="N534" s="75" t="s">
        <v>1025</v>
      </c>
      <c r="O534" s="76">
        <v>46121</v>
      </c>
      <c r="P534" s="4" t="e">
        <f>IF(OR(O534="", J534=""), "", NETWORKDAYS(J534, O534,#REF!))</f>
        <v>#REF!</v>
      </c>
    </row>
    <row r="535" spans="1:16" ht="15.75" x14ac:dyDescent="0.25">
      <c r="A535" s="42" t="s">
        <v>18</v>
      </c>
      <c r="B535" s="12" t="s">
        <v>861</v>
      </c>
      <c r="C535" s="36" t="s">
        <v>59</v>
      </c>
      <c r="D535" s="44" t="s">
        <v>30</v>
      </c>
      <c r="E535" s="45">
        <v>534</v>
      </c>
      <c r="F535" s="46">
        <v>46112</v>
      </c>
      <c r="G535" s="42" t="s">
        <v>615</v>
      </c>
      <c r="H535" s="42">
        <f t="shared" si="28"/>
        <v>15</v>
      </c>
      <c r="I535" s="42">
        <f ca="1">IF(AND(F535&lt;&gt;"", J535&lt;&gt;""), NETWORKDAYS(TODAY(), J535-1, FESTIVOS!A$1:A$55), "")</f>
        <v>-34</v>
      </c>
      <c r="J535" s="76">
        <f>IF(AND(F535&lt;&gt;"", H535&lt;&gt;""), WORKDAY(F535, H535, FESTIVOS!A$1:A$55), "")</f>
        <v>46135</v>
      </c>
      <c r="K535" s="75" t="s">
        <v>656</v>
      </c>
      <c r="L535" s="75">
        <f t="shared" ca="1" si="29"/>
        <v>0</v>
      </c>
      <c r="M535" s="75" t="str">
        <f t="shared" ca="1" si="30"/>
        <v>Vencido</v>
      </c>
      <c r="N535" s="75" t="s">
        <v>1026</v>
      </c>
      <c r="O535" s="76">
        <v>46121</v>
      </c>
      <c r="P535" s="4" t="e">
        <f>IF(OR(O535="", J535=""), "", NETWORKDAYS(J535, O535,#REF!))</f>
        <v>#REF!</v>
      </c>
    </row>
    <row r="536" spans="1:16" ht="31.5" x14ac:dyDescent="0.25">
      <c r="A536" s="42" t="s">
        <v>18</v>
      </c>
      <c r="B536" s="12" t="s">
        <v>859</v>
      </c>
      <c r="C536" s="36" t="s">
        <v>59</v>
      </c>
      <c r="D536" s="44" t="s">
        <v>860</v>
      </c>
      <c r="E536" s="45">
        <v>535</v>
      </c>
      <c r="F536" s="46">
        <v>46112</v>
      </c>
      <c r="G536" s="42" t="s">
        <v>615</v>
      </c>
      <c r="H536" s="42">
        <f t="shared" si="28"/>
        <v>15</v>
      </c>
      <c r="I536" s="42">
        <f ca="1">IF(AND(F536&lt;&gt;"", J536&lt;&gt;""), NETWORKDAYS(TODAY(), J536-1, FESTIVOS!A$1:A$55), "")</f>
        <v>-34</v>
      </c>
      <c r="J536" s="76">
        <f>IF(AND(F536&lt;&gt;"", H536&lt;&gt;""), WORKDAY(F536, H536, FESTIVOS!A$1:A$55), "")</f>
        <v>46135</v>
      </c>
      <c r="K536" s="75" t="s">
        <v>656</v>
      </c>
      <c r="L536" s="75">
        <f t="shared" ca="1" si="29"/>
        <v>0</v>
      </c>
      <c r="M536" s="75" t="str">
        <f t="shared" ca="1" si="30"/>
        <v>Vencido</v>
      </c>
      <c r="N536" s="75" t="s">
        <v>1027</v>
      </c>
      <c r="O536" s="76">
        <v>46120</v>
      </c>
      <c r="P536" s="4" t="e">
        <f>IF(OR(O536="", J536=""), "", NETWORKDAYS(J536, O536,#REF!))</f>
        <v>#REF!</v>
      </c>
    </row>
    <row r="537" spans="1:16" ht="15.75" x14ac:dyDescent="0.25">
      <c r="A537" s="42" t="s">
        <v>18</v>
      </c>
      <c r="B537" s="12" t="s">
        <v>826</v>
      </c>
      <c r="C537" s="36" t="s">
        <v>84</v>
      </c>
      <c r="D537" s="44" t="s">
        <v>39</v>
      </c>
      <c r="E537" s="45">
        <v>536</v>
      </c>
      <c r="F537" s="46">
        <v>46112</v>
      </c>
      <c r="G537" s="42" t="s">
        <v>615</v>
      </c>
      <c r="H537" s="42">
        <f t="shared" si="28"/>
        <v>15</v>
      </c>
      <c r="I537" s="42">
        <f ca="1">IF(AND(F537&lt;&gt;"", J537&lt;&gt;""), NETWORKDAYS(TODAY(), J537-1, FESTIVOS!A$1:A$55), "")</f>
        <v>-34</v>
      </c>
      <c r="J537" s="43">
        <f>IF(AND(F537&lt;&gt;"", H537&lt;&gt;""), WORKDAY(F537, H537, FESTIVOS!A$1:A$55), "")</f>
        <v>46135</v>
      </c>
      <c r="K537" s="42" t="s">
        <v>656</v>
      </c>
      <c r="L537" s="42">
        <f t="shared" ca="1" si="29"/>
        <v>0</v>
      </c>
      <c r="M537" s="42" t="str">
        <f t="shared" ca="1" si="30"/>
        <v>Vencido</v>
      </c>
      <c r="N537" s="42"/>
      <c r="O537" s="42"/>
      <c r="P537" s="4" t="str">
        <f>IF(OR(O537="", J537=""), "", NETWORKDAYS(J537, O537,#REF!))</f>
        <v/>
      </c>
    </row>
    <row r="538" spans="1:16" ht="31.5" x14ac:dyDescent="0.25">
      <c r="A538" s="42" t="s">
        <v>18</v>
      </c>
      <c r="B538" s="12" t="s">
        <v>77</v>
      </c>
      <c r="C538" s="36" t="s">
        <v>169</v>
      </c>
      <c r="D538" s="44" t="s">
        <v>858</v>
      </c>
      <c r="E538" s="45">
        <v>537</v>
      </c>
      <c r="F538" s="46">
        <v>46112</v>
      </c>
      <c r="G538" s="42" t="s">
        <v>615</v>
      </c>
      <c r="H538" s="42">
        <f t="shared" si="28"/>
        <v>15</v>
      </c>
      <c r="I538" s="42">
        <f ca="1">IF(AND(F538&lt;&gt;"", J538&lt;&gt;""), NETWORKDAYS(TODAY(), J538-1, FESTIVOS!A$1:A$55), "")</f>
        <v>-34</v>
      </c>
      <c r="J538" s="43">
        <f>IF(AND(F538&lt;&gt;"", H538&lt;&gt;""), WORKDAY(F538, H538, FESTIVOS!A$1:A$55), "")</f>
        <v>46135</v>
      </c>
      <c r="K538" s="42" t="s">
        <v>656</v>
      </c>
      <c r="L538" s="42">
        <f t="shared" ca="1" si="29"/>
        <v>0</v>
      </c>
      <c r="M538" s="42" t="str">
        <f t="shared" ca="1" si="30"/>
        <v>Vencido</v>
      </c>
      <c r="N538" s="42"/>
      <c r="O538" s="42"/>
      <c r="P538" s="4" t="str">
        <f>IF(OR(O538="", J538=""), "", NETWORKDAYS(J538, O538,#REF!))</f>
        <v/>
      </c>
    </row>
    <row r="539" spans="1:16" ht="15.75" x14ac:dyDescent="0.25">
      <c r="A539" s="42" t="s">
        <v>18</v>
      </c>
      <c r="B539" s="12" t="s">
        <v>56</v>
      </c>
      <c r="C539" s="36" t="s">
        <v>84</v>
      </c>
      <c r="D539" s="44" t="s">
        <v>45</v>
      </c>
      <c r="E539" s="45">
        <v>538</v>
      </c>
      <c r="F539" s="46">
        <v>46112</v>
      </c>
      <c r="G539" s="42" t="s">
        <v>615</v>
      </c>
      <c r="H539" s="42">
        <f t="shared" si="28"/>
        <v>15</v>
      </c>
      <c r="I539" s="42">
        <f ca="1">IF(AND(F539&lt;&gt;"", J539&lt;&gt;""), NETWORKDAYS(TODAY(), J539-1, FESTIVOS!A$1:A$55), "")</f>
        <v>-34</v>
      </c>
      <c r="J539" s="43">
        <f>IF(AND(F539&lt;&gt;"", H539&lt;&gt;""), WORKDAY(F539, H539, FESTIVOS!A$1:A$55), "")</f>
        <v>46135</v>
      </c>
      <c r="K539" s="42" t="s">
        <v>656</v>
      </c>
      <c r="L539" s="42">
        <f t="shared" ca="1" si="29"/>
        <v>0</v>
      </c>
      <c r="M539" s="42" t="str">
        <f t="shared" ca="1" si="30"/>
        <v>Vencido</v>
      </c>
      <c r="N539" s="42"/>
      <c r="O539" s="42"/>
      <c r="P539" s="4" t="str">
        <f>IF(OR(O539="", J539=""), "", NETWORKDAYS(J539, O539,#REF!))</f>
        <v/>
      </c>
    </row>
    <row r="540" spans="1:16" ht="15.75" x14ac:dyDescent="0.25">
      <c r="A540" s="42" t="s">
        <v>18</v>
      </c>
      <c r="B540" s="12" t="s">
        <v>857</v>
      </c>
      <c r="C540" s="36" t="s">
        <v>59</v>
      </c>
      <c r="D540" s="44" t="s">
        <v>24</v>
      </c>
      <c r="E540" s="45">
        <v>539</v>
      </c>
      <c r="F540" s="46">
        <v>46112</v>
      </c>
      <c r="G540" s="42" t="s">
        <v>617</v>
      </c>
      <c r="H540" s="42">
        <f t="shared" si="28"/>
        <v>15</v>
      </c>
      <c r="I540" s="42">
        <f ca="1">IF(AND(F540&lt;&gt;"", J540&lt;&gt;""), NETWORKDAYS(TODAY(), J540-1, FESTIVOS!A$1:A$55), "")</f>
        <v>-34</v>
      </c>
      <c r="J540" s="92">
        <f>IF(AND(F540&lt;&gt;"", H540&lt;&gt;""), WORKDAY(F540, H540, FESTIVOS!A$1:A$55), "")</f>
        <v>46135</v>
      </c>
      <c r="K540" s="93" t="s">
        <v>656</v>
      </c>
      <c r="L540" s="93">
        <f t="shared" ca="1" si="29"/>
        <v>0</v>
      </c>
      <c r="M540" s="93" t="str">
        <f t="shared" ca="1" si="30"/>
        <v>Vencido</v>
      </c>
      <c r="N540" s="93" t="s">
        <v>1028</v>
      </c>
      <c r="O540" s="92">
        <v>46120</v>
      </c>
      <c r="P540" s="4" t="e">
        <f>IF(OR(O540="", J540=""), "", NETWORKDAYS(J540, O540,#REF!))</f>
        <v>#REF!</v>
      </c>
    </row>
    <row r="541" spans="1:16" ht="63" x14ac:dyDescent="0.25">
      <c r="A541" s="42" t="s">
        <v>18</v>
      </c>
      <c r="B541" s="12" t="s">
        <v>566</v>
      </c>
      <c r="C541" s="36" t="s">
        <v>61</v>
      </c>
      <c r="D541" s="44" t="s">
        <v>856</v>
      </c>
      <c r="E541" s="45">
        <v>540</v>
      </c>
      <c r="F541" s="46">
        <v>46113</v>
      </c>
      <c r="G541" s="42" t="s">
        <v>615</v>
      </c>
      <c r="H541" s="42">
        <f t="shared" si="28"/>
        <v>15</v>
      </c>
      <c r="I541" s="42">
        <f ca="1">IF(AND(F541&lt;&gt;"", J541&lt;&gt;""), NETWORKDAYS(TODAY(), J541-1, FESTIVOS!A$1:A$55), "")</f>
        <v>-33</v>
      </c>
      <c r="J541" s="76">
        <f>IF(AND(F541&lt;&gt;"", H541&lt;&gt;""), WORKDAY(F541, H541, FESTIVOS!A$1:A$55), "")</f>
        <v>46136</v>
      </c>
      <c r="K541" s="75" t="s">
        <v>656</v>
      </c>
      <c r="L541" s="75">
        <f t="shared" ca="1" si="29"/>
        <v>0</v>
      </c>
      <c r="M541" s="75" t="str">
        <f t="shared" ca="1" si="30"/>
        <v>Vencido</v>
      </c>
      <c r="N541" s="75" t="s">
        <v>985</v>
      </c>
      <c r="O541" s="76">
        <v>46121</v>
      </c>
      <c r="P541" s="4" t="e">
        <f>IF(OR(O541="", J541=""), "", NETWORKDAYS(J541, O541,#REF!))</f>
        <v>#REF!</v>
      </c>
    </row>
    <row r="542" spans="1:16" ht="15.75" x14ac:dyDescent="0.25">
      <c r="A542" s="42" t="s">
        <v>18</v>
      </c>
      <c r="B542" s="12" t="s">
        <v>855</v>
      </c>
      <c r="C542" s="36" t="s">
        <v>61</v>
      </c>
      <c r="D542" s="44" t="s">
        <v>854</v>
      </c>
      <c r="E542" s="45">
        <v>541</v>
      </c>
      <c r="F542" s="46">
        <v>46113</v>
      </c>
      <c r="G542" s="42" t="s">
        <v>615</v>
      </c>
      <c r="H542" s="42">
        <f t="shared" si="28"/>
        <v>15</v>
      </c>
      <c r="I542" s="42">
        <f ca="1">IF(AND(F542&lt;&gt;"", J542&lt;&gt;""), NETWORKDAYS(TODAY(), J542-1, FESTIVOS!A$1:A$55), "")</f>
        <v>-33</v>
      </c>
      <c r="J542" s="76">
        <f>IF(AND(F542&lt;&gt;"", H542&lt;&gt;""), WORKDAY(F542, H542, FESTIVOS!A$1:A$55), "")</f>
        <v>46136</v>
      </c>
      <c r="K542" s="75" t="s">
        <v>656</v>
      </c>
      <c r="L542" s="75">
        <f t="shared" ca="1" si="29"/>
        <v>0</v>
      </c>
      <c r="M542" s="75" t="str">
        <f t="shared" ca="1" si="30"/>
        <v>Vencido</v>
      </c>
      <c r="N542" s="75" t="s">
        <v>979</v>
      </c>
      <c r="O542" s="76">
        <v>46126</v>
      </c>
      <c r="P542" s="4" t="e">
        <f>IF(OR(O542="", J542=""), "", NETWORKDAYS(J542, O542,#REF!))</f>
        <v>#REF!</v>
      </c>
    </row>
    <row r="543" spans="1:16" ht="15.75" x14ac:dyDescent="0.25">
      <c r="A543" s="42" t="s">
        <v>18</v>
      </c>
      <c r="B543" s="12" t="s">
        <v>853</v>
      </c>
      <c r="C543" s="36" t="s">
        <v>852</v>
      </c>
      <c r="D543" s="44" t="s">
        <v>851</v>
      </c>
      <c r="E543" s="45">
        <v>542</v>
      </c>
      <c r="F543" s="46">
        <v>46113</v>
      </c>
      <c r="G543" s="42" t="s">
        <v>615</v>
      </c>
      <c r="H543" s="42">
        <f t="shared" si="28"/>
        <v>15</v>
      </c>
      <c r="I543" s="42">
        <f ca="1">IF(AND(F543&lt;&gt;"", J543&lt;&gt;""), NETWORKDAYS(TODAY(), J543-1, FESTIVOS!A$1:A$55), "")</f>
        <v>-33</v>
      </c>
      <c r="J543" s="43">
        <f>IF(AND(F543&lt;&gt;"", H543&lt;&gt;""), WORKDAY(F543, H543, FESTIVOS!A$1:A$55), "")</f>
        <v>46136</v>
      </c>
      <c r="K543" s="42" t="s">
        <v>656</v>
      </c>
      <c r="L543" s="42">
        <f t="shared" ca="1" si="29"/>
        <v>0</v>
      </c>
      <c r="M543" s="42" t="str">
        <f t="shared" ca="1" si="30"/>
        <v>Vencido</v>
      </c>
      <c r="N543" s="42"/>
      <c r="O543" s="42"/>
      <c r="P543" s="4" t="str">
        <f>IF(OR(O543="", J543=""), "", NETWORKDAYS(J543, O543,#REF!))</f>
        <v/>
      </c>
    </row>
    <row r="544" spans="1:16" ht="15.75" x14ac:dyDescent="0.25">
      <c r="A544" s="42" t="s">
        <v>18</v>
      </c>
      <c r="B544" s="36" t="s">
        <v>1036</v>
      </c>
      <c r="C544" s="18" t="s">
        <v>88</v>
      </c>
      <c r="D544" s="44" t="s">
        <v>1033</v>
      </c>
      <c r="E544" s="45">
        <v>543</v>
      </c>
      <c r="F544" s="46">
        <v>46118</v>
      </c>
      <c r="G544" s="10" t="s">
        <v>615</v>
      </c>
      <c r="H544" s="42">
        <f t="shared" si="28"/>
        <v>15</v>
      </c>
      <c r="I544" s="42">
        <f ca="1">IF(AND(F544&lt;&gt;"", J544&lt;&gt;""), NETWORKDAYS(TODAY(), J544-1, FESTIVOS!A$1:A$55), "")</f>
        <v>-31</v>
      </c>
      <c r="J544" s="43">
        <f>IF(AND(F544&lt;&gt;"", H544&lt;&gt;""), WORKDAY(F544, H544, FESTIVOS!A$1:A$55), "")</f>
        <v>46139</v>
      </c>
      <c r="K544" s="42" t="s">
        <v>656</v>
      </c>
      <c r="L544" s="42">
        <f t="shared" ca="1" si="29"/>
        <v>0</v>
      </c>
      <c r="M544" s="42" t="str">
        <f t="shared" ca="1" si="30"/>
        <v>Vencido</v>
      </c>
      <c r="N544" s="42"/>
      <c r="O544" s="42"/>
      <c r="P544" s="4" t="str">
        <f>IF(OR(O544="", J544=""), "", NETWORKDAYS(J544, O544,#REF!))</f>
        <v/>
      </c>
    </row>
    <row r="545" spans="1:16" ht="15.75" x14ac:dyDescent="0.25">
      <c r="A545" s="42" t="s">
        <v>18</v>
      </c>
      <c r="B545" s="12" t="s">
        <v>850</v>
      </c>
      <c r="C545" s="36" t="s">
        <v>59</v>
      </c>
      <c r="D545" s="44" t="s">
        <v>24</v>
      </c>
      <c r="E545" s="45">
        <v>544</v>
      </c>
      <c r="F545" s="46">
        <v>46118</v>
      </c>
      <c r="G545" s="42" t="s">
        <v>614</v>
      </c>
      <c r="H545" s="42">
        <f t="shared" si="28"/>
        <v>15</v>
      </c>
      <c r="I545" s="42">
        <f ca="1">IF(AND(F545&lt;&gt;"", J545&lt;&gt;""), NETWORKDAYS(TODAY(), J545-1, FESTIVOS!A$1:A$55), "")</f>
        <v>-31</v>
      </c>
      <c r="J545" s="43">
        <f>IF(AND(F545&lt;&gt;"", H545&lt;&gt;""), WORKDAY(F545, H545, FESTIVOS!A$1:A$55), "")</f>
        <v>46139</v>
      </c>
      <c r="K545" s="42" t="s">
        <v>656</v>
      </c>
      <c r="L545" s="42">
        <f t="shared" ca="1" si="29"/>
        <v>0</v>
      </c>
      <c r="M545" s="42" t="str">
        <f t="shared" ca="1" si="30"/>
        <v>Vencido</v>
      </c>
      <c r="N545" s="42"/>
      <c r="O545" s="42"/>
      <c r="P545" s="4" t="str">
        <f>IF(OR(O545="", J545=""), "", NETWORKDAYS(J545, O545,#REF!))</f>
        <v/>
      </c>
    </row>
    <row r="546" spans="1:16" ht="31.5" x14ac:dyDescent="0.25">
      <c r="A546" s="42" t="s">
        <v>18</v>
      </c>
      <c r="B546" s="12" t="s">
        <v>813</v>
      </c>
      <c r="C546" s="36" t="s">
        <v>59</v>
      </c>
      <c r="D546" s="44" t="s">
        <v>832</v>
      </c>
      <c r="E546" s="45">
        <v>545</v>
      </c>
      <c r="F546" s="46">
        <v>46118</v>
      </c>
      <c r="G546" s="42" t="s">
        <v>615</v>
      </c>
      <c r="H546" s="42">
        <f t="shared" si="28"/>
        <v>15</v>
      </c>
      <c r="I546" s="42">
        <f ca="1">IF(AND(F546&lt;&gt;"", J546&lt;&gt;""), NETWORKDAYS(TODAY(), J546-1, FESTIVOS!A$1:A$55), "")</f>
        <v>-31</v>
      </c>
      <c r="J546" s="76">
        <f>IF(AND(F546&lt;&gt;"", H546&lt;&gt;""), WORKDAY(F546, H546, FESTIVOS!A$1:A$55), "")</f>
        <v>46139</v>
      </c>
      <c r="K546" s="75" t="s">
        <v>656</v>
      </c>
      <c r="L546" s="75">
        <f t="shared" ca="1" si="29"/>
        <v>0</v>
      </c>
      <c r="M546" s="75" t="str">
        <f t="shared" ca="1" si="30"/>
        <v>Vencido</v>
      </c>
      <c r="N546" s="75" t="s">
        <v>977</v>
      </c>
      <c r="O546" s="76">
        <v>46126</v>
      </c>
      <c r="P546" s="4" t="e">
        <f>IF(OR(O546="", J546=""), "", NETWORKDAYS(J546, O546,#REF!))</f>
        <v>#REF!</v>
      </c>
    </row>
    <row r="547" spans="1:16" ht="15.75" x14ac:dyDescent="0.25">
      <c r="A547" s="42" t="s">
        <v>18</v>
      </c>
      <c r="B547" s="12" t="s">
        <v>849</v>
      </c>
      <c r="C547" s="36" t="s">
        <v>59</v>
      </c>
      <c r="D547" s="44" t="s">
        <v>661</v>
      </c>
      <c r="E547" s="45">
        <v>546</v>
      </c>
      <c r="F547" s="46">
        <v>46118</v>
      </c>
      <c r="G547" s="42" t="s">
        <v>615</v>
      </c>
      <c r="H547" s="42">
        <f t="shared" si="28"/>
        <v>15</v>
      </c>
      <c r="I547" s="42">
        <f ca="1">IF(AND(F547&lt;&gt;"", J547&lt;&gt;""), NETWORKDAYS(TODAY(), J547-1, FESTIVOS!A$1:A$55), "")</f>
        <v>-31</v>
      </c>
      <c r="J547" s="43">
        <f>IF(AND(F547&lt;&gt;"", H547&lt;&gt;""), WORKDAY(F547, H547, FESTIVOS!A$1:A$55), "")</f>
        <v>46139</v>
      </c>
      <c r="K547" s="42" t="s">
        <v>656</v>
      </c>
      <c r="L547" s="42">
        <f t="shared" ca="1" si="29"/>
        <v>0</v>
      </c>
      <c r="M547" s="42" t="str">
        <f t="shared" ca="1" si="30"/>
        <v>Vencido</v>
      </c>
      <c r="N547" s="42"/>
      <c r="O547" s="42"/>
      <c r="P547" s="4" t="str">
        <f>IF(OR(O547="", J547=""), "", NETWORKDAYS(J547, O547,#REF!))</f>
        <v/>
      </c>
    </row>
    <row r="548" spans="1:16" ht="47.25" x14ac:dyDescent="0.25">
      <c r="A548" s="42" t="s">
        <v>18</v>
      </c>
      <c r="B548" s="12" t="s">
        <v>847</v>
      </c>
      <c r="C548" s="36" t="s">
        <v>59</v>
      </c>
      <c r="D548" s="44" t="s">
        <v>848</v>
      </c>
      <c r="E548" s="45">
        <v>547</v>
      </c>
      <c r="F548" s="46">
        <v>46118</v>
      </c>
      <c r="G548" s="42" t="s">
        <v>615</v>
      </c>
      <c r="H548" s="42">
        <f t="shared" si="28"/>
        <v>15</v>
      </c>
      <c r="I548" s="42">
        <f ca="1">IF(AND(F548&lt;&gt;"", J548&lt;&gt;""), NETWORKDAYS(TODAY(), J548-1, FESTIVOS!A$1:A$55), "")</f>
        <v>-31</v>
      </c>
      <c r="J548" s="76">
        <f>IF(AND(F548&lt;&gt;"", H548&lt;&gt;""), WORKDAY(F548, H548, FESTIVOS!A$1:A$55), "")</f>
        <v>46139</v>
      </c>
      <c r="K548" s="75" t="s">
        <v>656</v>
      </c>
      <c r="L548" s="75">
        <f t="shared" ca="1" si="29"/>
        <v>0</v>
      </c>
      <c r="M548" s="75" t="str">
        <f t="shared" ca="1" si="30"/>
        <v>Vencido</v>
      </c>
      <c r="N548" s="75" t="s">
        <v>983</v>
      </c>
      <c r="O548" s="76">
        <v>46125</v>
      </c>
      <c r="P548" s="86" t="e">
        <f>IF(OR(O548="", J548=""), "", NETWORKDAYS(J548, O548,#REF!))</f>
        <v>#REF!</v>
      </c>
    </row>
    <row r="549" spans="1:16" ht="15.75" x14ac:dyDescent="0.25">
      <c r="A549" s="42" t="s">
        <v>18</v>
      </c>
      <c r="B549" s="12" t="s">
        <v>247</v>
      </c>
      <c r="C549" s="36" t="s">
        <v>59</v>
      </c>
      <c r="D549" s="44" t="s">
        <v>640</v>
      </c>
      <c r="E549" s="45">
        <v>548</v>
      </c>
      <c r="F549" s="46">
        <v>46118</v>
      </c>
      <c r="G549" s="42" t="s">
        <v>615</v>
      </c>
      <c r="H549" s="42">
        <f t="shared" si="28"/>
        <v>15</v>
      </c>
      <c r="I549" s="42">
        <f ca="1">IF(AND(F549&lt;&gt;"", J549&lt;&gt;""), NETWORKDAYS(TODAY(), J549-1, FESTIVOS!A$1:A$55), "")</f>
        <v>-31</v>
      </c>
      <c r="J549" s="43">
        <f>IF(AND(F549&lt;&gt;"", H549&lt;&gt;""), WORKDAY(F549, H549, FESTIVOS!A$1:A$55), "")</f>
        <v>46139</v>
      </c>
      <c r="K549" s="42" t="s">
        <v>656</v>
      </c>
      <c r="L549" s="42">
        <f t="shared" ca="1" si="29"/>
        <v>0</v>
      </c>
      <c r="M549" s="42" t="str">
        <f t="shared" ca="1" si="30"/>
        <v>Vencido</v>
      </c>
      <c r="N549" s="42"/>
      <c r="O549" s="42"/>
      <c r="P549" s="4" t="str">
        <f>IF(OR(O549="", J549=""), "", NETWORKDAYS(J549, O549,#REF!))</f>
        <v/>
      </c>
    </row>
    <row r="550" spans="1:16" ht="31.5" x14ac:dyDescent="0.25">
      <c r="A550" s="42" t="s">
        <v>18</v>
      </c>
      <c r="B550" s="12" t="s">
        <v>846</v>
      </c>
      <c r="C550" s="36" t="s">
        <v>59</v>
      </c>
      <c r="D550" s="44" t="s">
        <v>845</v>
      </c>
      <c r="E550" s="45">
        <v>549</v>
      </c>
      <c r="F550" s="46">
        <v>46118</v>
      </c>
      <c r="G550" s="42" t="s">
        <v>615</v>
      </c>
      <c r="H550" s="42">
        <f t="shared" si="28"/>
        <v>15</v>
      </c>
      <c r="I550" s="42">
        <f ca="1">IF(AND(F550&lt;&gt;"", J550&lt;&gt;""), NETWORKDAYS(TODAY(), J550-1, FESTIVOS!A$1:A$55), "")</f>
        <v>-31</v>
      </c>
      <c r="J550" s="43">
        <f>IF(AND(F550&lt;&gt;"", H550&lt;&gt;""), WORKDAY(F550, H550, FESTIVOS!A$1:A$55), "")</f>
        <v>46139</v>
      </c>
      <c r="K550" s="42" t="s">
        <v>656</v>
      </c>
      <c r="L550" s="42">
        <f t="shared" ca="1" si="29"/>
        <v>0</v>
      </c>
      <c r="M550" s="42" t="str">
        <f t="shared" ca="1" si="30"/>
        <v>Vencido</v>
      </c>
      <c r="N550" s="42"/>
      <c r="O550" s="42"/>
      <c r="P550" s="4" t="str">
        <f>IF(OR(O550="", J550=""), "", NETWORKDAYS(J550, O550,#REF!))</f>
        <v/>
      </c>
    </row>
    <row r="551" spans="1:16" ht="31.5" x14ac:dyDescent="0.25">
      <c r="A551" s="42" t="s">
        <v>18</v>
      </c>
      <c r="B551" s="12" t="s">
        <v>844</v>
      </c>
      <c r="C551" s="36" t="s">
        <v>59</v>
      </c>
      <c r="D551" s="44" t="s">
        <v>843</v>
      </c>
      <c r="E551" s="45">
        <v>550</v>
      </c>
      <c r="F551" s="46">
        <v>46118</v>
      </c>
      <c r="G551" s="42" t="s">
        <v>615</v>
      </c>
      <c r="H551" s="42">
        <f t="shared" si="28"/>
        <v>15</v>
      </c>
      <c r="I551" s="42">
        <f ca="1">IF(AND(F551&lt;&gt;"", J551&lt;&gt;""), NETWORKDAYS(TODAY(), J551-1, FESTIVOS!A$1:A$55), "")</f>
        <v>-31</v>
      </c>
      <c r="J551" s="43">
        <f>IF(AND(F551&lt;&gt;"", H551&lt;&gt;""), WORKDAY(F551, H551, FESTIVOS!A$1:A$55), "")</f>
        <v>46139</v>
      </c>
      <c r="K551" s="42" t="s">
        <v>656</v>
      </c>
      <c r="L551" s="42">
        <f t="shared" ca="1" si="29"/>
        <v>0</v>
      </c>
      <c r="M551" s="42" t="str">
        <f t="shared" ca="1" si="30"/>
        <v>Vencido</v>
      </c>
      <c r="N551" s="42"/>
      <c r="O551" s="42"/>
      <c r="P551" s="4" t="str">
        <f>IF(OR(O551="", J551=""), "", NETWORKDAYS(J551, O551,#REF!))</f>
        <v/>
      </c>
    </row>
    <row r="552" spans="1:16" ht="31.5" x14ac:dyDescent="0.25">
      <c r="A552" s="42" t="s">
        <v>18</v>
      </c>
      <c r="B552" s="12" t="s">
        <v>842</v>
      </c>
      <c r="C552" s="36" t="s">
        <v>59</v>
      </c>
      <c r="D552" s="44" t="s">
        <v>841</v>
      </c>
      <c r="E552" s="45">
        <v>551</v>
      </c>
      <c r="F552" s="46">
        <v>46118</v>
      </c>
      <c r="G552" s="42" t="s">
        <v>615</v>
      </c>
      <c r="H552" s="42">
        <f t="shared" si="28"/>
        <v>15</v>
      </c>
      <c r="I552" s="42">
        <f ca="1">IF(AND(F552&lt;&gt;"", J552&lt;&gt;""), NETWORKDAYS(TODAY(), J552-1, FESTIVOS!A$1:A$55), "")</f>
        <v>-31</v>
      </c>
      <c r="J552" s="43">
        <f>IF(AND(F552&lt;&gt;"", H552&lt;&gt;""), WORKDAY(F552, H552, FESTIVOS!A$1:A$55), "")</f>
        <v>46139</v>
      </c>
      <c r="K552" s="42" t="s">
        <v>656</v>
      </c>
      <c r="L552" s="42">
        <f t="shared" ca="1" si="29"/>
        <v>0</v>
      </c>
      <c r="M552" s="42" t="str">
        <f t="shared" ca="1" si="30"/>
        <v>Vencido</v>
      </c>
      <c r="N552" s="42"/>
      <c r="O552" s="42"/>
      <c r="P552" s="4" t="str">
        <f>IF(OR(O552="", J552=""), "", NETWORKDAYS(J552, O552,#REF!))</f>
        <v/>
      </c>
    </row>
    <row r="553" spans="1:16" ht="31.5" x14ac:dyDescent="0.25">
      <c r="A553" s="42" t="s">
        <v>18</v>
      </c>
      <c r="B553" s="12" t="s">
        <v>840</v>
      </c>
      <c r="C553" s="36" t="s">
        <v>59</v>
      </c>
      <c r="D553" s="44" t="s">
        <v>839</v>
      </c>
      <c r="E553" s="45">
        <v>552</v>
      </c>
      <c r="F553" s="46">
        <v>46118</v>
      </c>
      <c r="G553" s="42" t="s">
        <v>615</v>
      </c>
      <c r="H553" s="42">
        <f t="shared" si="28"/>
        <v>15</v>
      </c>
      <c r="I553" s="42">
        <f ca="1">IF(AND(F553&lt;&gt;"", J553&lt;&gt;""), NETWORKDAYS(TODAY(), J553-1, FESTIVOS!A$1:A$55), "")</f>
        <v>-31</v>
      </c>
      <c r="J553" s="43">
        <f>IF(AND(F553&lt;&gt;"", H553&lt;&gt;""), WORKDAY(F553, H553, FESTIVOS!A$1:A$55), "")</f>
        <v>46139</v>
      </c>
      <c r="K553" s="42" t="s">
        <v>656</v>
      </c>
      <c r="L553" s="42">
        <f t="shared" ca="1" si="29"/>
        <v>0</v>
      </c>
      <c r="M553" s="42" t="str">
        <f t="shared" ca="1" si="30"/>
        <v>Vencido</v>
      </c>
      <c r="N553" s="42"/>
      <c r="O553" s="42"/>
      <c r="P553" s="4" t="str">
        <f>IF(OR(O553="", J553=""), "", NETWORKDAYS(J553, O553,#REF!))</f>
        <v/>
      </c>
    </row>
    <row r="554" spans="1:16" ht="15.75" x14ac:dyDescent="0.25">
      <c r="A554" s="42" t="s">
        <v>18</v>
      </c>
      <c r="B554" s="12" t="s">
        <v>838</v>
      </c>
      <c r="C554" s="36" t="s">
        <v>59</v>
      </c>
      <c r="D554" s="44" t="s">
        <v>807</v>
      </c>
      <c r="E554" s="45">
        <v>553</v>
      </c>
      <c r="F554" s="46">
        <v>46118</v>
      </c>
      <c r="G554" s="42" t="s">
        <v>614</v>
      </c>
      <c r="H554" s="42">
        <f t="shared" si="28"/>
        <v>15</v>
      </c>
      <c r="I554" s="42">
        <f ca="1">IF(AND(F554&lt;&gt;"", J554&lt;&gt;""), NETWORKDAYS(TODAY(), J554-1, FESTIVOS!A$1:A$55), "")</f>
        <v>-31</v>
      </c>
      <c r="J554" s="43">
        <f>IF(AND(F554&lt;&gt;"", H554&lt;&gt;""), WORKDAY(F554, H554, FESTIVOS!A$1:A$55), "")</f>
        <v>46139</v>
      </c>
      <c r="K554" s="42" t="s">
        <v>656</v>
      </c>
      <c r="L554" s="42">
        <f t="shared" ca="1" si="29"/>
        <v>0</v>
      </c>
      <c r="M554" s="42" t="str">
        <f t="shared" ca="1" si="30"/>
        <v>Vencido</v>
      </c>
      <c r="N554" s="42"/>
      <c r="O554" s="42"/>
      <c r="P554" s="4" t="str">
        <f>IF(OR(O554="", J554=""), "", NETWORKDAYS(J554, O554,#REF!))</f>
        <v/>
      </c>
    </row>
    <row r="555" spans="1:16" ht="15.75" x14ac:dyDescent="0.25">
      <c r="A555" s="42" t="s">
        <v>18</v>
      </c>
      <c r="B555" s="12" t="s">
        <v>837</v>
      </c>
      <c r="C555" s="36" t="s">
        <v>59</v>
      </c>
      <c r="D555" s="44" t="s">
        <v>836</v>
      </c>
      <c r="E555" s="45">
        <v>554</v>
      </c>
      <c r="F555" s="46">
        <v>46118</v>
      </c>
      <c r="G555" s="42" t="s">
        <v>615</v>
      </c>
      <c r="H555" s="42">
        <f t="shared" si="28"/>
        <v>15</v>
      </c>
      <c r="I555" s="42">
        <f ca="1">IF(AND(F555&lt;&gt;"", J555&lt;&gt;""), NETWORKDAYS(TODAY(), J555-1, FESTIVOS!A$1:A$55), "")</f>
        <v>-31</v>
      </c>
      <c r="J555" s="43">
        <f>IF(AND(F555&lt;&gt;"", H555&lt;&gt;""), WORKDAY(F555, H555, FESTIVOS!A$1:A$55), "")</f>
        <v>46139</v>
      </c>
      <c r="K555" s="42" t="s">
        <v>656</v>
      </c>
      <c r="L555" s="42">
        <f t="shared" ca="1" si="29"/>
        <v>0</v>
      </c>
      <c r="M555" s="42" t="str">
        <f t="shared" ca="1" si="30"/>
        <v>Vencido</v>
      </c>
      <c r="N555" s="42"/>
      <c r="O555" s="42"/>
      <c r="P555" s="4" t="str">
        <f>IF(OR(O555="", J555=""), "", NETWORKDAYS(J555, O555,#REF!))</f>
        <v/>
      </c>
    </row>
    <row r="556" spans="1:16" ht="31.5" x14ac:dyDescent="0.25">
      <c r="A556" s="42" t="s">
        <v>18</v>
      </c>
      <c r="B556" s="12" t="s">
        <v>835</v>
      </c>
      <c r="C556" s="36" t="s">
        <v>61</v>
      </c>
      <c r="D556" s="44" t="s">
        <v>834</v>
      </c>
      <c r="E556" s="45">
        <v>555</v>
      </c>
      <c r="F556" s="46">
        <v>46119</v>
      </c>
      <c r="G556" s="42" t="s">
        <v>614</v>
      </c>
      <c r="H556" s="42">
        <f t="shared" si="28"/>
        <v>15</v>
      </c>
      <c r="I556" s="42">
        <f ca="1">IF(AND(F556&lt;&gt;"", J556&lt;&gt;""), NETWORKDAYS(TODAY(), J556-1, FESTIVOS!A$1:A$55), "")</f>
        <v>-31</v>
      </c>
      <c r="J556" s="43">
        <f>IF(AND(F556&lt;&gt;"", H556&lt;&gt;""), WORKDAY(F556, H556, FESTIVOS!A$1:A$55), "")</f>
        <v>46140</v>
      </c>
      <c r="K556" s="42" t="s">
        <v>656</v>
      </c>
      <c r="L556" s="42">
        <f t="shared" ca="1" si="29"/>
        <v>0</v>
      </c>
      <c r="M556" s="42" t="str">
        <f t="shared" ca="1" si="30"/>
        <v>Vencido</v>
      </c>
      <c r="N556" s="42"/>
      <c r="O556" s="42"/>
      <c r="P556" s="4" t="str">
        <f>IF(OR(O556="", J556=""), "", NETWORKDAYS(J556, O556,#REF!))</f>
        <v/>
      </c>
    </row>
    <row r="557" spans="1:16" ht="31.5" x14ac:dyDescent="0.25">
      <c r="A557" s="42" t="s">
        <v>18</v>
      </c>
      <c r="B557" s="12" t="s">
        <v>833</v>
      </c>
      <c r="C557" s="36" t="s">
        <v>59</v>
      </c>
      <c r="D557" s="44" t="s">
        <v>832</v>
      </c>
      <c r="E557" s="45">
        <v>556</v>
      </c>
      <c r="F557" s="46">
        <v>46119</v>
      </c>
      <c r="G557" s="42" t="s">
        <v>615</v>
      </c>
      <c r="H557" s="42">
        <f t="shared" si="28"/>
        <v>15</v>
      </c>
      <c r="I557" s="42">
        <f ca="1">IF(AND(F557&lt;&gt;"", J557&lt;&gt;""), NETWORKDAYS(TODAY(), J557-1, FESTIVOS!A$1:A$55), "")</f>
        <v>-31</v>
      </c>
      <c r="J557" s="43">
        <f>IF(AND(F557&lt;&gt;"", H557&lt;&gt;""), WORKDAY(F557, H557, FESTIVOS!A$1:A$55), "")</f>
        <v>46140</v>
      </c>
      <c r="K557" s="42" t="s">
        <v>656</v>
      </c>
      <c r="L557" s="42">
        <f t="shared" ca="1" si="29"/>
        <v>0</v>
      </c>
      <c r="M557" s="42" t="str">
        <f t="shared" ca="1" si="30"/>
        <v>Vencido</v>
      </c>
      <c r="N557" s="42"/>
      <c r="O557" s="42"/>
      <c r="P557" s="4" t="str">
        <f>IF(OR(O557="", J557=""), "", NETWORKDAYS(J557, O557,#REF!))</f>
        <v/>
      </c>
    </row>
    <row r="558" spans="1:16" ht="15.75" x14ac:dyDescent="0.25">
      <c r="A558" s="42" t="s">
        <v>18</v>
      </c>
      <c r="B558" s="12" t="s">
        <v>831</v>
      </c>
      <c r="C558" s="36" t="s">
        <v>59</v>
      </c>
      <c r="D558" s="44" t="s">
        <v>661</v>
      </c>
      <c r="E558" s="45">
        <v>557</v>
      </c>
      <c r="F558" s="46">
        <v>46119</v>
      </c>
      <c r="G558" s="42" t="s">
        <v>614</v>
      </c>
      <c r="H558" s="42">
        <f t="shared" si="28"/>
        <v>15</v>
      </c>
      <c r="I558" s="42">
        <f ca="1">IF(AND(F558&lt;&gt;"", J558&lt;&gt;""), NETWORKDAYS(TODAY(), J558-1, FESTIVOS!A$1:A$55), "")</f>
        <v>-31</v>
      </c>
      <c r="J558" s="90">
        <f>IF(AND(F558&lt;&gt;"", H558&lt;&gt;""), WORKDAY(F558, H558, FESTIVOS!A$1:A$55), "")</f>
        <v>46140</v>
      </c>
      <c r="K558" s="89" t="s">
        <v>656</v>
      </c>
      <c r="L558" s="89">
        <f t="shared" ca="1" si="29"/>
        <v>0</v>
      </c>
      <c r="M558" s="89" t="str">
        <f t="shared" ca="1" si="30"/>
        <v>Vencido</v>
      </c>
      <c r="N558" s="89" t="s">
        <v>1029</v>
      </c>
      <c r="O558" s="90">
        <v>46121</v>
      </c>
      <c r="P558" s="4" t="e">
        <f>IF(OR(O558="", J558=""), "", NETWORKDAYS(J558, O558,#REF!))</f>
        <v>#REF!</v>
      </c>
    </row>
    <row r="559" spans="1:16" ht="15.75" x14ac:dyDescent="0.25">
      <c r="A559" s="42" t="s">
        <v>18</v>
      </c>
      <c r="B559" s="12" t="s">
        <v>830</v>
      </c>
      <c r="C559" s="36" t="s">
        <v>59</v>
      </c>
      <c r="D559" s="44" t="s">
        <v>30</v>
      </c>
      <c r="E559" s="45">
        <v>558</v>
      </c>
      <c r="F559" s="46">
        <v>46119</v>
      </c>
      <c r="G559" s="42" t="s">
        <v>615</v>
      </c>
      <c r="H559" s="42">
        <f t="shared" si="28"/>
        <v>15</v>
      </c>
      <c r="I559" s="42">
        <f ca="1">IF(AND(F559&lt;&gt;"", J559&lt;&gt;""), NETWORKDAYS(TODAY(), J559-1, FESTIVOS!A$1:A$55), "")</f>
        <v>-31</v>
      </c>
      <c r="J559" s="43">
        <f>IF(AND(F559&lt;&gt;"", H559&lt;&gt;""), WORKDAY(F559, H559, FESTIVOS!A$1:A$55), "")</f>
        <v>46140</v>
      </c>
      <c r="K559" s="42" t="s">
        <v>656</v>
      </c>
      <c r="L559" s="42">
        <f t="shared" ca="1" si="29"/>
        <v>0</v>
      </c>
      <c r="M559" s="42" t="str">
        <f t="shared" ca="1" si="30"/>
        <v>Vencido</v>
      </c>
      <c r="N559" s="42"/>
      <c r="O559" s="42"/>
      <c r="P559" s="4" t="str">
        <f>IF(OR(O559="", J559=""), "", NETWORKDAYS(J559, O559,#REF!))</f>
        <v/>
      </c>
    </row>
    <row r="560" spans="1:16" ht="31.5" x14ac:dyDescent="0.25">
      <c r="A560" s="42" t="s">
        <v>18</v>
      </c>
      <c r="B560" s="12" t="s">
        <v>829</v>
      </c>
      <c r="C560" s="36" t="s">
        <v>59</v>
      </c>
      <c r="D560" s="44" t="s">
        <v>828</v>
      </c>
      <c r="E560" s="45">
        <v>559</v>
      </c>
      <c r="F560" s="46">
        <v>46119</v>
      </c>
      <c r="G560" s="42" t="s">
        <v>615</v>
      </c>
      <c r="H560" s="42">
        <f t="shared" si="28"/>
        <v>15</v>
      </c>
      <c r="I560" s="42">
        <f ca="1">IF(AND(F560&lt;&gt;"", J560&lt;&gt;""), NETWORKDAYS(TODAY(), J560-1, FESTIVOS!A$1:A$55), "")</f>
        <v>-31</v>
      </c>
      <c r="J560" s="43">
        <f>IF(AND(F560&lt;&gt;"", H560&lt;&gt;""), WORKDAY(F560, H560, FESTIVOS!A$1:A$55), "")</f>
        <v>46140</v>
      </c>
      <c r="K560" s="42" t="s">
        <v>656</v>
      </c>
      <c r="L560" s="42">
        <f t="shared" ca="1" si="29"/>
        <v>0</v>
      </c>
      <c r="M560" s="42" t="str">
        <f t="shared" ca="1" si="30"/>
        <v>Vencido</v>
      </c>
      <c r="N560" s="42"/>
      <c r="O560" s="42"/>
      <c r="P560" s="4" t="str">
        <f>IF(OR(O560="", J560=""), "", NETWORKDAYS(J560, O560,#REF!))</f>
        <v/>
      </c>
    </row>
    <row r="561" spans="1:16" ht="15.75" x14ac:dyDescent="0.25">
      <c r="A561" s="42" t="s">
        <v>18</v>
      </c>
      <c r="B561" s="12" t="s">
        <v>827</v>
      </c>
      <c r="C561" s="36" t="s">
        <v>59</v>
      </c>
      <c r="D561" s="44" t="s">
        <v>816</v>
      </c>
      <c r="E561" s="45">
        <v>560</v>
      </c>
      <c r="F561" s="46">
        <v>46119</v>
      </c>
      <c r="G561" s="42" t="s">
        <v>615</v>
      </c>
      <c r="H561" s="42">
        <f t="shared" si="28"/>
        <v>15</v>
      </c>
      <c r="I561" s="42">
        <f ca="1">IF(AND(F561&lt;&gt;"", J561&lt;&gt;""), NETWORKDAYS(TODAY(), J561-1, FESTIVOS!A$1:A$55), "")</f>
        <v>-31</v>
      </c>
      <c r="J561" s="43">
        <f>IF(AND(F561&lt;&gt;"", H561&lt;&gt;""), WORKDAY(F561, H561, FESTIVOS!A$1:A$55), "")</f>
        <v>46140</v>
      </c>
      <c r="K561" s="42" t="s">
        <v>656</v>
      </c>
      <c r="L561" s="42">
        <f t="shared" ca="1" si="29"/>
        <v>0</v>
      </c>
      <c r="M561" s="42" t="str">
        <f t="shared" ca="1" si="30"/>
        <v>Vencido</v>
      </c>
      <c r="N561" s="42"/>
      <c r="O561" s="42"/>
      <c r="P561" s="4" t="str">
        <f>IF(OR(O561="", J561=""), "", NETWORKDAYS(J561, O561,#REF!))</f>
        <v/>
      </c>
    </row>
    <row r="562" spans="1:16" ht="15.75" x14ac:dyDescent="0.25">
      <c r="A562" s="42" t="s">
        <v>18</v>
      </c>
      <c r="B562" s="12" t="s">
        <v>826</v>
      </c>
      <c r="C562" s="36" t="s">
        <v>84</v>
      </c>
      <c r="D562" s="44" t="s">
        <v>39</v>
      </c>
      <c r="E562" s="45">
        <v>561</v>
      </c>
      <c r="F562" s="46">
        <v>46119</v>
      </c>
      <c r="G562" s="42" t="s">
        <v>615</v>
      </c>
      <c r="H562" s="42">
        <f t="shared" si="28"/>
        <v>15</v>
      </c>
      <c r="I562" s="42">
        <f ca="1">IF(AND(F562&lt;&gt;"", J562&lt;&gt;""), NETWORKDAYS(TODAY(), J562-1, FESTIVOS!A$1:A$55), "")</f>
        <v>-31</v>
      </c>
      <c r="J562" s="43">
        <f>IF(AND(F562&lt;&gt;"", H562&lt;&gt;""), WORKDAY(F562, H562, FESTIVOS!A$1:A$55), "")</f>
        <v>46140</v>
      </c>
      <c r="K562" s="42" t="s">
        <v>656</v>
      </c>
      <c r="L562" s="42">
        <f t="shared" ca="1" si="29"/>
        <v>0</v>
      </c>
      <c r="M562" s="42" t="str">
        <f t="shared" ca="1" si="30"/>
        <v>Vencido</v>
      </c>
      <c r="N562" s="42"/>
      <c r="O562" s="42"/>
      <c r="P562" s="4" t="str">
        <f>IF(OR(O562="", J562=""), "", NETWORKDAYS(J562, O562,#REF!))</f>
        <v/>
      </c>
    </row>
    <row r="563" spans="1:16" ht="15.75" x14ac:dyDescent="0.25">
      <c r="A563" s="42" t="s">
        <v>18</v>
      </c>
      <c r="B563" s="12" t="s">
        <v>826</v>
      </c>
      <c r="C563" s="36" t="s">
        <v>84</v>
      </c>
      <c r="D563" s="44" t="s">
        <v>39</v>
      </c>
      <c r="E563" s="45">
        <v>562</v>
      </c>
      <c r="F563" s="46">
        <v>46119</v>
      </c>
      <c r="G563" s="42" t="s">
        <v>615</v>
      </c>
      <c r="H563" s="42">
        <f t="shared" si="28"/>
        <v>15</v>
      </c>
      <c r="I563" s="42">
        <f ca="1">IF(AND(F563&lt;&gt;"", J563&lt;&gt;""), NETWORKDAYS(TODAY(), J563-1, FESTIVOS!A$1:A$55), "")</f>
        <v>-31</v>
      </c>
      <c r="J563" s="43">
        <f>IF(AND(F563&lt;&gt;"", H563&lt;&gt;""), WORKDAY(F563, H563, FESTIVOS!A$1:A$55), "")</f>
        <v>46140</v>
      </c>
      <c r="K563" s="42" t="s">
        <v>656</v>
      </c>
      <c r="L563" s="42">
        <f t="shared" ca="1" si="29"/>
        <v>0</v>
      </c>
      <c r="M563" s="42" t="str">
        <f t="shared" ca="1" si="30"/>
        <v>Vencido</v>
      </c>
      <c r="N563" s="42"/>
      <c r="O563" s="42"/>
      <c r="P563" s="4" t="str">
        <f>IF(OR(O563="", J563=""), "", NETWORKDAYS(J563, O563,#REF!))</f>
        <v/>
      </c>
    </row>
    <row r="564" spans="1:16" ht="63" x14ac:dyDescent="0.25">
      <c r="A564" s="42" t="s">
        <v>18</v>
      </c>
      <c r="B564" s="12" t="s">
        <v>566</v>
      </c>
      <c r="C564" s="36" t="s">
        <v>61</v>
      </c>
      <c r="D564" s="44" t="s">
        <v>825</v>
      </c>
      <c r="E564" s="45">
        <v>563</v>
      </c>
      <c r="F564" s="46">
        <v>46119</v>
      </c>
      <c r="G564" s="42" t="s">
        <v>615</v>
      </c>
      <c r="H564" s="42">
        <f t="shared" si="28"/>
        <v>15</v>
      </c>
      <c r="I564" s="42">
        <f ca="1">IF(AND(F564&lt;&gt;"", J564&lt;&gt;""), NETWORKDAYS(TODAY(), J564-1, FESTIVOS!A$1:A$55), "")</f>
        <v>-31</v>
      </c>
      <c r="J564" s="76">
        <f>IF(AND(F564&lt;&gt;"", H564&lt;&gt;""), WORKDAY(F564, H564, FESTIVOS!A$1:A$55), "")</f>
        <v>46140</v>
      </c>
      <c r="K564" s="75" t="s">
        <v>656</v>
      </c>
      <c r="L564" s="75">
        <f t="shared" ca="1" si="29"/>
        <v>0</v>
      </c>
      <c r="M564" s="75" t="str">
        <f t="shared" ca="1" si="30"/>
        <v>Vencido</v>
      </c>
      <c r="N564" s="75" t="s">
        <v>985</v>
      </c>
      <c r="O564" s="76">
        <v>46121</v>
      </c>
      <c r="P564" s="4" t="e">
        <f>IF(OR(O564="", J564=""), "", NETWORKDAYS(J564, O564,#REF!))</f>
        <v>#REF!</v>
      </c>
    </row>
    <row r="565" spans="1:16" ht="15.75" x14ac:dyDescent="0.25">
      <c r="A565" s="42" t="s">
        <v>18</v>
      </c>
      <c r="B565" s="12" t="s">
        <v>824</v>
      </c>
      <c r="C565" s="36" t="s">
        <v>59</v>
      </c>
      <c r="D565" s="44" t="s">
        <v>823</v>
      </c>
      <c r="E565" s="45">
        <v>564</v>
      </c>
      <c r="F565" s="46">
        <v>46119</v>
      </c>
      <c r="G565" s="42" t="s">
        <v>615</v>
      </c>
      <c r="H565" s="42">
        <f t="shared" si="28"/>
        <v>15</v>
      </c>
      <c r="I565" s="42">
        <f ca="1">IF(AND(F565&lt;&gt;"", J565&lt;&gt;""), NETWORKDAYS(TODAY(), J565-1, FESTIVOS!A$1:A$55), "")</f>
        <v>-31</v>
      </c>
      <c r="J565" s="43">
        <f>IF(AND(F565&lt;&gt;"", H565&lt;&gt;""), WORKDAY(F565, H565, FESTIVOS!A$1:A$55), "")</f>
        <v>46140</v>
      </c>
      <c r="K565" s="42" t="s">
        <v>656</v>
      </c>
      <c r="L565" s="42">
        <f t="shared" ca="1" si="29"/>
        <v>0</v>
      </c>
      <c r="M565" s="42" t="str">
        <f t="shared" ca="1" si="30"/>
        <v>Vencido</v>
      </c>
      <c r="N565" s="42"/>
      <c r="O565" s="42"/>
      <c r="P565" s="4" t="str">
        <f>IF(OR(O565="", J565=""), "", NETWORKDAYS(J565, O565,#REF!))</f>
        <v/>
      </c>
    </row>
    <row r="566" spans="1:16" ht="15.75" x14ac:dyDescent="0.25">
      <c r="A566" s="42" t="s">
        <v>18</v>
      </c>
      <c r="B566" s="12" t="s">
        <v>820</v>
      </c>
      <c r="C566" s="36" t="s">
        <v>59</v>
      </c>
      <c r="D566" s="44" t="s">
        <v>24</v>
      </c>
      <c r="E566" s="45">
        <v>565</v>
      </c>
      <c r="F566" s="46">
        <v>46119</v>
      </c>
      <c r="G566" s="42" t="s">
        <v>615</v>
      </c>
      <c r="H566" s="42">
        <f t="shared" ref="H566:H629" si="31">IF(A566="INFORMACIÓN O DOCUMENTOS", 10, IF(A566="CONSULTA", 30, IF(A566="FACTURACIÓN Y COBROS", 15, IF(A566="VINCULACIÓN Y DESVINCULACIÓN", 15, IF(A566="NO ES DE NUESTRA COMPETENCIA", 5, IF(A566="OTRO", 15, ""))))))</f>
        <v>15</v>
      </c>
      <c r="I566" s="42">
        <f ca="1">IF(AND(F566&lt;&gt;"", J566&lt;&gt;""), NETWORKDAYS(TODAY(), J566-1, FESTIVOS!A$1:A$55), "")</f>
        <v>-31</v>
      </c>
      <c r="J566" s="43">
        <f>IF(AND(F566&lt;&gt;"", H566&lt;&gt;""), WORKDAY(F566, H566, FESTIVOS!A$1:A$55), "")</f>
        <v>46140</v>
      </c>
      <c r="K566" s="42" t="s">
        <v>656</v>
      </c>
      <c r="L566" s="42">
        <f t="shared" ref="L566:L629" ca="1" si="32">IF(I566="", "", MAX(0, I566 - (TODAY() - TODAY())))</f>
        <v>0</v>
      </c>
      <c r="M566" s="42" t="str">
        <f t="shared" ref="M566:M629" ca="1" si="33">IF(OR(I566="", H566=""), "", IF(I566&lt;0, "Vencido", IF(I566&gt;(H566/2), "Supere la mitad", "Bajo la mitad")))</f>
        <v>Vencido</v>
      </c>
      <c r="N566" s="42"/>
      <c r="O566" s="42"/>
      <c r="P566" s="4" t="str">
        <f>IF(OR(O566="", J566=""), "", NETWORKDAYS(J566, O566,#REF!))</f>
        <v/>
      </c>
    </row>
    <row r="567" spans="1:16" ht="15.75" x14ac:dyDescent="0.25">
      <c r="A567" s="42" t="s">
        <v>18</v>
      </c>
      <c r="B567" s="12" t="s">
        <v>822</v>
      </c>
      <c r="C567" s="36" t="s">
        <v>59</v>
      </c>
      <c r="D567" s="44" t="s">
        <v>821</v>
      </c>
      <c r="E567" s="45">
        <v>566</v>
      </c>
      <c r="F567" s="46">
        <v>46119</v>
      </c>
      <c r="G567" s="42" t="s">
        <v>615</v>
      </c>
      <c r="H567" s="42">
        <f t="shared" si="31"/>
        <v>15</v>
      </c>
      <c r="I567" s="42">
        <f ca="1">IF(AND(F567&lt;&gt;"", J567&lt;&gt;""), NETWORKDAYS(TODAY(), J567-1, FESTIVOS!A$1:A$55), "")</f>
        <v>-31</v>
      </c>
      <c r="J567" s="43">
        <f>IF(AND(F567&lt;&gt;"", H567&lt;&gt;""), WORKDAY(F567, H567, FESTIVOS!A$1:A$55), "")</f>
        <v>46140</v>
      </c>
      <c r="K567" s="42" t="s">
        <v>656</v>
      </c>
      <c r="L567" s="42">
        <f t="shared" ca="1" si="32"/>
        <v>0</v>
      </c>
      <c r="M567" s="42" t="str">
        <f t="shared" ca="1" si="33"/>
        <v>Vencido</v>
      </c>
      <c r="N567" s="42"/>
      <c r="O567" s="42"/>
      <c r="P567" s="4" t="str">
        <f>IF(OR(O567="", J567=""), "", NETWORKDAYS(J567, O567,#REF!))</f>
        <v/>
      </c>
    </row>
    <row r="568" spans="1:16" ht="15.75" x14ac:dyDescent="0.25">
      <c r="A568" s="42" t="s">
        <v>18</v>
      </c>
      <c r="B568" s="12" t="s">
        <v>56</v>
      </c>
      <c r="C568" s="36" t="s">
        <v>84</v>
      </c>
      <c r="D568" s="44" t="s">
        <v>45</v>
      </c>
      <c r="E568" s="45">
        <v>567</v>
      </c>
      <c r="F568" s="46">
        <v>46119</v>
      </c>
      <c r="G568" s="42" t="s">
        <v>615</v>
      </c>
      <c r="H568" s="42">
        <f t="shared" si="31"/>
        <v>15</v>
      </c>
      <c r="I568" s="42">
        <f ca="1">IF(AND(F568&lt;&gt;"", J568&lt;&gt;""), NETWORKDAYS(TODAY(), J568-1, FESTIVOS!A$1:A$55), "")</f>
        <v>-31</v>
      </c>
      <c r="J568" s="43">
        <f>IF(AND(F568&lt;&gt;"", H568&lt;&gt;""), WORKDAY(F568, H568, FESTIVOS!A$1:A$55), "")</f>
        <v>46140</v>
      </c>
      <c r="K568" s="42" t="s">
        <v>656</v>
      </c>
      <c r="L568" s="42">
        <f t="shared" ca="1" si="32"/>
        <v>0</v>
      </c>
      <c r="M568" s="42" t="str">
        <f t="shared" ca="1" si="33"/>
        <v>Vencido</v>
      </c>
      <c r="N568" s="42"/>
      <c r="O568" s="42"/>
      <c r="P568" s="4" t="str">
        <f>IF(OR(O568="", J568=""), "", NETWORKDAYS(J568, O568,#REF!))</f>
        <v/>
      </c>
    </row>
    <row r="569" spans="1:16" ht="15.75" x14ac:dyDescent="0.25">
      <c r="A569" s="42" t="s">
        <v>18</v>
      </c>
      <c r="B569" s="12" t="s">
        <v>820</v>
      </c>
      <c r="C569" s="36" t="s">
        <v>59</v>
      </c>
      <c r="D569" s="44" t="s">
        <v>24</v>
      </c>
      <c r="E569" s="45">
        <v>568</v>
      </c>
      <c r="F569" s="46">
        <v>46120</v>
      </c>
      <c r="G569" s="42" t="s">
        <v>615</v>
      </c>
      <c r="H569" s="42">
        <f t="shared" si="31"/>
        <v>15</v>
      </c>
      <c r="I569" s="42">
        <f ca="1">IF(AND(F569&lt;&gt;"", J569&lt;&gt;""), NETWORKDAYS(TODAY(), J569-1, FESTIVOS!A$1:A$55), "")</f>
        <v>-30</v>
      </c>
      <c r="J569" s="43">
        <f>IF(AND(F569&lt;&gt;"", H569&lt;&gt;""), WORKDAY(F569, H569, FESTIVOS!A$1:A$55), "")</f>
        <v>46141</v>
      </c>
      <c r="K569" s="42" t="s">
        <v>656</v>
      </c>
      <c r="L569" s="42">
        <f t="shared" ca="1" si="32"/>
        <v>0</v>
      </c>
      <c r="M569" s="42" t="str">
        <f t="shared" ca="1" si="33"/>
        <v>Vencido</v>
      </c>
      <c r="N569" s="42"/>
      <c r="O569" s="42"/>
      <c r="P569" s="4" t="str">
        <f>IF(OR(O569="", J569=""), "", NETWORKDAYS(J569, O569,#REF!))</f>
        <v/>
      </c>
    </row>
    <row r="570" spans="1:16" ht="15.75" x14ac:dyDescent="0.25">
      <c r="A570" s="42" t="s">
        <v>18</v>
      </c>
      <c r="B570" s="12" t="s">
        <v>819</v>
      </c>
      <c r="C570" s="36" t="s">
        <v>59</v>
      </c>
      <c r="D570" s="44" t="s">
        <v>818</v>
      </c>
      <c r="E570" s="45">
        <v>569</v>
      </c>
      <c r="F570" s="46">
        <v>46120</v>
      </c>
      <c r="G570" s="42" t="s">
        <v>614</v>
      </c>
      <c r="H570" s="42">
        <f t="shared" si="31"/>
        <v>15</v>
      </c>
      <c r="I570" s="42">
        <f ca="1">IF(AND(F570&lt;&gt;"", J570&lt;&gt;""), NETWORKDAYS(TODAY(), J570-1, FESTIVOS!A$1:A$55), "")</f>
        <v>-30</v>
      </c>
      <c r="J570" s="90">
        <f>IF(AND(F570&lt;&gt;"", H570&lt;&gt;""), WORKDAY(F570, H570, FESTIVOS!A$1:A$55), "")</f>
        <v>46141</v>
      </c>
      <c r="K570" s="89" t="s">
        <v>656</v>
      </c>
      <c r="L570" s="89">
        <f t="shared" ca="1" si="32"/>
        <v>0</v>
      </c>
      <c r="M570" s="89" t="str">
        <f t="shared" ca="1" si="33"/>
        <v>Vencido</v>
      </c>
      <c r="N570" s="89" t="s">
        <v>1030</v>
      </c>
      <c r="O570" s="90">
        <v>46121</v>
      </c>
      <c r="P570" s="4" t="e">
        <f>IF(OR(O570="", J570=""), "", NETWORKDAYS(J570, O570,#REF!))</f>
        <v>#REF!</v>
      </c>
    </row>
    <row r="571" spans="1:16" ht="15.75" x14ac:dyDescent="0.25">
      <c r="A571" s="42" t="s">
        <v>18</v>
      </c>
      <c r="B571" s="12" t="s">
        <v>817</v>
      </c>
      <c r="C571" s="36" t="s">
        <v>59</v>
      </c>
      <c r="D571" s="44" t="s">
        <v>816</v>
      </c>
      <c r="E571" s="45">
        <v>570</v>
      </c>
      <c r="F571" s="46">
        <v>46120</v>
      </c>
      <c r="G571" s="42" t="s">
        <v>615</v>
      </c>
      <c r="H571" s="42">
        <f t="shared" si="31"/>
        <v>15</v>
      </c>
      <c r="I571" s="42">
        <f ca="1">IF(AND(F571&lt;&gt;"", J571&lt;&gt;""), NETWORKDAYS(TODAY(), J571-1, FESTIVOS!A$1:A$55), "")</f>
        <v>-30</v>
      </c>
      <c r="J571" s="43">
        <f>IF(AND(F571&lt;&gt;"", H571&lt;&gt;""), WORKDAY(F571, H571, FESTIVOS!A$1:A$55), "")</f>
        <v>46141</v>
      </c>
      <c r="K571" s="42" t="s">
        <v>656</v>
      </c>
      <c r="L571" s="42">
        <f t="shared" ca="1" si="32"/>
        <v>0</v>
      </c>
      <c r="M571" s="42" t="str">
        <f t="shared" ca="1" si="33"/>
        <v>Vencido</v>
      </c>
      <c r="N571" s="42"/>
      <c r="O571" s="42"/>
      <c r="P571" s="4" t="str">
        <f>IF(OR(O571="", J571=""), "", NETWORKDAYS(J571, O571,#REF!))</f>
        <v/>
      </c>
    </row>
    <row r="572" spans="1:16" ht="15.75" x14ac:dyDescent="0.25">
      <c r="A572" s="42" t="s">
        <v>19</v>
      </c>
      <c r="B572" s="12" t="s">
        <v>801</v>
      </c>
      <c r="C572" s="36" t="s">
        <v>59</v>
      </c>
      <c r="D572" s="44" t="s">
        <v>800</v>
      </c>
      <c r="E572" s="45">
        <v>571</v>
      </c>
      <c r="F572" s="46">
        <v>46120</v>
      </c>
      <c r="G572" s="42" t="s">
        <v>646</v>
      </c>
      <c r="H572" s="42">
        <f t="shared" si="31"/>
        <v>10</v>
      </c>
      <c r="I572" s="42">
        <f ca="1">IF(AND(F572&lt;&gt;"", J572&lt;&gt;""), NETWORKDAYS(TODAY(), J572-1, FESTIVOS!A$1:A$55), "")</f>
        <v>-35</v>
      </c>
      <c r="J572" s="43">
        <f>IF(AND(F572&lt;&gt;"", H572&lt;&gt;""), WORKDAY(F572, H572, FESTIVOS!A$1:A$55), "")</f>
        <v>46134</v>
      </c>
      <c r="K572" s="42" t="s">
        <v>656</v>
      </c>
      <c r="L572" s="42">
        <f t="shared" ca="1" si="32"/>
        <v>0</v>
      </c>
      <c r="M572" s="42" t="str">
        <f t="shared" ca="1" si="33"/>
        <v>Vencido</v>
      </c>
      <c r="N572" s="42"/>
      <c r="O572" s="42"/>
      <c r="P572" s="4" t="str">
        <f>IF(OR(O572="", J572=""), "", NETWORKDAYS(J572, O572,#REF!))</f>
        <v/>
      </c>
    </row>
    <row r="573" spans="1:16" ht="15.75" x14ac:dyDescent="0.25">
      <c r="A573" s="42" t="s">
        <v>18</v>
      </c>
      <c r="B573" s="12" t="s">
        <v>802</v>
      </c>
      <c r="C573" s="36" t="s">
        <v>59</v>
      </c>
      <c r="D573" s="44" t="s">
        <v>24</v>
      </c>
      <c r="E573" s="45">
        <v>572</v>
      </c>
      <c r="F573" s="46">
        <v>46120</v>
      </c>
      <c r="G573" s="42" t="s">
        <v>615</v>
      </c>
      <c r="H573" s="42">
        <f t="shared" si="31"/>
        <v>15</v>
      </c>
      <c r="I573" s="42">
        <f ca="1">IF(AND(F573&lt;&gt;"", J573&lt;&gt;""), NETWORKDAYS(TODAY(), J573-1, FESTIVOS!A$1:A$55), "")</f>
        <v>-30</v>
      </c>
      <c r="J573" s="43">
        <f>IF(AND(F573&lt;&gt;"", H573&lt;&gt;""), WORKDAY(F573, H573, FESTIVOS!A$1:A$55), "")</f>
        <v>46141</v>
      </c>
      <c r="K573" s="42" t="s">
        <v>656</v>
      </c>
      <c r="L573" s="42">
        <f t="shared" ca="1" si="32"/>
        <v>0</v>
      </c>
      <c r="M573" s="42" t="str">
        <f t="shared" ca="1" si="33"/>
        <v>Vencido</v>
      </c>
      <c r="N573" s="42"/>
      <c r="O573" s="42"/>
      <c r="P573" s="4" t="str">
        <f>IF(OR(O573="", J573=""), "", NETWORKDAYS(J573, O573,#REF!))</f>
        <v/>
      </c>
    </row>
    <row r="574" spans="1:16" ht="15.75" x14ac:dyDescent="0.25">
      <c r="A574" s="42" t="s">
        <v>18</v>
      </c>
      <c r="B574" s="12" t="s">
        <v>804</v>
      </c>
      <c r="C574" s="36" t="s">
        <v>59</v>
      </c>
      <c r="D574" s="44" t="s">
        <v>803</v>
      </c>
      <c r="E574" s="45">
        <v>573</v>
      </c>
      <c r="F574" s="46">
        <v>46120</v>
      </c>
      <c r="G574" s="42" t="s">
        <v>615</v>
      </c>
      <c r="H574" s="42">
        <f t="shared" si="31"/>
        <v>15</v>
      </c>
      <c r="I574" s="42">
        <f ca="1">IF(AND(F574&lt;&gt;"", J574&lt;&gt;""), NETWORKDAYS(TODAY(), J574-1, FESTIVOS!A$1:A$55), "")</f>
        <v>-30</v>
      </c>
      <c r="J574" s="43">
        <f>IF(AND(F574&lt;&gt;"", H574&lt;&gt;""), WORKDAY(F574, H574, FESTIVOS!A$1:A$55), "")</f>
        <v>46141</v>
      </c>
      <c r="K574" s="42" t="s">
        <v>656</v>
      </c>
      <c r="L574" s="42">
        <f t="shared" ca="1" si="32"/>
        <v>0</v>
      </c>
      <c r="M574" s="42" t="str">
        <f t="shared" ca="1" si="33"/>
        <v>Vencido</v>
      </c>
      <c r="N574" s="42"/>
      <c r="O574" s="42"/>
      <c r="P574" s="4" t="str">
        <f>IF(OR(O574="", J574=""), "", NETWORKDAYS(J574, O574,#REF!))</f>
        <v/>
      </c>
    </row>
    <row r="575" spans="1:16" ht="15.75" x14ac:dyDescent="0.25">
      <c r="A575" s="42" t="s">
        <v>18</v>
      </c>
      <c r="B575" s="12" t="s">
        <v>806</v>
      </c>
      <c r="C575" s="36" t="s">
        <v>169</v>
      </c>
      <c r="D575" s="44" t="s">
        <v>805</v>
      </c>
      <c r="E575" s="45">
        <v>574</v>
      </c>
      <c r="F575" s="46">
        <v>46121</v>
      </c>
      <c r="G575" s="42" t="s">
        <v>615</v>
      </c>
      <c r="H575" s="42">
        <f t="shared" si="31"/>
        <v>15</v>
      </c>
      <c r="I575" s="42">
        <f ca="1">IF(AND(F575&lt;&gt;"", J575&lt;&gt;""), NETWORKDAYS(TODAY(), J575-1, FESTIVOS!A$1:A$55), "")</f>
        <v>-29</v>
      </c>
      <c r="J575" s="43">
        <f>IF(AND(F575&lt;&gt;"", H575&lt;&gt;""), WORKDAY(F575, H575, FESTIVOS!A$1:A$55), "")</f>
        <v>46142</v>
      </c>
      <c r="K575" s="42" t="s">
        <v>656</v>
      </c>
      <c r="L575" s="42">
        <f t="shared" ca="1" si="32"/>
        <v>0</v>
      </c>
      <c r="M575" s="42" t="str">
        <f t="shared" ca="1" si="33"/>
        <v>Vencido</v>
      </c>
      <c r="N575" s="42"/>
      <c r="O575" s="42"/>
      <c r="P575" s="4" t="str">
        <f>IF(OR(O575="", J575=""), "", NETWORKDAYS(J575, O575,#REF!))</f>
        <v/>
      </c>
    </row>
    <row r="576" spans="1:16" ht="15.75" x14ac:dyDescent="0.25">
      <c r="A576" s="42" t="s">
        <v>18</v>
      </c>
      <c r="B576" s="12" t="s">
        <v>808</v>
      </c>
      <c r="C576" s="36" t="s">
        <v>59</v>
      </c>
      <c r="D576" s="44" t="s">
        <v>807</v>
      </c>
      <c r="E576" s="45">
        <v>575</v>
      </c>
      <c r="F576" s="46">
        <v>46121</v>
      </c>
      <c r="G576" s="42" t="s">
        <v>646</v>
      </c>
      <c r="H576" s="42">
        <f t="shared" si="31"/>
        <v>15</v>
      </c>
      <c r="I576" s="42">
        <f ca="1">IF(AND(F576&lt;&gt;"", J576&lt;&gt;""), NETWORKDAYS(TODAY(), J576-1, FESTIVOS!A$1:A$55), "")</f>
        <v>-29</v>
      </c>
      <c r="J576" s="43">
        <f>IF(AND(F576&lt;&gt;"", H576&lt;&gt;""), WORKDAY(F576, H576, FESTIVOS!A$1:A$55), "")</f>
        <v>46142</v>
      </c>
      <c r="K576" s="42" t="s">
        <v>656</v>
      </c>
      <c r="L576" s="42">
        <f t="shared" ca="1" si="32"/>
        <v>0</v>
      </c>
      <c r="M576" s="42" t="str">
        <f t="shared" ca="1" si="33"/>
        <v>Vencido</v>
      </c>
      <c r="N576" s="42"/>
      <c r="O576" s="42"/>
      <c r="P576" s="4" t="str">
        <f>IF(OR(O576="", J576=""), "", NETWORKDAYS(J576, O576,#REF!))</f>
        <v/>
      </c>
    </row>
    <row r="577" spans="1:16" ht="15.75" x14ac:dyDescent="0.25">
      <c r="A577" s="42" t="s">
        <v>18</v>
      </c>
      <c r="B577" s="12" t="s">
        <v>810</v>
      </c>
      <c r="C577" s="36" t="s">
        <v>59</v>
      </c>
      <c r="D577" s="44" t="s">
        <v>809</v>
      </c>
      <c r="E577" s="45">
        <v>576</v>
      </c>
      <c r="F577" s="46">
        <v>46121</v>
      </c>
      <c r="G577" s="42" t="s">
        <v>615</v>
      </c>
      <c r="H577" s="42">
        <f t="shared" si="31"/>
        <v>15</v>
      </c>
      <c r="I577" s="42">
        <f ca="1">IF(AND(F577&lt;&gt;"", J577&lt;&gt;""), NETWORKDAYS(TODAY(), J577-1, FESTIVOS!A$1:A$55), "")</f>
        <v>-29</v>
      </c>
      <c r="J577" s="43">
        <f>IF(AND(F577&lt;&gt;"", H577&lt;&gt;""), WORKDAY(F577, H577, FESTIVOS!A$1:A$55), "")</f>
        <v>46142</v>
      </c>
      <c r="K577" s="42" t="s">
        <v>656</v>
      </c>
      <c r="L577" s="42">
        <f t="shared" ca="1" si="32"/>
        <v>0</v>
      </c>
      <c r="M577" s="42" t="str">
        <f t="shared" ca="1" si="33"/>
        <v>Vencido</v>
      </c>
      <c r="N577" s="42"/>
      <c r="O577" s="42"/>
      <c r="P577" s="4" t="str">
        <f>IF(OR(O577="", J577=""), "", NETWORKDAYS(J577, O577,#REF!))</f>
        <v/>
      </c>
    </row>
    <row r="578" spans="1:16" ht="47.25" x14ac:dyDescent="0.25">
      <c r="A578" s="42" t="s">
        <v>18</v>
      </c>
      <c r="B578" s="12" t="s">
        <v>77</v>
      </c>
      <c r="C578" s="36" t="s">
        <v>169</v>
      </c>
      <c r="D578" s="44" t="s">
        <v>811</v>
      </c>
      <c r="E578" s="45">
        <v>577</v>
      </c>
      <c r="F578" s="46">
        <v>46121</v>
      </c>
      <c r="G578" s="42" t="s">
        <v>615</v>
      </c>
      <c r="H578" s="42">
        <f t="shared" si="31"/>
        <v>15</v>
      </c>
      <c r="I578" s="42">
        <f ca="1">IF(AND(F578&lt;&gt;"", J578&lt;&gt;""), NETWORKDAYS(TODAY(), J578-1, FESTIVOS!A$1:A$55), "")</f>
        <v>-29</v>
      </c>
      <c r="J578" s="43">
        <f>IF(AND(F578&lt;&gt;"", H578&lt;&gt;""), WORKDAY(F578, H578, FESTIVOS!A$1:A$55), "")</f>
        <v>46142</v>
      </c>
      <c r="K578" s="42" t="s">
        <v>656</v>
      </c>
      <c r="L578" s="42">
        <f t="shared" ca="1" si="32"/>
        <v>0</v>
      </c>
      <c r="M578" s="42" t="str">
        <f t="shared" ca="1" si="33"/>
        <v>Vencido</v>
      </c>
      <c r="N578" s="42"/>
      <c r="O578" s="42"/>
      <c r="P578" s="4" t="str">
        <f>IF(OR(O578="", J578=""), "", NETWORKDAYS(J578, O578,#REF!))</f>
        <v/>
      </c>
    </row>
    <row r="579" spans="1:16" ht="15.75" x14ac:dyDescent="0.25">
      <c r="A579" s="42" t="s">
        <v>18</v>
      </c>
      <c r="B579" s="12" t="s">
        <v>813</v>
      </c>
      <c r="C579" s="36" t="s">
        <v>59</v>
      </c>
      <c r="D579" s="44" t="s">
        <v>812</v>
      </c>
      <c r="E579" s="45">
        <v>578</v>
      </c>
      <c r="F579" s="46">
        <v>46121</v>
      </c>
      <c r="G579" s="42" t="s">
        <v>615</v>
      </c>
      <c r="H579" s="42">
        <f t="shared" si="31"/>
        <v>15</v>
      </c>
      <c r="I579" s="42">
        <f ca="1">IF(AND(F579&lt;&gt;"", J579&lt;&gt;""), NETWORKDAYS(TODAY(), J579-1, FESTIVOS!A$1:A$55), "")</f>
        <v>-29</v>
      </c>
      <c r="J579" s="43">
        <f>IF(AND(F579&lt;&gt;"", H579&lt;&gt;""), WORKDAY(F579, H579, FESTIVOS!A$1:A$55), "")</f>
        <v>46142</v>
      </c>
      <c r="K579" s="42" t="s">
        <v>656</v>
      </c>
      <c r="L579" s="42">
        <f t="shared" ca="1" si="32"/>
        <v>0</v>
      </c>
      <c r="M579" s="42" t="str">
        <f t="shared" ca="1" si="33"/>
        <v>Vencido</v>
      </c>
      <c r="N579" s="42"/>
      <c r="O579" s="42"/>
      <c r="P579" s="4" t="str">
        <f>IF(OR(O579="", J579=""), "", NETWORKDAYS(J579, O579,#REF!))</f>
        <v/>
      </c>
    </row>
    <row r="580" spans="1:16" ht="31.5" x14ac:dyDescent="0.25">
      <c r="A580" s="42" t="s">
        <v>18</v>
      </c>
      <c r="B580" s="12" t="s">
        <v>815</v>
      </c>
      <c r="C580" s="36" t="s">
        <v>169</v>
      </c>
      <c r="D580" s="44" t="s">
        <v>814</v>
      </c>
      <c r="E580" s="45">
        <v>579</v>
      </c>
      <c r="F580" s="46">
        <v>46121</v>
      </c>
      <c r="G580" s="42" t="s">
        <v>615</v>
      </c>
      <c r="H580" s="42">
        <f t="shared" si="31"/>
        <v>15</v>
      </c>
      <c r="I580" s="42">
        <f ca="1">IF(AND(F580&lt;&gt;"", J580&lt;&gt;""), NETWORKDAYS(TODAY(), J580-1, FESTIVOS!A$1:A$55), "")</f>
        <v>-29</v>
      </c>
      <c r="J580" s="43">
        <f>IF(AND(F580&lt;&gt;"", H580&lt;&gt;""), WORKDAY(F580, H580, FESTIVOS!A$1:A$55), "")</f>
        <v>46142</v>
      </c>
      <c r="K580" s="42" t="s">
        <v>656</v>
      </c>
      <c r="L580" s="42">
        <f t="shared" ca="1" si="32"/>
        <v>0</v>
      </c>
      <c r="M580" s="42" t="str">
        <f t="shared" ca="1" si="33"/>
        <v>Vencido</v>
      </c>
      <c r="N580" s="42"/>
      <c r="O580" s="42"/>
      <c r="P580" s="4" t="str">
        <f>IF(OR(O580="", J580=""), "", NETWORKDAYS(J580, O580,#REF!))</f>
        <v/>
      </c>
    </row>
    <row r="581" spans="1:16" ht="15.75" x14ac:dyDescent="0.25">
      <c r="A581" s="42" t="s">
        <v>18</v>
      </c>
      <c r="B581" s="12" t="s">
        <v>901</v>
      </c>
      <c r="C581" s="36" t="s">
        <v>59</v>
      </c>
      <c r="D581" s="44" t="s">
        <v>900</v>
      </c>
      <c r="E581" s="45">
        <v>580</v>
      </c>
      <c r="F581" s="46">
        <v>46122</v>
      </c>
      <c r="G581" s="42" t="s">
        <v>615</v>
      </c>
      <c r="H581" s="42">
        <f t="shared" si="31"/>
        <v>15</v>
      </c>
      <c r="I581" s="42">
        <f ca="1">IF(AND(F581&lt;&gt;"", J581&lt;&gt;""), NETWORKDAYS(TODAY(), J581-1, FESTIVOS!A$1:A$55), "")</f>
        <v>-27</v>
      </c>
      <c r="J581" s="43">
        <f>IF(AND(F581&lt;&gt;"", H581&lt;&gt;""), WORKDAY(F581, H581, FESTIVOS!A$1:A$55), "")</f>
        <v>46146</v>
      </c>
      <c r="K581" s="42" t="s">
        <v>656</v>
      </c>
      <c r="L581" s="42">
        <f t="shared" ca="1" si="32"/>
        <v>0</v>
      </c>
      <c r="M581" s="42" t="str">
        <f t="shared" ca="1" si="33"/>
        <v>Vencido</v>
      </c>
      <c r="N581" s="42"/>
      <c r="O581" s="42"/>
      <c r="P581" s="4" t="str">
        <f>IF(OR(O581="", J581=""), "", NETWORKDAYS(J581, O581,#REF!))</f>
        <v/>
      </c>
    </row>
    <row r="582" spans="1:16" ht="47.25" x14ac:dyDescent="0.25">
      <c r="A582" s="42" t="s">
        <v>18</v>
      </c>
      <c r="B582" s="12" t="s">
        <v>77</v>
      </c>
      <c r="C582" s="36" t="s">
        <v>169</v>
      </c>
      <c r="D582" s="77" t="s">
        <v>902</v>
      </c>
      <c r="E582" s="45">
        <v>581</v>
      </c>
      <c r="F582" s="46">
        <v>46122</v>
      </c>
      <c r="G582" s="42" t="s">
        <v>615</v>
      </c>
      <c r="H582" s="42">
        <f t="shared" si="31"/>
        <v>15</v>
      </c>
      <c r="I582" s="42">
        <f ca="1">IF(AND(F582&lt;&gt;"", J582&lt;&gt;""), NETWORKDAYS(TODAY(), J582-1, FESTIVOS!A$1:A$55), "")</f>
        <v>-27</v>
      </c>
      <c r="J582" s="43">
        <f>IF(AND(F582&lt;&gt;"", H582&lt;&gt;""), WORKDAY(F582, H582, FESTIVOS!A$1:A$55), "")</f>
        <v>46146</v>
      </c>
      <c r="K582" s="42" t="s">
        <v>656</v>
      </c>
      <c r="L582" s="42">
        <f t="shared" ca="1" si="32"/>
        <v>0</v>
      </c>
      <c r="M582" s="42" t="str">
        <f t="shared" ca="1" si="33"/>
        <v>Vencido</v>
      </c>
      <c r="N582" s="42"/>
      <c r="O582" s="42"/>
      <c r="P582" s="4" t="str">
        <f>IF(OR(O582="", J582=""), "", NETWORKDAYS(J582, O582,#REF!))</f>
        <v/>
      </c>
    </row>
    <row r="583" spans="1:16" ht="15.75" x14ac:dyDescent="0.25">
      <c r="A583" s="42" t="s">
        <v>18</v>
      </c>
      <c r="B583" s="12" t="s">
        <v>903</v>
      </c>
      <c r="C583" s="36" t="s">
        <v>59</v>
      </c>
      <c r="D583" s="44" t="s">
        <v>30</v>
      </c>
      <c r="E583" s="45">
        <v>582</v>
      </c>
      <c r="F583" s="46">
        <v>46122</v>
      </c>
      <c r="G583" s="42" t="s">
        <v>615</v>
      </c>
      <c r="H583" s="42">
        <f t="shared" si="31"/>
        <v>15</v>
      </c>
      <c r="I583" s="42">
        <f ca="1">IF(AND(F583&lt;&gt;"", J583&lt;&gt;""), NETWORKDAYS(TODAY(), J583-1, FESTIVOS!A$1:A$55), "")</f>
        <v>-27</v>
      </c>
      <c r="J583" s="76">
        <f>IF(AND(F583&lt;&gt;"", H583&lt;&gt;""), WORKDAY(F583, H583, FESTIVOS!A$1:A$55), "")</f>
        <v>46146</v>
      </c>
      <c r="K583" s="75" t="s">
        <v>656</v>
      </c>
      <c r="L583" s="75">
        <f t="shared" ca="1" si="32"/>
        <v>0</v>
      </c>
      <c r="M583" s="75" t="str">
        <f t="shared" ca="1" si="33"/>
        <v>Vencido</v>
      </c>
      <c r="N583" s="75" t="s">
        <v>981</v>
      </c>
      <c r="O583" s="76">
        <v>46126</v>
      </c>
      <c r="P583" s="4" t="e">
        <f>IF(OR(O583="", J583=""), "", NETWORKDAYS(J583, O583,#REF!))</f>
        <v>#REF!</v>
      </c>
    </row>
    <row r="584" spans="1:16" ht="15.75" x14ac:dyDescent="0.25">
      <c r="A584" s="10" t="s">
        <v>18</v>
      </c>
      <c r="B584" s="12" t="s">
        <v>56</v>
      </c>
      <c r="C584" s="12" t="s">
        <v>84</v>
      </c>
      <c r="D584" s="18" t="s">
        <v>45</v>
      </c>
      <c r="E584" s="45">
        <v>583</v>
      </c>
      <c r="F584" s="46">
        <v>46122</v>
      </c>
      <c r="G584" s="42" t="s">
        <v>615</v>
      </c>
      <c r="H584" s="10">
        <f t="shared" si="31"/>
        <v>15</v>
      </c>
      <c r="I584" s="10">
        <f ca="1">IF(AND(F584&lt;&gt;"", J584&lt;&gt;""), NETWORKDAYS(TODAY(), J584-1, FESTIVOS!A$1:A$55), "")</f>
        <v>-27</v>
      </c>
      <c r="J584" s="11">
        <f>IF(AND(F584&lt;&gt;"", H584&lt;&gt;""), WORKDAY(F584, H584, FESTIVOS!A$1:A$55), "")</f>
        <v>46146</v>
      </c>
      <c r="K584" s="10" t="s">
        <v>656</v>
      </c>
      <c r="L584" s="3">
        <f t="shared" ca="1" si="32"/>
        <v>0</v>
      </c>
      <c r="M584" s="3" t="str">
        <f t="shared" ca="1" si="33"/>
        <v>Vencido</v>
      </c>
      <c r="N584" s="3"/>
      <c r="O584" s="3"/>
      <c r="P584" s="4" t="str">
        <f>IF(OR(O584="", J584=""), "", NETWORKDAYS(J584, O584,#REF!))</f>
        <v/>
      </c>
    </row>
    <row r="585" spans="1:16" ht="15.75" x14ac:dyDescent="0.25">
      <c r="A585" s="10" t="s">
        <v>18</v>
      </c>
      <c r="B585" s="12" t="s">
        <v>56</v>
      </c>
      <c r="C585" s="12" t="s">
        <v>84</v>
      </c>
      <c r="D585" s="18" t="s">
        <v>45</v>
      </c>
      <c r="E585" s="45">
        <v>584</v>
      </c>
      <c r="F585" s="46">
        <v>46122</v>
      </c>
      <c r="G585" s="42" t="s">
        <v>615</v>
      </c>
      <c r="H585" s="10">
        <f t="shared" si="31"/>
        <v>15</v>
      </c>
      <c r="I585" s="10">
        <f ca="1">IF(AND(F585&lt;&gt;"", J585&lt;&gt;""), NETWORKDAYS(TODAY(), J585-1, FESTIVOS!A$1:A$55), "")</f>
        <v>-27</v>
      </c>
      <c r="J585" s="11">
        <f>IF(AND(F585&lt;&gt;"", H585&lt;&gt;""), WORKDAY(F585, H585, FESTIVOS!A$1:A$55), "")</f>
        <v>46146</v>
      </c>
      <c r="K585" s="10" t="s">
        <v>656</v>
      </c>
      <c r="L585" s="3">
        <f t="shared" ca="1" si="32"/>
        <v>0</v>
      </c>
      <c r="M585" s="3" t="str">
        <f t="shared" ca="1" si="33"/>
        <v>Vencido</v>
      </c>
      <c r="N585" s="3"/>
      <c r="O585" s="3"/>
      <c r="P585" s="4" t="str">
        <f>IF(OR(O585="", J585=""), "", NETWORKDAYS(J585, O585,#REF!))</f>
        <v/>
      </c>
    </row>
    <row r="586" spans="1:16" ht="15.75" x14ac:dyDescent="0.25">
      <c r="A586" s="10" t="s">
        <v>18</v>
      </c>
      <c r="B586" s="12" t="s">
        <v>56</v>
      </c>
      <c r="C586" s="12" t="s">
        <v>84</v>
      </c>
      <c r="D586" s="18" t="s">
        <v>45</v>
      </c>
      <c r="E586" s="45">
        <v>585</v>
      </c>
      <c r="F586" s="46">
        <v>46122</v>
      </c>
      <c r="G586" s="42" t="s">
        <v>615</v>
      </c>
      <c r="H586" s="10">
        <f t="shared" si="31"/>
        <v>15</v>
      </c>
      <c r="I586" s="10">
        <f ca="1">IF(AND(F586&lt;&gt;"", J586&lt;&gt;""), NETWORKDAYS(TODAY(), J586-1, FESTIVOS!A$1:A$55), "")</f>
        <v>-27</v>
      </c>
      <c r="J586" s="11">
        <f>IF(AND(F586&lt;&gt;"", H586&lt;&gt;""), WORKDAY(F586, H586, FESTIVOS!A$1:A$55), "")</f>
        <v>46146</v>
      </c>
      <c r="K586" s="10" t="s">
        <v>656</v>
      </c>
      <c r="L586" s="3">
        <f t="shared" ca="1" si="32"/>
        <v>0</v>
      </c>
      <c r="M586" s="3" t="str">
        <f t="shared" ca="1" si="33"/>
        <v>Vencido</v>
      </c>
      <c r="N586" s="3"/>
      <c r="O586" s="3"/>
      <c r="P586" s="4" t="str">
        <f>IF(OR(O586="", J586=""), "", NETWORKDAYS(J586, O586,#REF!))</f>
        <v/>
      </c>
    </row>
    <row r="587" spans="1:16" ht="15.75" x14ac:dyDescent="0.25">
      <c r="A587" s="10" t="s">
        <v>18</v>
      </c>
      <c r="B587" s="12" t="s">
        <v>56</v>
      </c>
      <c r="C587" s="12" t="s">
        <v>84</v>
      </c>
      <c r="D587" s="18" t="s">
        <v>45</v>
      </c>
      <c r="E587" s="45">
        <v>586</v>
      </c>
      <c r="F587" s="46">
        <v>46122</v>
      </c>
      <c r="G587" s="42" t="s">
        <v>615</v>
      </c>
      <c r="H587" s="10">
        <f t="shared" si="31"/>
        <v>15</v>
      </c>
      <c r="I587" s="10">
        <f ca="1">IF(AND(F587&lt;&gt;"", J587&lt;&gt;""), NETWORKDAYS(TODAY(), J587-1, FESTIVOS!A$1:A$55), "")</f>
        <v>-27</v>
      </c>
      <c r="J587" s="11">
        <f>IF(AND(F587&lt;&gt;"", H587&lt;&gt;""), WORKDAY(F587, H587, FESTIVOS!A$1:A$55), "")</f>
        <v>46146</v>
      </c>
      <c r="K587" s="10" t="s">
        <v>656</v>
      </c>
      <c r="L587" s="3">
        <f t="shared" ca="1" si="32"/>
        <v>0</v>
      </c>
      <c r="M587" s="3" t="str">
        <f t="shared" ca="1" si="33"/>
        <v>Vencido</v>
      </c>
      <c r="N587" s="3"/>
      <c r="O587" s="3"/>
      <c r="P587" s="4" t="str">
        <f>IF(OR(O587="", J587=""), "", NETWORKDAYS(J587, O587,#REF!))</f>
        <v/>
      </c>
    </row>
    <row r="588" spans="1:16" ht="15.75" x14ac:dyDescent="0.25">
      <c r="A588" s="10" t="s">
        <v>18</v>
      </c>
      <c r="B588" s="12" t="s">
        <v>56</v>
      </c>
      <c r="C588" s="12" t="s">
        <v>84</v>
      </c>
      <c r="D588" s="18" t="s">
        <v>45</v>
      </c>
      <c r="E588" s="45">
        <v>587</v>
      </c>
      <c r="F588" s="46">
        <v>46122</v>
      </c>
      <c r="G588" s="42" t="s">
        <v>615</v>
      </c>
      <c r="H588" s="10">
        <f t="shared" si="31"/>
        <v>15</v>
      </c>
      <c r="I588" s="10">
        <f ca="1">IF(AND(F588&lt;&gt;"", J588&lt;&gt;""), NETWORKDAYS(TODAY(), J588-1, FESTIVOS!A$1:A$55), "")</f>
        <v>-27</v>
      </c>
      <c r="J588" s="11">
        <f>IF(AND(F588&lt;&gt;"", H588&lt;&gt;""), WORKDAY(F588, H588, FESTIVOS!A$1:A$55), "")</f>
        <v>46146</v>
      </c>
      <c r="K588" s="10" t="s">
        <v>656</v>
      </c>
      <c r="L588" s="3">
        <f t="shared" ca="1" si="32"/>
        <v>0</v>
      </c>
      <c r="M588" s="3" t="str">
        <f t="shared" ca="1" si="33"/>
        <v>Vencido</v>
      </c>
      <c r="N588" s="3"/>
      <c r="O588" s="3"/>
      <c r="P588" s="4" t="str">
        <f>IF(OR(O588="", J588=""), "", NETWORKDAYS(J588, O588,#REF!))</f>
        <v/>
      </c>
    </row>
    <row r="589" spans="1:16" ht="15.75" x14ac:dyDescent="0.25">
      <c r="A589" s="10" t="s">
        <v>18</v>
      </c>
      <c r="B589" s="12" t="s">
        <v>56</v>
      </c>
      <c r="C589" s="12" t="s">
        <v>84</v>
      </c>
      <c r="D589" s="18" t="s">
        <v>45</v>
      </c>
      <c r="E589" s="45">
        <v>588</v>
      </c>
      <c r="F589" s="46">
        <v>46122</v>
      </c>
      <c r="G589" s="42" t="s">
        <v>615</v>
      </c>
      <c r="H589" s="10">
        <f t="shared" si="31"/>
        <v>15</v>
      </c>
      <c r="I589" s="10">
        <f ca="1">IF(AND(F589&lt;&gt;"", J589&lt;&gt;""), NETWORKDAYS(TODAY(), J589-1, FESTIVOS!A$1:A$55), "")</f>
        <v>-27</v>
      </c>
      <c r="J589" s="11">
        <f>IF(AND(F589&lt;&gt;"", H589&lt;&gt;""), WORKDAY(F589, H589, FESTIVOS!A$1:A$55), "")</f>
        <v>46146</v>
      </c>
      <c r="K589" s="10" t="s">
        <v>656</v>
      </c>
      <c r="L589" s="3">
        <f t="shared" ca="1" si="32"/>
        <v>0</v>
      </c>
      <c r="M589" s="3" t="str">
        <f t="shared" ca="1" si="33"/>
        <v>Vencido</v>
      </c>
      <c r="N589" s="3"/>
      <c r="O589" s="3"/>
      <c r="P589" s="4" t="str">
        <f>IF(OR(O589="", J589=""), "", NETWORKDAYS(J589, O589,#REF!))</f>
        <v/>
      </c>
    </row>
    <row r="590" spans="1:16" ht="15.75" x14ac:dyDescent="0.25">
      <c r="A590" s="10" t="s">
        <v>18</v>
      </c>
      <c r="B590" s="12" t="s">
        <v>56</v>
      </c>
      <c r="C590" s="12" t="s">
        <v>84</v>
      </c>
      <c r="D590" s="18" t="s">
        <v>45</v>
      </c>
      <c r="E590" s="45">
        <v>589</v>
      </c>
      <c r="F590" s="46">
        <v>46122</v>
      </c>
      <c r="G590" s="42" t="s">
        <v>615</v>
      </c>
      <c r="H590" s="10">
        <f t="shared" si="31"/>
        <v>15</v>
      </c>
      <c r="I590" s="10">
        <f ca="1">IF(AND(F590&lt;&gt;"", J590&lt;&gt;""), NETWORKDAYS(TODAY(), J590-1, FESTIVOS!A$1:A$55), "")</f>
        <v>-27</v>
      </c>
      <c r="J590" s="11">
        <f>IF(AND(F590&lt;&gt;"", H590&lt;&gt;""), WORKDAY(F590, H590, FESTIVOS!A$1:A$55), "")</f>
        <v>46146</v>
      </c>
      <c r="K590" s="10" t="s">
        <v>656</v>
      </c>
      <c r="L590" s="3">
        <f t="shared" ca="1" si="32"/>
        <v>0</v>
      </c>
      <c r="M590" s="3" t="str">
        <f t="shared" ca="1" si="33"/>
        <v>Vencido</v>
      </c>
      <c r="N590" s="3"/>
      <c r="O590" s="3"/>
      <c r="P590" s="4" t="str">
        <f>IF(OR(O590="", J590=""), "", NETWORKDAYS(J590, O590,#REF!))</f>
        <v/>
      </c>
    </row>
    <row r="591" spans="1:16" ht="15.75" x14ac:dyDescent="0.25">
      <c r="A591" s="10" t="s">
        <v>18</v>
      </c>
      <c r="B591" s="12" t="s">
        <v>815</v>
      </c>
      <c r="C591" s="12" t="s">
        <v>169</v>
      </c>
      <c r="D591" s="18" t="s">
        <v>40</v>
      </c>
      <c r="E591" s="45">
        <v>590</v>
      </c>
      <c r="F591" s="17">
        <v>46125</v>
      </c>
      <c r="G591" s="42" t="s">
        <v>615</v>
      </c>
      <c r="H591" s="10">
        <f t="shared" si="31"/>
        <v>15</v>
      </c>
      <c r="I591" s="10">
        <f ca="1">IF(AND(F591&lt;&gt;"", J591&lt;&gt;""), NETWORKDAYS(TODAY(), J591-1, FESTIVOS!A$1:A$55), "")</f>
        <v>-27</v>
      </c>
      <c r="J591" s="11">
        <f>IF(AND(F591&lt;&gt;"", H591&lt;&gt;""), WORKDAY(F591, H591, FESTIVOS!A$1:A$55), "")</f>
        <v>46147</v>
      </c>
      <c r="K591" s="10" t="s">
        <v>656</v>
      </c>
      <c r="L591" s="3">
        <f t="shared" ca="1" si="32"/>
        <v>0</v>
      </c>
      <c r="M591" s="3" t="str">
        <f t="shared" ca="1" si="33"/>
        <v>Vencido</v>
      </c>
      <c r="N591" s="3"/>
      <c r="O591" s="3"/>
      <c r="P591" s="4" t="str">
        <f>IF(OR(O591="", J591=""), "", NETWORKDAYS(J591, O591,#REF!))</f>
        <v/>
      </c>
    </row>
    <row r="592" spans="1:16" ht="31.5" x14ac:dyDescent="0.25">
      <c r="A592" s="10" t="s">
        <v>18</v>
      </c>
      <c r="B592" s="12" t="s">
        <v>904</v>
      </c>
      <c r="C592" s="12" t="s">
        <v>576</v>
      </c>
      <c r="D592" s="18" t="s">
        <v>905</v>
      </c>
      <c r="E592" s="45">
        <v>591</v>
      </c>
      <c r="F592" s="17">
        <v>46125</v>
      </c>
      <c r="G592" s="42" t="s">
        <v>906</v>
      </c>
      <c r="H592" s="3">
        <f t="shared" si="31"/>
        <v>15</v>
      </c>
      <c r="I592" s="3">
        <f ca="1">IF(AND(F592&lt;&gt;"", J592&lt;&gt;""), NETWORKDAYS(TODAY(), J592-1, FESTIVOS!A$1:A$55), "")</f>
        <v>-27</v>
      </c>
      <c r="J592" s="4">
        <f>IF(AND(F592&lt;&gt;"", H592&lt;&gt;""), WORKDAY(F592, H592, FESTIVOS!A$1:A$55), "")</f>
        <v>46147</v>
      </c>
      <c r="K592" s="42" t="s">
        <v>656</v>
      </c>
      <c r="L592" s="3">
        <f t="shared" ca="1" si="32"/>
        <v>0</v>
      </c>
      <c r="M592" s="3" t="str">
        <f t="shared" ca="1" si="33"/>
        <v>Vencido</v>
      </c>
      <c r="N592" s="3"/>
      <c r="O592" s="3"/>
      <c r="P592" s="4" t="str">
        <f>IF(OR(O592="", J592=""), "", NETWORKDAYS(J592, O592,#REF!))</f>
        <v/>
      </c>
    </row>
    <row r="593" spans="1:16" ht="31.5" x14ac:dyDescent="0.25">
      <c r="A593" s="10" t="s">
        <v>18</v>
      </c>
      <c r="B593" s="12" t="s">
        <v>904</v>
      </c>
      <c r="C593" s="12" t="s">
        <v>576</v>
      </c>
      <c r="D593" s="18" t="s">
        <v>905</v>
      </c>
      <c r="E593" s="16">
        <v>592</v>
      </c>
      <c r="F593" s="17">
        <v>46125</v>
      </c>
      <c r="G593" s="10" t="s">
        <v>906</v>
      </c>
      <c r="H593" s="10">
        <f t="shared" si="31"/>
        <v>15</v>
      </c>
      <c r="I593" s="10">
        <f ca="1">IF(AND(F593&lt;&gt;"", J593&lt;&gt;""), NETWORKDAYS(TODAY(), J593-1, FESTIVOS!A$1:A$55), "")</f>
        <v>-27</v>
      </c>
      <c r="J593" s="11">
        <f>IF(AND(F593&lt;&gt;"", H593&lt;&gt;""), WORKDAY(F593, H593, FESTIVOS!A$1:A$55), "")</f>
        <v>46147</v>
      </c>
      <c r="K593" s="10" t="s">
        <v>656</v>
      </c>
      <c r="L593" s="10">
        <f t="shared" ca="1" si="32"/>
        <v>0</v>
      </c>
      <c r="M593" s="10" t="str">
        <f t="shared" ca="1" si="33"/>
        <v>Vencido</v>
      </c>
      <c r="N593" s="3"/>
      <c r="O593" s="3"/>
      <c r="P593" s="4" t="str">
        <f>IF(OR(O593="", J593=""), "", NETWORKDAYS(J593, O593,#REF!))</f>
        <v/>
      </c>
    </row>
    <row r="594" spans="1:16" ht="31.5" x14ac:dyDescent="0.25">
      <c r="A594" s="10" t="s">
        <v>18</v>
      </c>
      <c r="B594" s="12" t="s">
        <v>904</v>
      </c>
      <c r="C594" s="12" t="s">
        <v>576</v>
      </c>
      <c r="D594" s="18" t="s">
        <v>905</v>
      </c>
      <c r="E594" s="16">
        <v>593</v>
      </c>
      <c r="F594" s="17">
        <v>46125</v>
      </c>
      <c r="G594" s="10" t="s">
        <v>906</v>
      </c>
      <c r="H594" s="10">
        <f t="shared" si="31"/>
        <v>15</v>
      </c>
      <c r="I594" s="10">
        <f ca="1">IF(AND(F594&lt;&gt;"", J594&lt;&gt;""), NETWORKDAYS(TODAY(), J594-1, FESTIVOS!A$1:A$55), "")</f>
        <v>-27</v>
      </c>
      <c r="J594" s="11">
        <f>IF(AND(F594&lt;&gt;"", H594&lt;&gt;""), WORKDAY(F594, H594, FESTIVOS!A$1:A$55), "")</f>
        <v>46147</v>
      </c>
      <c r="K594" s="10" t="s">
        <v>656</v>
      </c>
      <c r="L594" s="10">
        <f t="shared" ca="1" si="32"/>
        <v>0</v>
      </c>
      <c r="M594" s="10" t="str">
        <f t="shared" ca="1" si="33"/>
        <v>Vencido</v>
      </c>
      <c r="N594" s="3"/>
      <c r="O594" s="3"/>
      <c r="P594" s="4" t="str">
        <f>IF(OR(O594="", J594=""), "", NETWORKDAYS(J594, O594,#REF!))</f>
        <v/>
      </c>
    </row>
    <row r="595" spans="1:16" ht="31.5" x14ac:dyDescent="0.25">
      <c r="A595" s="10" t="s">
        <v>18</v>
      </c>
      <c r="B595" s="12" t="s">
        <v>904</v>
      </c>
      <c r="C595" s="12" t="s">
        <v>576</v>
      </c>
      <c r="D595" s="18" t="s">
        <v>905</v>
      </c>
      <c r="E595" s="16">
        <v>594</v>
      </c>
      <c r="F595" s="17">
        <v>46125</v>
      </c>
      <c r="G595" s="10" t="s">
        <v>906</v>
      </c>
      <c r="H595" s="10">
        <f t="shared" si="31"/>
        <v>15</v>
      </c>
      <c r="I595" s="10">
        <f ca="1">IF(AND(F595&lt;&gt;"", J595&lt;&gt;""), NETWORKDAYS(TODAY(), J595-1, FESTIVOS!A$1:A$55), "")</f>
        <v>-27</v>
      </c>
      <c r="J595" s="11">
        <f>IF(AND(F595&lt;&gt;"", H595&lt;&gt;""), WORKDAY(F595, H595, FESTIVOS!A$1:A$55), "")</f>
        <v>46147</v>
      </c>
      <c r="K595" s="10" t="s">
        <v>656</v>
      </c>
      <c r="L595" s="10">
        <f t="shared" ca="1" si="32"/>
        <v>0</v>
      </c>
      <c r="M595" s="10" t="str">
        <f t="shared" ca="1" si="33"/>
        <v>Vencido</v>
      </c>
      <c r="N595" s="3"/>
      <c r="O595" s="3"/>
      <c r="P595" s="4" t="str">
        <f>IF(OR(O595="", J595=""), "", NETWORKDAYS(J595, O595,#REF!))</f>
        <v/>
      </c>
    </row>
    <row r="596" spans="1:16" ht="31.5" x14ac:dyDescent="0.25">
      <c r="A596" s="10" t="s">
        <v>18</v>
      </c>
      <c r="B596" s="12" t="s">
        <v>904</v>
      </c>
      <c r="C596" s="12" t="s">
        <v>576</v>
      </c>
      <c r="D596" s="18" t="s">
        <v>905</v>
      </c>
      <c r="E596" s="16">
        <v>595</v>
      </c>
      <c r="F596" s="17">
        <v>46125</v>
      </c>
      <c r="G596" s="10" t="s">
        <v>906</v>
      </c>
      <c r="H596" s="10">
        <f t="shared" si="31"/>
        <v>15</v>
      </c>
      <c r="I596" s="10">
        <f ca="1">IF(AND(F596&lt;&gt;"", J596&lt;&gt;""), NETWORKDAYS(TODAY(), J596-1, FESTIVOS!A$1:A$55), "")</f>
        <v>-27</v>
      </c>
      <c r="J596" s="11">
        <f>IF(AND(F596&lt;&gt;"", H596&lt;&gt;""), WORKDAY(F596, H596, FESTIVOS!A$1:A$55), "")</f>
        <v>46147</v>
      </c>
      <c r="K596" s="10" t="s">
        <v>656</v>
      </c>
      <c r="L596" s="10">
        <f t="shared" ca="1" si="32"/>
        <v>0</v>
      </c>
      <c r="M596" s="10" t="str">
        <f t="shared" ca="1" si="33"/>
        <v>Vencido</v>
      </c>
      <c r="N596" s="3"/>
      <c r="O596" s="3"/>
      <c r="P596" s="4" t="str">
        <f>IF(OR(O596="", J596=""), "", NETWORKDAYS(J596, O596,#REF!))</f>
        <v/>
      </c>
    </row>
    <row r="597" spans="1:16" ht="31.5" x14ac:dyDescent="0.25">
      <c r="A597" s="10" t="s">
        <v>18</v>
      </c>
      <c r="B597" s="12" t="s">
        <v>904</v>
      </c>
      <c r="C597" s="12" t="s">
        <v>576</v>
      </c>
      <c r="D597" s="18" t="s">
        <v>905</v>
      </c>
      <c r="E597" s="16">
        <v>596</v>
      </c>
      <c r="F597" s="17">
        <v>46125</v>
      </c>
      <c r="G597" s="10" t="s">
        <v>906</v>
      </c>
      <c r="H597" s="10">
        <f t="shared" si="31"/>
        <v>15</v>
      </c>
      <c r="I597" s="10">
        <f ca="1">IF(AND(F597&lt;&gt;"", J597&lt;&gt;""), NETWORKDAYS(TODAY(), J597-1, FESTIVOS!A$1:A$55), "")</f>
        <v>-27</v>
      </c>
      <c r="J597" s="11">
        <f>IF(AND(F597&lt;&gt;"", H597&lt;&gt;""), WORKDAY(F597, H597, FESTIVOS!A$1:A$55), "")</f>
        <v>46147</v>
      </c>
      <c r="K597" s="10" t="s">
        <v>656</v>
      </c>
      <c r="L597" s="10">
        <f t="shared" ca="1" si="32"/>
        <v>0</v>
      </c>
      <c r="M597" s="10" t="str">
        <f t="shared" ca="1" si="33"/>
        <v>Vencido</v>
      </c>
      <c r="N597" s="3"/>
      <c r="O597" s="3"/>
      <c r="P597" s="4" t="str">
        <f>IF(OR(O597="", J597=""), "", NETWORKDAYS(J597, O597,#REF!))</f>
        <v/>
      </c>
    </row>
    <row r="598" spans="1:16" ht="31.5" x14ac:dyDescent="0.25">
      <c r="A598" s="10" t="s">
        <v>18</v>
      </c>
      <c r="B598" s="12" t="s">
        <v>904</v>
      </c>
      <c r="C598" s="12" t="s">
        <v>576</v>
      </c>
      <c r="D598" s="18" t="s">
        <v>905</v>
      </c>
      <c r="E598" s="16">
        <v>597</v>
      </c>
      <c r="F598" s="17">
        <v>46125</v>
      </c>
      <c r="G598" s="10" t="s">
        <v>906</v>
      </c>
      <c r="H598" s="10">
        <f t="shared" si="31"/>
        <v>15</v>
      </c>
      <c r="I598" s="10">
        <f ca="1">IF(AND(F598&lt;&gt;"", J598&lt;&gt;""), NETWORKDAYS(TODAY(), J598-1, FESTIVOS!A$1:A$55), "")</f>
        <v>-27</v>
      </c>
      <c r="J598" s="11">
        <f>IF(AND(F598&lt;&gt;"", H598&lt;&gt;""), WORKDAY(F598, H598, FESTIVOS!A$1:A$55), "")</f>
        <v>46147</v>
      </c>
      <c r="K598" s="10" t="s">
        <v>656</v>
      </c>
      <c r="L598" s="10">
        <f t="shared" ca="1" si="32"/>
        <v>0</v>
      </c>
      <c r="M598" s="10" t="str">
        <f t="shared" ca="1" si="33"/>
        <v>Vencido</v>
      </c>
      <c r="N598" s="3"/>
      <c r="O598" s="3"/>
      <c r="P598" s="4" t="str">
        <f>IF(OR(O598="", J598=""), "", NETWORKDAYS(J598, O598,#REF!))</f>
        <v/>
      </c>
    </row>
    <row r="599" spans="1:16" ht="31.5" x14ac:dyDescent="0.25">
      <c r="A599" s="10" t="s">
        <v>18</v>
      </c>
      <c r="B599" s="12" t="s">
        <v>904</v>
      </c>
      <c r="C599" s="12" t="s">
        <v>576</v>
      </c>
      <c r="D599" s="18" t="s">
        <v>905</v>
      </c>
      <c r="E599" s="16">
        <v>598</v>
      </c>
      <c r="F599" s="17">
        <v>46125</v>
      </c>
      <c r="G599" s="10" t="s">
        <v>906</v>
      </c>
      <c r="H599" s="10">
        <f t="shared" si="31"/>
        <v>15</v>
      </c>
      <c r="I599" s="10">
        <f ca="1">IF(AND(F599&lt;&gt;"", J599&lt;&gt;""), NETWORKDAYS(TODAY(), J599-1, FESTIVOS!A$1:A$55), "")</f>
        <v>-27</v>
      </c>
      <c r="J599" s="11">
        <f>IF(AND(F599&lt;&gt;"", H599&lt;&gt;""), WORKDAY(F599, H599, FESTIVOS!A$1:A$55), "")</f>
        <v>46147</v>
      </c>
      <c r="K599" s="10" t="s">
        <v>656</v>
      </c>
      <c r="L599" s="10">
        <f t="shared" ca="1" si="32"/>
        <v>0</v>
      </c>
      <c r="M599" s="10" t="str">
        <f t="shared" ca="1" si="33"/>
        <v>Vencido</v>
      </c>
      <c r="N599" s="3"/>
      <c r="O599" s="3"/>
      <c r="P599" s="4" t="str">
        <f>IF(OR(O599="", J599=""), "", NETWORKDAYS(J599, O599,#REF!))</f>
        <v/>
      </c>
    </row>
    <row r="600" spans="1:16" ht="31.5" x14ac:dyDescent="0.25">
      <c r="A600" s="10" t="s">
        <v>18</v>
      </c>
      <c r="B600" s="12" t="s">
        <v>904</v>
      </c>
      <c r="C600" s="12" t="s">
        <v>576</v>
      </c>
      <c r="D600" s="18" t="s">
        <v>905</v>
      </c>
      <c r="E600" s="16">
        <v>599</v>
      </c>
      <c r="F600" s="17">
        <v>46125</v>
      </c>
      <c r="G600" s="10" t="s">
        <v>906</v>
      </c>
      <c r="H600" s="10">
        <f t="shared" si="31"/>
        <v>15</v>
      </c>
      <c r="I600" s="10">
        <f ca="1">IF(AND(F600&lt;&gt;"", J600&lt;&gt;""), NETWORKDAYS(TODAY(), J600-1, FESTIVOS!A$1:A$55), "")</f>
        <v>-27</v>
      </c>
      <c r="J600" s="11">
        <f>IF(AND(F600&lt;&gt;"", H600&lt;&gt;""), WORKDAY(F600, H600, FESTIVOS!A$1:A$55), "")</f>
        <v>46147</v>
      </c>
      <c r="K600" s="10" t="s">
        <v>656</v>
      </c>
      <c r="L600" s="10">
        <f t="shared" ca="1" si="32"/>
        <v>0</v>
      </c>
      <c r="M600" s="10" t="str">
        <f t="shared" ca="1" si="33"/>
        <v>Vencido</v>
      </c>
      <c r="N600" s="3"/>
      <c r="O600" s="3"/>
      <c r="P600" s="4" t="str">
        <f>IF(OR(O600="", J600=""), "", NETWORKDAYS(J600, O600,#REF!))</f>
        <v/>
      </c>
    </row>
    <row r="601" spans="1:16" ht="31.5" x14ac:dyDescent="0.25">
      <c r="A601" s="10" t="s">
        <v>18</v>
      </c>
      <c r="B601" s="12" t="s">
        <v>904</v>
      </c>
      <c r="C601" s="12" t="s">
        <v>576</v>
      </c>
      <c r="D601" s="18" t="s">
        <v>905</v>
      </c>
      <c r="E601" s="16">
        <v>600</v>
      </c>
      <c r="F601" s="17">
        <v>46125</v>
      </c>
      <c r="G601" s="10" t="s">
        <v>906</v>
      </c>
      <c r="H601" s="10">
        <f t="shared" si="31"/>
        <v>15</v>
      </c>
      <c r="I601" s="10">
        <f ca="1">IF(AND(F601&lt;&gt;"", J601&lt;&gt;""), NETWORKDAYS(TODAY(), J601-1, FESTIVOS!A$1:A$55), "")</f>
        <v>-27</v>
      </c>
      <c r="J601" s="11">
        <f>IF(AND(F601&lt;&gt;"", H601&lt;&gt;""), WORKDAY(F601, H601, FESTIVOS!A$1:A$55), "")</f>
        <v>46147</v>
      </c>
      <c r="K601" s="10" t="s">
        <v>656</v>
      </c>
      <c r="L601" s="10">
        <f t="shared" ca="1" si="32"/>
        <v>0</v>
      </c>
      <c r="M601" s="10" t="str">
        <f t="shared" ca="1" si="33"/>
        <v>Vencido</v>
      </c>
      <c r="N601" s="3"/>
      <c r="O601" s="3"/>
      <c r="P601" s="4" t="str">
        <f>IF(OR(O601="", J601=""), "", NETWORKDAYS(J601, O601,#REF!))</f>
        <v/>
      </c>
    </row>
    <row r="602" spans="1:16" ht="31.5" x14ac:dyDescent="0.25">
      <c r="A602" s="10" t="s">
        <v>18</v>
      </c>
      <c r="B602" s="12" t="s">
        <v>904</v>
      </c>
      <c r="C602" s="12"/>
      <c r="D602" s="18" t="s">
        <v>905</v>
      </c>
      <c r="E602" s="16">
        <v>601</v>
      </c>
      <c r="F602" s="17">
        <v>46125</v>
      </c>
      <c r="G602" s="10" t="s">
        <v>906</v>
      </c>
      <c r="H602" s="10">
        <f t="shared" si="31"/>
        <v>15</v>
      </c>
      <c r="I602" s="10">
        <f ca="1">IF(AND(F602&lt;&gt;"", J602&lt;&gt;""), NETWORKDAYS(TODAY(), J602-1, FESTIVOS!A$1:A$55), "")</f>
        <v>-27</v>
      </c>
      <c r="J602" s="11">
        <f>IF(AND(F602&lt;&gt;"", H602&lt;&gt;""), WORKDAY(F602, H602, FESTIVOS!A$1:A$55), "")</f>
        <v>46147</v>
      </c>
      <c r="K602" s="10" t="s">
        <v>656</v>
      </c>
      <c r="L602" s="10">
        <f t="shared" ca="1" si="32"/>
        <v>0</v>
      </c>
      <c r="M602" s="10" t="str">
        <f t="shared" ca="1" si="33"/>
        <v>Vencido</v>
      </c>
      <c r="N602" s="3"/>
      <c r="O602" s="3"/>
      <c r="P602" s="4" t="str">
        <f>IF(OR(O602="", J602=""), "", NETWORKDAYS(J602, O602,#REF!))</f>
        <v/>
      </c>
    </row>
    <row r="603" spans="1:16" ht="31.5" x14ac:dyDescent="0.25">
      <c r="A603" s="10" t="s">
        <v>18</v>
      </c>
      <c r="B603" s="12" t="s">
        <v>1004</v>
      </c>
      <c r="C603" s="12" t="s">
        <v>61</v>
      </c>
      <c r="D603" s="18" t="s">
        <v>1003</v>
      </c>
      <c r="E603" s="16">
        <v>602</v>
      </c>
      <c r="F603" s="17">
        <v>46125</v>
      </c>
      <c r="G603" s="10" t="s">
        <v>646</v>
      </c>
      <c r="H603" s="10">
        <f t="shared" si="31"/>
        <v>15</v>
      </c>
      <c r="I603" s="10">
        <f ca="1">IF(AND(F603&lt;&gt;"", J603&lt;&gt;""), NETWORKDAYS(TODAY(), J603-1, FESTIVOS!A$1:A$55), "")</f>
        <v>-27</v>
      </c>
      <c r="J603" s="11">
        <f>IF(AND(F603&lt;&gt;"", H603&lt;&gt;""), WORKDAY(F603, H603, FESTIVOS!A$1:A$55), "")</f>
        <v>46147</v>
      </c>
      <c r="K603" s="10" t="s">
        <v>656</v>
      </c>
      <c r="L603" s="10">
        <f t="shared" ca="1" si="32"/>
        <v>0</v>
      </c>
      <c r="M603" s="10" t="str">
        <f t="shared" ca="1" si="33"/>
        <v>Vencido</v>
      </c>
      <c r="N603" s="3"/>
      <c r="O603" s="3"/>
      <c r="P603" s="4" t="str">
        <f>IF(OR(O603="", J603=""), "", NETWORKDAYS(J603, O603,#REF!))</f>
        <v/>
      </c>
    </row>
    <row r="604" spans="1:16" ht="47.25" x14ac:dyDescent="0.25">
      <c r="A604" s="10" t="s">
        <v>18</v>
      </c>
      <c r="B604" s="12" t="s">
        <v>77</v>
      </c>
      <c r="C604" s="12" t="s">
        <v>169</v>
      </c>
      <c r="D604" s="18" t="s">
        <v>1002</v>
      </c>
      <c r="E604" s="16">
        <v>603</v>
      </c>
      <c r="F604" s="17">
        <v>46125</v>
      </c>
      <c r="G604" s="10" t="s">
        <v>615</v>
      </c>
      <c r="H604" s="10">
        <f t="shared" si="31"/>
        <v>15</v>
      </c>
      <c r="I604" s="10">
        <f ca="1">IF(AND(F604&lt;&gt;"", J604&lt;&gt;""), NETWORKDAYS(TODAY(), J604-1, FESTIVOS!A$1:A$55), "")</f>
        <v>-27</v>
      </c>
      <c r="J604" s="11">
        <f>IF(AND(F604&lt;&gt;"", H604&lt;&gt;""), WORKDAY(F604, H604, FESTIVOS!A$1:A$55), "")</f>
        <v>46147</v>
      </c>
      <c r="K604" s="10" t="s">
        <v>656</v>
      </c>
      <c r="L604" s="10">
        <f t="shared" ca="1" si="32"/>
        <v>0</v>
      </c>
      <c r="M604" s="10" t="str">
        <f t="shared" ca="1" si="33"/>
        <v>Vencido</v>
      </c>
      <c r="N604" s="3"/>
      <c r="O604" s="3"/>
      <c r="P604" s="4" t="str">
        <f>IF(OR(O604="", J604=""), "", NETWORKDAYS(J604, O604,#REF!))</f>
        <v/>
      </c>
    </row>
    <row r="605" spans="1:16" ht="47.25" x14ac:dyDescent="0.25">
      <c r="A605" s="10" t="s">
        <v>18</v>
      </c>
      <c r="B605" s="9" t="s">
        <v>1001</v>
      </c>
      <c r="C605" s="12" t="s">
        <v>61</v>
      </c>
      <c r="D605" s="18" t="s">
        <v>1000</v>
      </c>
      <c r="E605" s="16">
        <v>604</v>
      </c>
      <c r="F605" s="17">
        <v>46125</v>
      </c>
      <c r="G605" s="10" t="s">
        <v>615</v>
      </c>
      <c r="H605" s="10">
        <f t="shared" si="31"/>
        <v>15</v>
      </c>
      <c r="I605" s="10">
        <f ca="1">IF(AND(F605&lt;&gt;"", J605&lt;&gt;""), NETWORKDAYS(TODAY(), J605-1, FESTIVOS!A$1:A$55), "")</f>
        <v>-27</v>
      </c>
      <c r="J605" s="11">
        <f>IF(AND(F605&lt;&gt;"", H605&lt;&gt;""), WORKDAY(F605, H605, FESTIVOS!A$1:A$55), "")</f>
        <v>46147</v>
      </c>
      <c r="K605" s="10" t="s">
        <v>656</v>
      </c>
      <c r="L605" s="10">
        <f t="shared" ca="1" si="32"/>
        <v>0</v>
      </c>
      <c r="M605" s="10" t="str">
        <f t="shared" ca="1" si="33"/>
        <v>Vencido</v>
      </c>
      <c r="N605" s="3"/>
      <c r="O605" s="3"/>
      <c r="P605" s="4" t="str">
        <f>IF(OR(O605="", J605=""), "", NETWORKDAYS(J605, O605,#REF!))</f>
        <v/>
      </c>
    </row>
    <row r="606" spans="1:16" ht="31.5" x14ac:dyDescent="0.25">
      <c r="A606" s="10" t="s">
        <v>18</v>
      </c>
      <c r="B606" s="12" t="s">
        <v>999</v>
      </c>
      <c r="C606" s="12" t="s">
        <v>59</v>
      </c>
      <c r="D606" s="18" t="s">
        <v>998</v>
      </c>
      <c r="E606" s="16">
        <v>605</v>
      </c>
      <c r="F606" s="17">
        <v>46126</v>
      </c>
      <c r="G606" s="10" t="s">
        <v>614</v>
      </c>
      <c r="H606" s="10">
        <f t="shared" si="31"/>
        <v>15</v>
      </c>
      <c r="I606" s="10">
        <f ca="1">IF(AND(F606&lt;&gt;"", J606&lt;&gt;""), NETWORKDAYS(TODAY(), J606-1, FESTIVOS!A$1:A$55), "")</f>
        <v>-26</v>
      </c>
      <c r="J606" s="11">
        <f>IF(AND(F606&lt;&gt;"", H606&lt;&gt;""), WORKDAY(F606, H606, FESTIVOS!A$1:A$55), "")</f>
        <v>46148</v>
      </c>
      <c r="K606" s="10" t="s">
        <v>656</v>
      </c>
      <c r="L606" s="10">
        <f t="shared" ca="1" si="32"/>
        <v>0</v>
      </c>
      <c r="M606" s="10" t="str">
        <f t="shared" ca="1" si="33"/>
        <v>Vencido</v>
      </c>
      <c r="N606" s="3"/>
      <c r="O606" s="3"/>
      <c r="P606" s="4" t="str">
        <f>IF(OR(O606="", J606=""), "", NETWORKDAYS(J606, O606,#REF!))</f>
        <v/>
      </c>
    </row>
    <row r="607" spans="1:16" ht="15.75" x14ac:dyDescent="0.25">
      <c r="A607" s="10" t="s">
        <v>18</v>
      </c>
      <c r="B607" s="12" t="s">
        <v>997</v>
      </c>
      <c r="C607" s="12" t="s">
        <v>996</v>
      </c>
      <c r="D607" s="27" t="s">
        <v>995</v>
      </c>
      <c r="E607" s="16">
        <v>606</v>
      </c>
      <c r="F607" s="17">
        <v>46120</v>
      </c>
      <c r="G607" s="10" t="s">
        <v>617</v>
      </c>
      <c r="H607" s="10">
        <f t="shared" si="31"/>
        <v>15</v>
      </c>
      <c r="I607" s="10">
        <f ca="1">IF(AND(F607&lt;&gt;"", J607&lt;&gt;""), NETWORKDAYS(TODAY(), J607-1, FESTIVOS!A$1:A$55), "")</f>
        <v>-30</v>
      </c>
      <c r="J607" s="11">
        <f>IF(AND(F607&lt;&gt;"", H607&lt;&gt;""), WORKDAY(F607, H607, FESTIVOS!A$1:A$55), "")</f>
        <v>46141</v>
      </c>
      <c r="K607" s="10" t="s">
        <v>656</v>
      </c>
      <c r="L607" s="10">
        <f t="shared" ca="1" si="32"/>
        <v>0</v>
      </c>
      <c r="M607" s="10" t="str">
        <f t="shared" ca="1" si="33"/>
        <v>Vencido</v>
      </c>
      <c r="N607" s="3"/>
      <c r="O607" s="3"/>
      <c r="P607" s="4" t="str">
        <f>IF(OR(O607="", J607=""), "", NETWORKDAYS(J607, O607,#REF!))</f>
        <v/>
      </c>
    </row>
    <row r="608" spans="1:16" ht="15.75" x14ac:dyDescent="0.25">
      <c r="A608" s="10" t="s">
        <v>18</v>
      </c>
      <c r="B608" s="12" t="s">
        <v>994</v>
      </c>
      <c r="C608" s="12" t="s">
        <v>993</v>
      </c>
      <c r="D608" s="18" t="s">
        <v>851</v>
      </c>
      <c r="E608" s="16">
        <v>607</v>
      </c>
      <c r="F608" s="17">
        <v>46126</v>
      </c>
      <c r="G608" s="10" t="s">
        <v>615</v>
      </c>
      <c r="H608" s="10">
        <f t="shared" si="31"/>
        <v>15</v>
      </c>
      <c r="I608" s="10">
        <f ca="1">IF(AND(F608&lt;&gt;"", J608&lt;&gt;""), NETWORKDAYS(TODAY(), J608-1, FESTIVOS!A$1:A$55), "")</f>
        <v>-26</v>
      </c>
      <c r="J608" s="11">
        <f>IF(AND(F608&lt;&gt;"", H608&lt;&gt;""), WORKDAY(F608, H608, FESTIVOS!A$1:A$55), "")</f>
        <v>46148</v>
      </c>
      <c r="K608" s="10" t="s">
        <v>656</v>
      </c>
      <c r="L608" s="10">
        <f t="shared" ca="1" si="32"/>
        <v>0</v>
      </c>
      <c r="M608" s="10" t="str">
        <f t="shared" ca="1" si="33"/>
        <v>Vencido</v>
      </c>
      <c r="N608" s="3"/>
      <c r="O608" s="3"/>
      <c r="P608" s="4" t="str">
        <f>IF(OR(O608="", J608=""), "", NETWORKDAYS(J608, O608,#REF!))</f>
        <v/>
      </c>
    </row>
    <row r="609" spans="1:16" ht="47.25" x14ac:dyDescent="0.25">
      <c r="A609" s="10" t="s">
        <v>18</v>
      </c>
      <c r="B609" s="9" t="s">
        <v>177</v>
      </c>
      <c r="C609" s="12" t="s">
        <v>61</v>
      </c>
      <c r="D609" s="18" t="s">
        <v>992</v>
      </c>
      <c r="E609" s="16">
        <v>608</v>
      </c>
      <c r="F609" s="17">
        <v>46126</v>
      </c>
      <c r="G609" s="10" t="s">
        <v>615</v>
      </c>
      <c r="H609" s="10">
        <f t="shared" si="31"/>
        <v>15</v>
      </c>
      <c r="I609" s="10">
        <f ca="1">IF(AND(F609&lt;&gt;"", J609&lt;&gt;""), NETWORKDAYS(TODAY(), J609-1, FESTIVOS!A$1:A$55), "")</f>
        <v>-26</v>
      </c>
      <c r="J609" s="11">
        <f>IF(AND(F609&lt;&gt;"", H609&lt;&gt;""), WORKDAY(F609, H609, FESTIVOS!A$1:A$55), "")</f>
        <v>46148</v>
      </c>
      <c r="K609" s="10" t="s">
        <v>656</v>
      </c>
      <c r="L609" s="10">
        <f t="shared" ca="1" si="32"/>
        <v>0</v>
      </c>
      <c r="M609" s="10" t="str">
        <f t="shared" ca="1" si="33"/>
        <v>Vencido</v>
      </c>
      <c r="N609" s="3"/>
      <c r="O609" s="3"/>
      <c r="P609" s="4" t="str">
        <f>IF(OR(O609="", J609=""), "", NETWORKDAYS(J609, O609,#REF!))</f>
        <v/>
      </c>
    </row>
    <row r="610" spans="1:16" ht="15.75" x14ac:dyDescent="0.25">
      <c r="A610" s="10" t="s">
        <v>18</v>
      </c>
      <c r="B610" s="12" t="s">
        <v>826</v>
      </c>
      <c r="C610" s="12" t="s">
        <v>84</v>
      </c>
      <c r="D610" s="18" t="s">
        <v>39</v>
      </c>
      <c r="E610" s="16">
        <v>609</v>
      </c>
      <c r="F610" s="17">
        <v>46126</v>
      </c>
      <c r="G610" s="10" t="s">
        <v>615</v>
      </c>
      <c r="H610" s="10">
        <f t="shared" si="31"/>
        <v>15</v>
      </c>
      <c r="I610" s="10">
        <f ca="1">IF(AND(F610&lt;&gt;"", J610&lt;&gt;""), NETWORKDAYS(TODAY(), J610-1, FESTIVOS!A$1:A$55), "")</f>
        <v>-26</v>
      </c>
      <c r="J610" s="11">
        <f>IF(AND(F610&lt;&gt;"", H610&lt;&gt;""), WORKDAY(F610, H610, FESTIVOS!A$1:A$55), "")</f>
        <v>46148</v>
      </c>
      <c r="K610" s="10" t="s">
        <v>656</v>
      </c>
      <c r="L610" s="10">
        <f t="shared" ca="1" si="32"/>
        <v>0</v>
      </c>
      <c r="M610" s="10" t="str">
        <f t="shared" ca="1" si="33"/>
        <v>Vencido</v>
      </c>
      <c r="N610" s="3"/>
      <c r="O610" s="3"/>
      <c r="P610" s="4" t="str">
        <f>IF(OR(O610="", J610=""), "", NETWORKDAYS(J610, O610,#REF!))</f>
        <v/>
      </c>
    </row>
    <row r="611" spans="1:16" ht="15.75" x14ac:dyDescent="0.25">
      <c r="A611" s="10" t="s">
        <v>18</v>
      </c>
      <c r="B611" s="12" t="s">
        <v>826</v>
      </c>
      <c r="C611" s="12" t="s">
        <v>84</v>
      </c>
      <c r="D611" s="18" t="s">
        <v>39</v>
      </c>
      <c r="E611" s="16">
        <v>610</v>
      </c>
      <c r="F611" s="17">
        <v>46126</v>
      </c>
      <c r="G611" s="10" t="s">
        <v>615</v>
      </c>
      <c r="H611" s="10">
        <f t="shared" si="31"/>
        <v>15</v>
      </c>
      <c r="I611" s="10">
        <f ca="1">IF(AND(F611&lt;&gt;"", J611&lt;&gt;""), NETWORKDAYS(TODAY(), J611-1, FESTIVOS!A$1:A$55), "")</f>
        <v>-26</v>
      </c>
      <c r="J611" s="11">
        <f>IF(AND(F611&lt;&gt;"", H611&lt;&gt;""), WORKDAY(F611, H611, FESTIVOS!A$1:A$55), "")</f>
        <v>46148</v>
      </c>
      <c r="K611" s="10" t="s">
        <v>656</v>
      </c>
      <c r="L611" s="10">
        <f t="shared" ca="1" si="32"/>
        <v>0</v>
      </c>
      <c r="M611" s="10" t="str">
        <f t="shared" ca="1" si="33"/>
        <v>Vencido</v>
      </c>
      <c r="N611" s="3"/>
      <c r="O611" s="3"/>
      <c r="P611" s="4" t="str">
        <f>IF(OR(O611="", J611=""), "", NETWORKDAYS(J611, O611,#REF!))</f>
        <v/>
      </c>
    </row>
    <row r="612" spans="1:16" ht="15.75" x14ac:dyDescent="0.25">
      <c r="A612" s="10" t="s">
        <v>18</v>
      </c>
      <c r="B612" s="12" t="s">
        <v>991</v>
      </c>
      <c r="C612" s="12" t="s">
        <v>59</v>
      </c>
      <c r="D612" s="18" t="s">
        <v>990</v>
      </c>
      <c r="E612" s="16">
        <v>611</v>
      </c>
      <c r="F612" s="17">
        <v>46126</v>
      </c>
      <c r="G612" s="10" t="s">
        <v>615</v>
      </c>
      <c r="H612" s="10">
        <f t="shared" si="31"/>
        <v>15</v>
      </c>
      <c r="I612" s="10">
        <f ca="1">IF(AND(F612&lt;&gt;"", J612&lt;&gt;""), NETWORKDAYS(TODAY(), J612-1, FESTIVOS!A$1:A$55), "")</f>
        <v>-26</v>
      </c>
      <c r="J612" s="11">
        <f>IF(AND(F612&lt;&gt;"", H612&lt;&gt;""), WORKDAY(F612, H612, FESTIVOS!A$1:A$55), "")</f>
        <v>46148</v>
      </c>
      <c r="K612" s="10" t="s">
        <v>656</v>
      </c>
      <c r="L612" s="10">
        <f t="shared" ca="1" si="32"/>
        <v>0</v>
      </c>
      <c r="M612" s="10" t="str">
        <f t="shared" ca="1" si="33"/>
        <v>Vencido</v>
      </c>
      <c r="N612" s="3"/>
      <c r="O612" s="3"/>
      <c r="P612" s="4" t="str">
        <f>IF(OR(O612="", J612=""), "", NETWORKDAYS(J612, O612,#REF!))</f>
        <v/>
      </c>
    </row>
    <row r="613" spans="1:16" ht="15.75" x14ac:dyDescent="0.25">
      <c r="A613" s="10" t="s">
        <v>18</v>
      </c>
      <c r="B613" s="12"/>
      <c r="C613" s="12"/>
      <c r="D613" s="18"/>
      <c r="E613" s="16">
        <v>612</v>
      </c>
      <c r="F613" s="17"/>
      <c r="G613" s="10"/>
      <c r="H613" s="10">
        <f t="shared" si="31"/>
        <v>15</v>
      </c>
      <c r="I613" s="10" t="str">
        <f ca="1">IF(AND(F613&lt;&gt;"", J613&lt;&gt;""), NETWORKDAYS(TODAY(), J613-1, FESTIVOS!A$1:A$55), "")</f>
        <v/>
      </c>
      <c r="J613" s="11" t="str">
        <f>IF(AND(F613&lt;&gt;"", H613&lt;&gt;""), WORKDAY(F613, H613, FESTIVOS!A$1:A$55), "")</f>
        <v/>
      </c>
      <c r="K613" s="10" t="s">
        <v>656</v>
      </c>
      <c r="L613" s="10" t="str">
        <f t="shared" ca="1" si="32"/>
        <v/>
      </c>
      <c r="M613" s="10" t="str">
        <f t="shared" ca="1" si="33"/>
        <v/>
      </c>
      <c r="N613" s="3"/>
      <c r="O613" s="3"/>
      <c r="P613" s="4" t="str">
        <f>IF(OR(O613="", J613=""), "", NETWORKDAYS(J613, O613,#REF!))</f>
        <v/>
      </c>
    </row>
    <row r="614" spans="1:16" ht="31.5" x14ac:dyDescent="0.25">
      <c r="A614" s="10" t="s">
        <v>18</v>
      </c>
      <c r="B614" s="12" t="s">
        <v>988</v>
      </c>
      <c r="C614" s="12" t="s">
        <v>59</v>
      </c>
      <c r="D614" s="18" t="s">
        <v>989</v>
      </c>
      <c r="E614" s="16">
        <v>613</v>
      </c>
      <c r="F614" s="17">
        <v>46126</v>
      </c>
      <c r="G614" s="10" t="s">
        <v>615</v>
      </c>
      <c r="H614" s="10">
        <f t="shared" si="31"/>
        <v>15</v>
      </c>
      <c r="I614" s="10">
        <f ca="1">IF(AND(F614&lt;&gt;"", J614&lt;&gt;""), NETWORKDAYS(TODAY(), J614-1, FESTIVOS!A$1:A$55), "")</f>
        <v>-26</v>
      </c>
      <c r="J614" s="11">
        <f>IF(AND(F614&lt;&gt;"", H614&lt;&gt;""), WORKDAY(F614, H614, FESTIVOS!A$1:A$55), "")</f>
        <v>46148</v>
      </c>
      <c r="K614" s="10" t="s">
        <v>656</v>
      </c>
      <c r="L614" s="10">
        <f t="shared" ca="1" si="32"/>
        <v>0</v>
      </c>
      <c r="M614" s="10" t="str">
        <f t="shared" ca="1" si="33"/>
        <v>Vencido</v>
      </c>
      <c r="N614" s="3"/>
      <c r="O614" s="3"/>
      <c r="P614" s="4" t="str">
        <f>IF(OR(O614="", J614=""), "", NETWORKDAYS(J614, O614,#REF!))</f>
        <v/>
      </c>
    </row>
    <row r="615" spans="1:16" ht="45" x14ac:dyDescent="0.25">
      <c r="A615" s="10" t="s">
        <v>18</v>
      </c>
      <c r="B615" s="21" t="s">
        <v>376</v>
      </c>
      <c r="C615" s="12" t="s">
        <v>61</v>
      </c>
      <c r="D615" s="88" t="s">
        <v>987</v>
      </c>
      <c r="E615" s="16">
        <v>614</v>
      </c>
      <c r="F615" s="17">
        <v>46126</v>
      </c>
      <c r="G615" s="10" t="s">
        <v>615</v>
      </c>
      <c r="H615" s="10">
        <f t="shared" si="31"/>
        <v>15</v>
      </c>
      <c r="I615" s="10">
        <f ca="1">IF(AND(F615&lt;&gt;"", J615&lt;&gt;""), NETWORKDAYS(TODAY(), J615-1, FESTIVOS!A$1:A$55), "")</f>
        <v>-26</v>
      </c>
      <c r="J615" s="11">
        <f>IF(AND(F615&lt;&gt;"", H615&lt;&gt;""), WORKDAY(F615, H615, FESTIVOS!A$1:A$55), "")</f>
        <v>46148</v>
      </c>
      <c r="K615" s="10" t="s">
        <v>656</v>
      </c>
      <c r="L615" s="10">
        <f t="shared" ca="1" si="32"/>
        <v>0</v>
      </c>
      <c r="M615" s="10" t="str">
        <f t="shared" ca="1" si="33"/>
        <v>Vencido</v>
      </c>
      <c r="N615" s="3"/>
      <c r="O615" s="3"/>
      <c r="P615" s="4" t="str">
        <f>IF(OR(O615="", J615=""), "", NETWORKDAYS(J615, O615,#REF!))</f>
        <v/>
      </c>
    </row>
    <row r="616" spans="1:16" ht="31.5" x14ac:dyDescent="0.25">
      <c r="A616" s="10" t="s">
        <v>18</v>
      </c>
      <c r="B616" s="21" t="s">
        <v>376</v>
      </c>
      <c r="C616" s="12" t="s">
        <v>61</v>
      </c>
      <c r="D616" s="18" t="s">
        <v>986</v>
      </c>
      <c r="E616" s="16">
        <v>615</v>
      </c>
      <c r="F616" s="17">
        <v>46126</v>
      </c>
      <c r="G616" s="10" t="s">
        <v>615</v>
      </c>
      <c r="H616" s="10">
        <f t="shared" si="31"/>
        <v>15</v>
      </c>
      <c r="I616" s="10">
        <f ca="1">IF(AND(F616&lt;&gt;"", J616&lt;&gt;""), NETWORKDAYS(TODAY(), J616-1, FESTIVOS!A$1:A$55), "")</f>
        <v>-26</v>
      </c>
      <c r="J616" s="11">
        <f>IF(AND(F616&lt;&gt;"", H616&lt;&gt;""), WORKDAY(F616, H616, FESTIVOS!A$1:A$55), "")</f>
        <v>46148</v>
      </c>
      <c r="K616" s="10" t="s">
        <v>656</v>
      </c>
      <c r="L616" s="10">
        <f t="shared" ca="1" si="32"/>
        <v>0</v>
      </c>
      <c r="M616" s="10" t="str">
        <f t="shared" ca="1" si="33"/>
        <v>Vencido</v>
      </c>
      <c r="N616" s="3"/>
      <c r="O616" s="3"/>
      <c r="P616" s="4" t="str">
        <f>IF(OR(O616="", J616=""), "", NETWORKDAYS(J616, O616,#REF!))</f>
        <v/>
      </c>
    </row>
    <row r="617" spans="1:16" ht="15.75" x14ac:dyDescent="0.25">
      <c r="A617" s="42" t="s">
        <v>18</v>
      </c>
      <c r="B617" s="18" t="s">
        <v>1006</v>
      </c>
      <c r="C617" s="12" t="s">
        <v>59</v>
      </c>
      <c r="D617" s="18" t="s">
        <v>1005</v>
      </c>
      <c r="E617" s="16">
        <v>616</v>
      </c>
      <c r="F617" s="17">
        <v>46126</v>
      </c>
      <c r="G617" s="10" t="s">
        <v>614</v>
      </c>
      <c r="H617" s="10">
        <f t="shared" si="31"/>
        <v>15</v>
      </c>
      <c r="I617" s="10">
        <f ca="1">IF(AND(F617&lt;&gt;"", J617&lt;&gt;""), NETWORKDAYS(TODAY(), J617-1, FESTIVOS!A$1:A$55), "")</f>
        <v>-26</v>
      </c>
      <c r="J617" s="11">
        <f>IF(AND(F617&lt;&gt;"", H617&lt;&gt;""), WORKDAY(F617, H617, FESTIVOS!A$1:A$55), "")</f>
        <v>46148</v>
      </c>
      <c r="K617" s="10" t="s">
        <v>656</v>
      </c>
      <c r="L617" s="10">
        <f t="shared" ca="1" si="32"/>
        <v>0</v>
      </c>
      <c r="M617" s="10" t="str">
        <f t="shared" ca="1" si="33"/>
        <v>Vencido</v>
      </c>
      <c r="N617" s="3"/>
      <c r="O617" s="3"/>
      <c r="P617" s="4" t="str">
        <f>IF(OR(O617="", J617=""), "", NETWORKDAYS(J617, O617,#REF!))</f>
        <v/>
      </c>
    </row>
    <row r="618" spans="1:16" ht="78.75" x14ac:dyDescent="0.25">
      <c r="A618" s="10" t="s">
        <v>18</v>
      </c>
      <c r="B618" s="21" t="s">
        <v>376</v>
      </c>
      <c r="C618" s="12" t="s">
        <v>61</v>
      </c>
      <c r="D618" s="18" t="s">
        <v>1007</v>
      </c>
      <c r="E618" s="16">
        <v>617</v>
      </c>
      <c r="F618" s="17">
        <v>46126</v>
      </c>
      <c r="G618" s="10" t="s">
        <v>615</v>
      </c>
      <c r="H618" s="10">
        <f t="shared" si="31"/>
        <v>15</v>
      </c>
      <c r="I618" s="10">
        <f ca="1">IF(AND(F618&lt;&gt;"", J618&lt;&gt;""), NETWORKDAYS(TODAY(), J618-1, FESTIVOS!A$1:A$55), "")</f>
        <v>-26</v>
      </c>
      <c r="J618" s="11">
        <f>IF(AND(F618&lt;&gt;"", H618&lt;&gt;""), WORKDAY(F618, H618, FESTIVOS!A$1:A$55), "")</f>
        <v>46148</v>
      </c>
      <c r="K618" s="10" t="s">
        <v>656</v>
      </c>
      <c r="L618" s="10">
        <f t="shared" ca="1" si="32"/>
        <v>0</v>
      </c>
      <c r="M618" s="10" t="str">
        <f t="shared" ca="1" si="33"/>
        <v>Vencido</v>
      </c>
      <c r="N618" s="3"/>
      <c r="O618" s="3"/>
      <c r="P618" s="4" t="str">
        <f>IF(OR(O618="", J618=""), "", NETWORKDAYS(J618, O618,#REF!))</f>
        <v/>
      </c>
    </row>
    <row r="619" spans="1:16" ht="15.75" x14ac:dyDescent="0.25">
      <c r="A619" s="3"/>
      <c r="B619" s="18"/>
      <c r="C619" s="18"/>
      <c r="D619" s="18"/>
      <c r="E619" s="16"/>
      <c r="F619" s="17"/>
      <c r="G619" s="10"/>
      <c r="H619" s="10" t="str">
        <f t="shared" si="31"/>
        <v/>
      </c>
      <c r="I619" s="10" t="str">
        <f ca="1">IF(AND(F619&lt;&gt;"", J619&lt;&gt;""), NETWORKDAYS(TODAY(), J619-1, FESTIVOS!A$1:A$55), "")</f>
        <v/>
      </c>
      <c r="J619" s="11" t="str">
        <f>IF(AND(F619&lt;&gt;"", H619&lt;&gt;""), WORKDAY(F619, H619, FESTIVOS!A$1:A$55), "")</f>
        <v/>
      </c>
      <c r="K619" s="10" t="s">
        <v>656</v>
      </c>
      <c r="L619" s="10" t="str">
        <f t="shared" ca="1" si="32"/>
        <v/>
      </c>
      <c r="M619" s="10" t="str">
        <f t="shared" ca="1" si="33"/>
        <v/>
      </c>
      <c r="N619" s="3"/>
      <c r="O619" s="3"/>
      <c r="P619" s="4" t="str">
        <f>IF(OR(O619="", J619=""), "", NETWORKDAYS(J619, O619,#REF!))</f>
        <v/>
      </c>
    </row>
    <row r="620" spans="1:16" ht="15.75" x14ac:dyDescent="0.25">
      <c r="A620" s="3"/>
      <c r="B620" s="18"/>
      <c r="C620" s="18"/>
      <c r="D620" s="18"/>
      <c r="E620" s="16"/>
      <c r="F620" s="17"/>
      <c r="G620" s="10"/>
      <c r="H620" s="10" t="str">
        <f t="shared" si="31"/>
        <v/>
      </c>
      <c r="I620" s="10" t="str">
        <f ca="1">IF(AND(F620&lt;&gt;"", J620&lt;&gt;""), NETWORKDAYS(TODAY(), J620-1, FESTIVOS!A$1:A$55), "")</f>
        <v/>
      </c>
      <c r="J620" s="11" t="str">
        <f>IF(AND(F620&lt;&gt;"", H620&lt;&gt;""), WORKDAY(F620, H620, FESTIVOS!A$1:A$55), "")</f>
        <v/>
      </c>
      <c r="K620" s="10" t="s">
        <v>656</v>
      </c>
      <c r="L620" s="10" t="str">
        <f t="shared" ca="1" si="32"/>
        <v/>
      </c>
      <c r="M620" s="10" t="str">
        <f t="shared" ca="1" si="33"/>
        <v/>
      </c>
      <c r="N620" s="3"/>
      <c r="O620" s="3"/>
      <c r="P620" s="4" t="str">
        <f>IF(OR(O620="", J620=""), "", NETWORKDAYS(J620, O620,#REF!))</f>
        <v/>
      </c>
    </row>
    <row r="621" spans="1:16" ht="15.75" x14ac:dyDescent="0.25">
      <c r="A621" s="3"/>
      <c r="B621" s="18"/>
      <c r="C621" s="18"/>
      <c r="D621" s="18"/>
      <c r="E621" s="16"/>
      <c r="F621" s="17"/>
      <c r="G621" s="10"/>
      <c r="H621" s="10" t="str">
        <f t="shared" si="31"/>
        <v/>
      </c>
      <c r="I621" s="10" t="str">
        <f ca="1">IF(AND(F621&lt;&gt;"", J621&lt;&gt;""), NETWORKDAYS(TODAY(), J621-1, FESTIVOS!A$1:A$55), "")</f>
        <v/>
      </c>
      <c r="J621" s="11" t="str">
        <f>IF(AND(F621&lt;&gt;"", H621&lt;&gt;""), WORKDAY(F621, H621, FESTIVOS!A$1:A$55), "")</f>
        <v/>
      </c>
      <c r="K621" s="10" t="s">
        <v>656</v>
      </c>
      <c r="L621" s="10" t="str">
        <f t="shared" ca="1" si="32"/>
        <v/>
      </c>
      <c r="M621" s="10" t="str">
        <f t="shared" ca="1" si="33"/>
        <v/>
      </c>
      <c r="N621" s="3"/>
      <c r="O621" s="3"/>
      <c r="P621" s="4" t="str">
        <f>IF(OR(O621="", J621=""), "", NETWORKDAYS(J621, O621,#REF!))</f>
        <v/>
      </c>
    </row>
    <row r="622" spans="1:16" ht="15.75" x14ac:dyDescent="0.25">
      <c r="A622" s="3"/>
      <c r="B622" s="18"/>
      <c r="C622" s="18"/>
      <c r="D622" s="18"/>
      <c r="E622" s="16"/>
      <c r="F622" s="17"/>
      <c r="G622" s="10"/>
      <c r="H622" s="10" t="str">
        <f t="shared" si="31"/>
        <v/>
      </c>
      <c r="I622" s="10" t="str">
        <f ca="1">IF(AND(F622&lt;&gt;"", J622&lt;&gt;""), NETWORKDAYS(TODAY(), J622-1, FESTIVOS!A$1:A$55), "")</f>
        <v/>
      </c>
      <c r="J622" s="11" t="str">
        <f>IF(AND(F622&lt;&gt;"", H622&lt;&gt;""), WORKDAY(F622, H622, FESTIVOS!A$1:A$55), "")</f>
        <v/>
      </c>
      <c r="K622" s="10" t="s">
        <v>656</v>
      </c>
      <c r="L622" s="10" t="str">
        <f t="shared" ca="1" si="32"/>
        <v/>
      </c>
      <c r="M622" s="10" t="str">
        <f t="shared" ca="1" si="33"/>
        <v/>
      </c>
      <c r="N622" s="3"/>
      <c r="O622" s="3"/>
      <c r="P622" s="4" t="str">
        <f>IF(OR(O622="", J622=""), "", NETWORKDAYS(J622, O622,#REF!))</f>
        <v/>
      </c>
    </row>
    <row r="623" spans="1:16" ht="15.75" x14ac:dyDescent="0.25">
      <c r="A623" s="3"/>
      <c r="B623" s="18"/>
      <c r="C623" s="18"/>
      <c r="D623" s="18"/>
      <c r="E623" s="16"/>
      <c r="F623" s="17"/>
      <c r="G623" s="10"/>
      <c r="H623" s="10" t="str">
        <f t="shared" si="31"/>
        <v/>
      </c>
      <c r="I623" s="10" t="str">
        <f ca="1">IF(AND(F623&lt;&gt;"", J623&lt;&gt;""), NETWORKDAYS(TODAY(), J623-1, FESTIVOS!A$1:A$55), "")</f>
        <v/>
      </c>
      <c r="J623" s="11" t="str">
        <f>IF(AND(F623&lt;&gt;"", H623&lt;&gt;""), WORKDAY(F623, H623, FESTIVOS!A$1:A$55), "")</f>
        <v/>
      </c>
      <c r="K623" s="10" t="s">
        <v>656</v>
      </c>
      <c r="L623" s="10" t="str">
        <f t="shared" ca="1" si="32"/>
        <v/>
      </c>
      <c r="M623" s="10" t="str">
        <f t="shared" ca="1" si="33"/>
        <v/>
      </c>
      <c r="N623" s="3"/>
      <c r="O623" s="3"/>
      <c r="P623" s="4" t="str">
        <f>IF(OR(O623="", J623=""), "", NETWORKDAYS(J623, O623,#REF!))</f>
        <v/>
      </c>
    </row>
    <row r="624" spans="1:16" ht="15.75" x14ac:dyDescent="0.25">
      <c r="A624" s="3"/>
      <c r="B624" s="18"/>
      <c r="C624" s="18"/>
      <c r="D624" s="18"/>
      <c r="E624" s="16"/>
      <c r="F624" s="17"/>
      <c r="G624" s="10"/>
      <c r="H624" s="10" t="str">
        <f t="shared" si="31"/>
        <v/>
      </c>
      <c r="I624" s="10" t="str">
        <f ca="1">IF(AND(F624&lt;&gt;"", J624&lt;&gt;""), NETWORKDAYS(TODAY(), J624-1, FESTIVOS!A$1:A$55), "")</f>
        <v/>
      </c>
      <c r="J624" s="11" t="str">
        <f>IF(AND(F624&lt;&gt;"", H624&lt;&gt;""), WORKDAY(F624, H624, FESTIVOS!A$1:A$55), "")</f>
        <v/>
      </c>
      <c r="K624" s="10" t="s">
        <v>656</v>
      </c>
      <c r="L624" s="10" t="str">
        <f t="shared" ca="1" si="32"/>
        <v/>
      </c>
      <c r="M624" s="10" t="str">
        <f t="shared" ca="1" si="33"/>
        <v/>
      </c>
      <c r="N624" s="3"/>
      <c r="O624" s="3"/>
      <c r="P624" s="4" t="str">
        <f>IF(OR(O624="", J624=""), "", NETWORKDAYS(J624, O624,#REF!))</f>
        <v/>
      </c>
    </row>
    <row r="625" spans="1:16" ht="15.75" x14ac:dyDescent="0.25">
      <c r="A625" s="3"/>
      <c r="B625" s="18"/>
      <c r="C625" s="18"/>
      <c r="D625" s="18"/>
      <c r="E625" s="16"/>
      <c r="F625" s="17"/>
      <c r="G625" s="10"/>
      <c r="H625" s="10" t="str">
        <f t="shared" si="31"/>
        <v/>
      </c>
      <c r="I625" s="10" t="str">
        <f ca="1">IF(AND(F625&lt;&gt;"", J625&lt;&gt;""), NETWORKDAYS(TODAY(), J625-1, FESTIVOS!A$1:A$55), "")</f>
        <v/>
      </c>
      <c r="J625" s="11" t="str">
        <f>IF(AND(F625&lt;&gt;"", H625&lt;&gt;""), WORKDAY(F625, H625, FESTIVOS!A$1:A$55), "")</f>
        <v/>
      </c>
      <c r="K625" s="10" t="s">
        <v>656</v>
      </c>
      <c r="L625" s="10" t="str">
        <f t="shared" ca="1" si="32"/>
        <v/>
      </c>
      <c r="M625" s="10" t="str">
        <f t="shared" ca="1" si="33"/>
        <v/>
      </c>
      <c r="N625" s="3"/>
      <c r="O625" s="3"/>
      <c r="P625" s="4" t="str">
        <f>IF(OR(O625="", J625=""), "", NETWORKDAYS(J625, O625,#REF!))</f>
        <v/>
      </c>
    </row>
    <row r="626" spans="1:16" ht="15.75" x14ac:dyDescent="0.25">
      <c r="A626" s="3"/>
      <c r="B626" s="18"/>
      <c r="C626" s="18"/>
      <c r="D626" s="18"/>
      <c r="E626" s="16"/>
      <c r="F626" s="17"/>
      <c r="G626" s="10"/>
      <c r="H626" s="10" t="str">
        <f t="shared" si="31"/>
        <v/>
      </c>
      <c r="I626" s="10" t="str">
        <f ca="1">IF(AND(F626&lt;&gt;"", J626&lt;&gt;""), NETWORKDAYS(TODAY(), J626-1, FESTIVOS!A$1:A$55), "")</f>
        <v/>
      </c>
      <c r="J626" s="11" t="str">
        <f>IF(AND(F626&lt;&gt;"", H626&lt;&gt;""), WORKDAY(F626, H626, FESTIVOS!A$1:A$55), "")</f>
        <v/>
      </c>
      <c r="K626" s="10" t="s">
        <v>656</v>
      </c>
      <c r="L626" s="10" t="str">
        <f t="shared" ca="1" si="32"/>
        <v/>
      </c>
      <c r="M626" s="10" t="str">
        <f t="shared" ca="1" si="33"/>
        <v/>
      </c>
      <c r="N626" s="3"/>
      <c r="O626" s="3"/>
      <c r="P626" s="4" t="str">
        <f>IF(OR(O626="", J626=""), "", NETWORKDAYS(J626, O626,#REF!))</f>
        <v/>
      </c>
    </row>
    <row r="627" spans="1:16" ht="15.75" x14ac:dyDescent="0.25">
      <c r="A627" s="3"/>
      <c r="B627" s="18"/>
      <c r="C627" s="18"/>
      <c r="D627" s="18"/>
      <c r="E627" s="16"/>
      <c r="F627" s="17"/>
      <c r="G627" s="10"/>
      <c r="H627" s="10" t="str">
        <f t="shared" si="31"/>
        <v/>
      </c>
      <c r="I627" s="10" t="str">
        <f ca="1">IF(AND(F627&lt;&gt;"", J627&lt;&gt;""), NETWORKDAYS(TODAY(), J627-1, FESTIVOS!A$1:A$55), "")</f>
        <v/>
      </c>
      <c r="J627" s="11" t="str">
        <f>IF(AND(F627&lt;&gt;"", H627&lt;&gt;""), WORKDAY(F627, H627, FESTIVOS!A$1:A$55), "")</f>
        <v/>
      </c>
      <c r="K627" s="10" t="s">
        <v>656</v>
      </c>
      <c r="L627" s="10" t="str">
        <f t="shared" ca="1" si="32"/>
        <v/>
      </c>
      <c r="M627" s="10" t="str">
        <f t="shared" ca="1" si="33"/>
        <v/>
      </c>
      <c r="N627" s="3"/>
      <c r="O627" s="3"/>
      <c r="P627" s="4" t="str">
        <f>IF(OR(O627="", J627=""), "", NETWORKDAYS(J627, O627,#REF!))</f>
        <v/>
      </c>
    </row>
    <row r="628" spans="1:16" ht="15.75" x14ac:dyDescent="0.25">
      <c r="A628" s="3"/>
      <c r="B628" s="18"/>
      <c r="C628" s="18"/>
      <c r="D628" s="18"/>
      <c r="E628" s="16"/>
      <c r="F628" s="17"/>
      <c r="G628" s="10"/>
      <c r="H628" s="10" t="str">
        <f t="shared" si="31"/>
        <v/>
      </c>
      <c r="I628" s="10" t="str">
        <f ca="1">IF(AND(F628&lt;&gt;"", J628&lt;&gt;""), NETWORKDAYS(TODAY(), J628-1, FESTIVOS!A$1:A$55), "")</f>
        <v/>
      </c>
      <c r="J628" s="11" t="str">
        <f>IF(AND(F628&lt;&gt;"", H628&lt;&gt;""), WORKDAY(F628, H628, FESTIVOS!A$1:A$55), "")</f>
        <v/>
      </c>
      <c r="K628" s="10" t="s">
        <v>656</v>
      </c>
      <c r="L628" s="10" t="str">
        <f t="shared" ca="1" si="32"/>
        <v/>
      </c>
      <c r="M628" s="10" t="str">
        <f t="shared" ca="1" si="33"/>
        <v/>
      </c>
      <c r="N628" s="3"/>
      <c r="O628" s="3"/>
      <c r="P628" s="4" t="str">
        <f>IF(OR(O628="", J628=""), "", NETWORKDAYS(J628, O628,#REF!))</f>
        <v/>
      </c>
    </row>
    <row r="629" spans="1:16" ht="15.75" x14ac:dyDescent="0.25">
      <c r="A629" s="3"/>
      <c r="B629" s="18"/>
      <c r="C629" s="18"/>
      <c r="D629" s="18"/>
      <c r="E629" s="16"/>
      <c r="F629" s="17"/>
      <c r="G629" s="10"/>
      <c r="H629" s="10" t="str">
        <f t="shared" si="31"/>
        <v/>
      </c>
      <c r="I629" s="10" t="str">
        <f ca="1">IF(AND(F629&lt;&gt;"", J629&lt;&gt;""), NETWORKDAYS(TODAY(), J629-1, FESTIVOS!A$1:A$55), "")</f>
        <v/>
      </c>
      <c r="J629" s="11" t="str">
        <f>IF(AND(F629&lt;&gt;"", H629&lt;&gt;""), WORKDAY(F629, H629, FESTIVOS!A$1:A$55), "")</f>
        <v/>
      </c>
      <c r="K629" s="10" t="s">
        <v>656</v>
      </c>
      <c r="L629" s="10" t="str">
        <f t="shared" ca="1" si="32"/>
        <v/>
      </c>
      <c r="M629" s="10" t="str">
        <f t="shared" ca="1" si="33"/>
        <v/>
      </c>
      <c r="N629" s="3"/>
      <c r="O629" s="3"/>
      <c r="P629" s="4" t="str">
        <f>IF(OR(O629="", J629=""), "", NETWORKDAYS(J629, O629,#REF!))</f>
        <v/>
      </c>
    </row>
    <row r="630" spans="1:16" ht="15.75" x14ac:dyDescent="0.25">
      <c r="A630" s="3"/>
      <c r="B630" s="18"/>
      <c r="C630" s="18"/>
      <c r="D630" s="18"/>
      <c r="E630" s="16"/>
      <c r="F630" s="17"/>
      <c r="G630" s="10"/>
      <c r="H630" s="10" t="str">
        <f t="shared" ref="H630:H693" si="34">IF(A630="INFORMACIÓN O DOCUMENTOS", 10, IF(A630="CONSULTA", 30, IF(A630="FACTURACIÓN Y COBROS", 15, IF(A630="VINCULACIÓN Y DESVINCULACIÓN", 15, IF(A630="NO ES DE NUESTRA COMPETENCIA", 5, IF(A630="OTRO", 15, ""))))))</f>
        <v/>
      </c>
      <c r="I630" s="10" t="str">
        <f ca="1">IF(AND(F630&lt;&gt;"", J630&lt;&gt;""), NETWORKDAYS(TODAY(), J630-1, FESTIVOS!A$1:A$55), "")</f>
        <v/>
      </c>
      <c r="J630" s="11" t="str">
        <f>IF(AND(F630&lt;&gt;"", H630&lt;&gt;""), WORKDAY(F630, H630, FESTIVOS!A$1:A$55), "")</f>
        <v/>
      </c>
      <c r="K630" s="10" t="s">
        <v>656</v>
      </c>
      <c r="L630" s="10" t="str">
        <f t="shared" ref="L630:L693" ca="1" si="35">IF(I630="", "", MAX(0, I630 - (TODAY() - TODAY())))</f>
        <v/>
      </c>
      <c r="M630" s="10" t="str">
        <f t="shared" ref="M630:M693" ca="1" si="36">IF(OR(I630="", H630=""), "", IF(I630&lt;0, "Vencido", IF(I630&gt;(H630/2), "Supere la mitad", "Bajo la mitad")))</f>
        <v/>
      </c>
      <c r="N630" s="3"/>
      <c r="O630" s="3"/>
      <c r="P630" s="4" t="str">
        <f>IF(OR(O630="", J630=""), "", NETWORKDAYS(J630, O630,#REF!))</f>
        <v/>
      </c>
    </row>
    <row r="631" spans="1:16" ht="15.75" x14ac:dyDescent="0.25">
      <c r="A631" s="3"/>
      <c r="B631" s="18"/>
      <c r="C631" s="18"/>
      <c r="D631" s="18"/>
      <c r="E631" s="16"/>
      <c r="F631" s="17"/>
      <c r="G631" s="10"/>
      <c r="H631" s="10" t="str">
        <f t="shared" si="34"/>
        <v/>
      </c>
      <c r="I631" s="10" t="str">
        <f ca="1">IF(AND(F631&lt;&gt;"", J631&lt;&gt;""), NETWORKDAYS(TODAY(), J631-1, FESTIVOS!A$1:A$55), "")</f>
        <v/>
      </c>
      <c r="J631" s="11" t="str">
        <f>IF(AND(F631&lt;&gt;"", H631&lt;&gt;""), WORKDAY(F631, H631, FESTIVOS!A$1:A$55), "")</f>
        <v/>
      </c>
      <c r="K631" s="10" t="s">
        <v>656</v>
      </c>
      <c r="L631" s="10" t="str">
        <f t="shared" ca="1" si="35"/>
        <v/>
      </c>
      <c r="M631" s="10" t="str">
        <f t="shared" ca="1" si="36"/>
        <v/>
      </c>
      <c r="N631" s="3"/>
      <c r="O631" s="3"/>
      <c r="P631" s="4" t="str">
        <f>IF(OR(O631="", J631=""), "", NETWORKDAYS(J631, O631,#REF!))</f>
        <v/>
      </c>
    </row>
    <row r="632" spans="1:16" ht="15.75" x14ac:dyDescent="0.25">
      <c r="A632" s="3"/>
      <c r="B632" s="18"/>
      <c r="C632" s="18"/>
      <c r="D632" s="18"/>
      <c r="E632" s="16"/>
      <c r="F632" s="17"/>
      <c r="G632" s="10"/>
      <c r="H632" s="10" t="str">
        <f t="shared" si="34"/>
        <v/>
      </c>
      <c r="I632" s="10" t="str">
        <f ca="1">IF(AND(F632&lt;&gt;"", J632&lt;&gt;""), NETWORKDAYS(TODAY(), J632-1, FESTIVOS!A$1:A$55), "")</f>
        <v/>
      </c>
      <c r="J632" s="11" t="str">
        <f>IF(AND(F632&lt;&gt;"", H632&lt;&gt;""), WORKDAY(F632, H632, FESTIVOS!A$1:A$55), "")</f>
        <v/>
      </c>
      <c r="K632" s="10" t="s">
        <v>656</v>
      </c>
      <c r="L632" s="10" t="str">
        <f t="shared" ca="1" si="35"/>
        <v/>
      </c>
      <c r="M632" s="10" t="str">
        <f t="shared" ca="1" si="36"/>
        <v/>
      </c>
      <c r="N632" s="3"/>
      <c r="O632" s="3"/>
      <c r="P632" s="4" t="str">
        <f>IF(OR(O632="", J632=""), "", NETWORKDAYS(J632, O632,#REF!))</f>
        <v/>
      </c>
    </row>
    <row r="633" spans="1:16" ht="15.75" x14ac:dyDescent="0.25">
      <c r="A633" s="3"/>
      <c r="B633" s="18"/>
      <c r="C633" s="18"/>
      <c r="D633" s="18"/>
      <c r="E633" s="16"/>
      <c r="F633" s="17"/>
      <c r="G633" s="10"/>
      <c r="H633" s="10" t="str">
        <f t="shared" si="34"/>
        <v/>
      </c>
      <c r="I633" s="10" t="str">
        <f ca="1">IF(AND(F633&lt;&gt;"", J633&lt;&gt;""), NETWORKDAYS(TODAY(), J633-1, FESTIVOS!A$1:A$55), "")</f>
        <v/>
      </c>
      <c r="J633" s="11" t="str">
        <f>IF(AND(F633&lt;&gt;"", H633&lt;&gt;""), WORKDAY(F633, H633, FESTIVOS!A$1:A$55), "")</f>
        <v/>
      </c>
      <c r="K633" s="10" t="s">
        <v>656</v>
      </c>
      <c r="L633" s="10" t="str">
        <f t="shared" ca="1" si="35"/>
        <v/>
      </c>
      <c r="M633" s="10" t="str">
        <f t="shared" ca="1" si="36"/>
        <v/>
      </c>
      <c r="N633" s="3"/>
      <c r="O633" s="3"/>
      <c r="P633" s="4" t="str">
        <f>IF(OR(O633="", J633=""), "", NETWORKDAYS(J633, O633,#REF!))</f>
        <v/>
      </c>
    </row>
    <row r="634" spans="1:16" ht="15.75" x14ac:dyDescent="0.25">
      <c r="A634" s="3"/>
      <c r="B634" s="18"/>
      <c r="C634" s="18"/>
      <c r="D634" s="18"/>
      <c r="E634" s="16"/>
      <c r="F634" s="17"/>
      <c r="G634" s="10"/>
      <c r="H634" s="10" t="str">
        <f t="shared" si="34"/>
        <v/>
      </c>
      <c r="I634" s="10" t="str">
        <f ca="1">IF(AND(F634&lt;&gt;"", J634&lt;&gt;""), NETWORKDAYS(TODAY(), J634-1, FESTIVOS!A$1:A$55), "")</f>
        <v/>
      </c>
      <c r="J634" s="11" t="str">
        <f>IF(AND(F634&lt;&gt;"", H634&lt;&gt;""), WORKDAY(F634, H634, FESTIVOS!A$1:A$55), "")</f>
        <v/>
      </c>
      <c r="K634" s="10" t="s">
        <v>656</v>
      </c>
      <c r="L634" s="10" t="str">
        <f t="shared" ca="1" si="35"/>
        <v/>
      </c>
      <c r="M634" s="10" t="str">
        <f t="shared" ca="1" si="36"/>
        <v/>
      </c>
      <c r="N634" s="3"/>
      <c r="O634" s="3"/>
      <c r="P634" s="4" t="str">
        <f>IF(OR(O634="", J634=""), "", NETWORKDAYS(J634, O634,#REF!))</f>
        <v/>
      </c>
    </row>
    <row r="635" spans="1:16" ht="15.75" x14ac:dyDescent="0.25">
      <c r="A635" s="3"/>
      <c r="B635" s="18"/>
      <c r="C635" s="18"/>
      <c r="D635" s="18"/>
      <c r="E635" s="16"/>
      <c r="F635" s="17"/>
      <c r="G635" s="10"/>
      <c r="H635" s="10" t="str">
        <f t="shared" si="34"/>
        <v/>
      </c>
      <c r="I635" s="10" t="str">
        <f ca="1">IF(AND(F635&lt;&gt;"", J635&lt;&gt;""), NETWORKDAYS(TODAY(), J635-1, FESTIVOS!A$1:A$55), "")</f>
        <v/>
      </c>
      <c r="J635" s="11" t="str">
        <f>IF(AND(F635&lt;&gt;"", H635&lt;&gt;""), WORKDAY(F635, H635, FESTIVOS!A$1:A$55), "")</f>
        <v/>
      </c>
      <c r="K635" s="10" t="s">
        <v>656</v>
      </c>
      <c r="L635" s="10" t="str">
        <f t="shared" ca="1" si="35"/>
        <v/>
      </c>
      <c r="M635" s="10" t="str">
        <f t="shared" ca="1" si="36"/>
        <v/>
      </c>
      <c r="N635" s="3"/>
      <c r="O635" s="3"/>
      <c r="P635" s="4" t="str">
        <f>IF(OR(O635="", J635=""), "", NETWORKDAYS(J635, O635,#REF!))</f>
        <v/>
      </c>
    </row>
    <row r="636" spans="1:16" ht="15.75" x14ac:dyDescent="0.25">
      <c r="A636" s="3"/>
      <c r="B636" s="18"/>
      <c r="C636" s="18"/>
      <c r="D636" s="18"/>
      <c r="E636" s="16"/>
      <c r="F636" s="17"/>
      <c r="G636" s="10"/>
      <c r="H636" s="10" t="str">
        <f t="shared" si="34"/>
        <v/>
      </c>
      <c r="I636" s="10" t="str">
        <f ca="1">IF(AND(F636&lt;&gt;"", J636&lt;&gt;""), NETWORKDAYS(TODAY(), J636-1, FESTIVOS!A$1:A$55), "")</f>
        <v/>
      </c>
      <c r="J636" s="11" t="str">
        <f>IF(AND(F636&lt;&gt;"", H636&lt;&gt;""), WORKDAY(F636, H636, FESTIVOS!A$1:A$55), "")</f>
        <v/>
      </c>
      <c r="K636" s="10" t="s">
        <v>656</v>
      </c>
      <c r="L636" s="10" t="str">
        <f t="shared" ca="1" si="35"/>
        <v/>
      </c>
      <c r="M636" s="10" t="str">
        <f t="shared" ca="1" si="36"/>
        <v/>
      </c>
      <c r="N636" s="3"/>
      <c r="O636" s="3"/>
      <c r="P636" s="4" t="str">
        <f>IF(OR(O636="", J636=""), "", NETWORKDAYS(J636, O636,#REF!))</f>
        <v/>
      </c>
    </row>
    <row r="637" spans="1:16" ht="15.75" x14ac:dyDescent="0.25">
      <c r="A637" s="3"/>
      <c r="B637" s="18"/>
      <c r="C637" s="18"/>
      <c r="D637" s="18"/>
      <c r="E637" s="16"/>
      <c r="F637" s="17"/>
      <c r="G637" s="10"/>
      <c r="H637" s="10" t="str">
        <f t="shared" si="34"/>
        <v/>
      </c>
      <c r="I637" s="10" t="str">
        <f ca="1">IF(AND(F637&lt;&gt;"", J637&lt;&gt;""), NETWORKDAYS(TODAY(), J637-1, FESTIVOS!A$1:A$55), "")</f>
        <v/>
      </c>
      <c r="J637" s="11" t="str">
        <f>IF(AND(F637&lt;&gt;"", H637&lt;&gt;""), WORKDAY(F637, H637, FESTIVOS!A$1:A$55), "")</f>
        <v/>
      </c>
      <c r="K637" s="10" t="s">
        <v>656</v>
      </c>
      <c r="L637" s="10" t="str">
        <f t="shared" ca="1" si="35"/>
        <v/>
      </c>
      <c r="M637" s="10" t="str">
        <f t="shared" ca="1" si="36"/>
        <v/>
      </c>
      <c r="N637" s="3"/>
      <c r="O637" s="3"/>
      <c r="P637" s="4" t="str">
        <f>IF(OR(O637="", J637=""), "", NETWORKDAYS(J637, O637,#REF!))</f>
        <v/>
      </c>
    </row>
    <row r="638" spans="1:16" ht="15.75" x14ac:dyDescent="0.25">
      <c r="A638" s="3"/>
      <c r="B638" s="18"/>
      <c r="C638" s="18"/>
      <c r="D638" s="18"/>
      <c r="E638" s="16"/>
      <c r="F638" s="17"/>
      <c r="G638" s="10"/>
      <c r="H638" s="10" t="str">
        <f t="shared" si="34"/>
        <v/>
      </c>
      <c r="I638" s="10" t="str">
        <f ca="1">IF(AND(F638&lt;&gt;"", J638&lt;&gt;""), NETWORKDAYS(TODAY(), J638-1, FESTIVOS!A$1:A$55), "")</f>
        <v/>
      </c>
      <c r="J638" s="11" t="str">
        <f>IF(AND(F638&lt;&gt;"", H638&lt;&gt;""), WORKDAY(F638, H638, FESTIVOS!A$1:A$55), "")</f>
        <v/>
      </c>
      <c r="K638" s="10" t="s">
        <v>656</v>
      </c>
      <c r="L638" s="10" t="str">
        <f t="shared" ca="1" si="35"/>
        <v/>
      </c>
      <c r="M638" s="10" t="str">
        <f t="shared" ca="1" si="36"/>
        <v/>
      </c>
      <c r="N638" s="3"/>
      <c r="O638" s="3"/>
      <c r="P638" s="4" t="str">
        <f>IF(OR(O638="", J638=""), "", NETWORKDAYS(J638, O638,#REF!))</f>
        <v/>
      </c>
    </row>
    <row r="639" spans="1:16" ht="15.75" x14ac:dyDescent="0.25">
      <c r="A639" s="3"/>
      <c r="B639" s="18"/>
      <c r="C639" s="18"/>
      <c r="D639" s="18"/>
      <c r="E639" s="16"/>
      <c r="F639" s="17"/>
      <c r="G639" s="10"/>
      <c r="H639" s="10" t="str">
        <f t="shared" si="34"/>
        <v/>
      </c>
      <c r="I639" s="10" t="str">
        <f ca="1">IF(AND(F639&lt;&gt;"", J639&lt;&gt;""), NETWORKDAYS(TODAY(), J639-1, FESTIVOS!A$1:A$55), "")</f>
        <v/>
      </c>
      <c r="J639" s="11" t="str">
        <f>IF(AND(F639&lt;&gt;"", H639&lt;&gt;""), WORKDAY(F639, H639, FESTIVOS!A$1:A$55), "")</f>
        <v/>
      </c>
      <c r="K639" s="10" t="s">
        <v>656</v>
      </c>
      <c r="L639" s="10" t="str">
        <f t="shared" ca="1" si="35"/>
        <v/>
      </c>
      <c r="M639" s="10" t="str">
        <f t="shared" ca="1" si="36"/>
        <v/>
      </c>
      <c r="N639" s="3"/>
      <c r="O639" s="3"/>
      <c r="P639" s="4" t="str">
        <f>IF(OR(O639="", J639=""), "", NETWORKDAYS(J639, O639,#REF!))</f>
        <v/>
      </c>
    </row>
    <row r="640" spans="1:16" ht="15.75" x14ac:dyDescent="0.25">
      <c r="A640" s="3"/>
      <c r="B640" s="18"/>
      <c r="C640" s="18"/>
      <c r="D640" s="18"/>
      <c r="E640" s="16"/>
      <c r="F640" s="17"/>
      <c r="G640" s="10"/>
      <c r="H640" s="10" t="str">
        <f t="shared" si="34"/>
        <v/>
      </c>
      <c r="I640" s="10" t="str">
        <f ca="1">IF(AND(F640&lt;&gt;"", J640&lt;&gt;""), NETWORKDAYS(TODAY(), J640-1, FESTIVOS!A$1:A$55), "")</f>
        <v/>
      </c>
      <c r="J640" s="11" t="str">
        <f>IF(AND(F640&lt;&gt;"", H640&lt;&gt;""), WORKDAY(F640, H640, FESTIVOS!A$1:A$55), "")</f>
        <v/>
      </c>
      <c r="K640" s="10" t="s">
        <v>656</v>
      </c>
      <c r="L640" s="10" t="str">
        <f t="shared" ca="1" si="35"/>
        <v/>
      </c>
      <c r="M640" s="10" t="str">
        <f t="shared" ca="1" si="36"/>
        <v/>
      </c>
      <c r="N640" s="3"/>
      <c r="O640" s="3"/>
      <c r="P640" s="4" t="str">
        <f>IF(OR(O640="", J640=""), "", NETWORKDAYS(J640, O640,#REF!))</f>
        <v/>
      </c>
    </row>
    <row r="641" spans="1:16" ht="15.75" x14ac:dyDescent="0.25">
      <c r="A641" s="3"/>
      <c r="B641" s="18"/>
      <c r="C641" s="18"/>
      <c r="D641" s="18"/>
      <c r="E641" s="16"/>
      <c r="F641" s="17"/>
      <c r="G641" s="10"/>
      <c r="H641" s="10" t="str">
        <f t="shared" si="34"/>
        <v/>
      </c>
      <c r="I641" s="10" t="str">
        <f ca="1">IF(AND(F641&lt;&gt;"", J641&lt;&gt;""), NETWORKDAYS(TODAY(), J641-1, FESTIVOS!A$1:A$55), "")</f>
        <v/>
      </c>
      <c r="J641" s="11" t="str">
        <f>IF(AND(F641&lt;&gt;"", H641&lt;&gt;""), WORKDAY(F641, H641, FESTIVOS!A$1:A$55), "")</f>
        <v/>
      </c>
      <c r="K641" s="10" t="s">
        <v>656</v>
      </c>
      <c r="L641" s="10" t="str">
        <f t="shared" ca="1" si="35"/>
        <v/>
      </c>
      <c r="M641" s="10" t="str">
        <f t="shared" ca="1" si="36"/>
        <v/>
      </c>
      <c r="N641" s="3"/>
      <c r="O641" s="3"/>
      <c r="P641" s="4" t="str">
        <f>IF(OR(O641="", J641=""), "", NETWORKDAYS(J641, O641,#REF!))</f>
        <v/>
      </c>
    </row>
    <row r="642" spans="1:16" ht="15.75" x14ac:dyDescent="0.25">
      <c r="A642" s="3"/>
      <c r="B642" s="18"/>
      <c r="C642" s="18"/>
      <c r="D642" s="18"/>
      <c r="E642" s="16"/>
      <c r="F642" s="17"/>
      <c r="G642" s="10"/>
      <c r="H642" s="10" t="str">
        <f t="shared" si="34"/>
        <v/>
      </c>
      <c r="I642" s="10" t="str">
        <f ca="1">IF(AND(F642&lt;&gt;"", J642&lt;&gt;""), NETWORKDAYS(TODAY(), J642-1, FESTIVOS!A$1:A$55), "")</f>
        <v/>
      </c>
      <c r="J642" s="11" t="str">
        <f>IF(AND(F642&lt;&gt;"", H642&lt;&gt;""), WORKDAY(F642, H642, FESTIVOS!A$1:A$55), "")</f>
        <v/>
      </c>
      <c r="K642" s="10" t="s">
        <v>656</v>
      </c>
      <c r="L642" s="10" t="str">
        <f t="shared" ca="1" si="35"/>
        <v/>
      </c>
      <c r="M642" s="10" t="str">
        <f t="shared" ca="1" si="36"/>
        <v/>
      </c>
      <c r="N642" s="3"/>
      <c r="O642" s="3"/>
      <c r="P642" s="4" t="str">
        <f>IF(OR(O642="", J642=""), "", NETWORKDAYS(J642, O642,#REF!))</f>
        <v/>
      </c>
    </row>
    <row r="643" spans="1:16" ht="15.75" x14ac:dyDescent="0.25">
      <c r="A643" s="3"/>
      <c r="B643" s="18"/>
      <c r="C643" s="18"/>
      <c r="D643" s="18"/>
      <c r="E643" s="16"/>
      <c r="F643" s="17"/>
      <c r="G643" s="10"/>
      <c r="H643" s="10" t="str">
        <f t="shared" si="34"/>
        <v/>
      </c>
      <c r="I643" s="10" t="str">
        <f ca="1">IF(AND(F643&lt;&gt;"", J643&lt;&gt;""), NETWORKDAYS(TODAY(), J643-1, FESTIVOS!A$1:A$55), "")</f>
        <v/>
      </c>
      <c r="J643" s="11" t="str">
        <f>IF(AND(F643&lt;&gt;"", H643&lt;&gt;""), WORKDAY(F643, H643, FESTIVOS!A$1:A$55), "")</f>
        <v/>
      </c>
      <c r="K643" s="10" t="s">
        <v>656</v>
      </c>
      <c r="L643" s="10" t="str">
        <f t="shared" ca="1" si="35"/>
        <v/>
      </c>
      <c r="M643" s="10" t="str">
        <f t="shared" ca="1" si="36"/>
        <v/>
      </c>
      <c r="N643" s="3"/>
      <c r="O643" s="3"/>
      <c r="P643" s="4" t="str">
        <f>IF(OR(O643="", J643=""), "", NETWORKDAYS(J643, O643,#REF!))</f>
        <v/>
      </c>
    </row>
    <row r="644" spans="1:16" ht="15.75" x14ac:dyDescent="0.25">
      <c r="A644" s="3"/>
      <c r="B644" s="18"/>
      <c r="C644" s="18"/>
      <c r="D644" s="18"/>
      <c r="E644" s="16"/>
      <c r="F644" s="17"/>
      <c r="G644" s="10"/>
      <c r="H644" s="10" t="str">
        <f t="shared" si="34"/>
        <v/>
      </c>
      <c r="I644" s="10" t="str">
        <f ca="1">IF(AND(F644&lt;&gt;"", J644&lt;&gt;""), NETWORKDAYS(TODAY(), J644-1, FESTIVOS!A$1:A$55), "")</f>
        <v/>
      </c>
      <c r="J644" s="11" t="str">
        <f>IF(AND(F644&lt;&gt;"", H644&lt;&gt;""), WORKDAY(F644, H644, FESTIVOS!A$1:A$55), "")</f>
        <v/>
      </c>
      <c r="K644" s="10" t="s">
        <v>656</v>
      </c>
      <c r="L644" s="10" t="str">
        <f t="shared" ca="1" si="35"/>
        <v/>
      </c>
      <c r="M644" s="10" t="str">
        <f t="shared" ca="1" si="36"/>
        <v/>
      </c>
      <c r="N644" s="3"/>
      <c r="O644" s="3"/>
      <c r="P644" s="4" t="str">
        <f>IF(OR(O644="", J644=""), "", NETWORKDAYS(J644, O644,#REF!))</f>
        <v/>
      </c>
    </row>
    <row r="645" spans="1:16" ht="15.75" x14ac:dyDescent="0.25">
      <c r="A645" s="3"/>
      <c r="B645" s="18"/>
      <c r="C645" s="18"/>
      <c r="D645" s="18"/>
      <c r="E645" s="16"/>
      <c r="F645" s="17"/>
      <c r="G645" s="10"/>
      <c r="H645" s="10" t="str">
        <f t="shared" si="34"/>
        <v/>
      </c>
      <c r="I645" s="10" t="str">
        <f ca="1">IF(AND(F645&lt;&gt;"", J645&lt;&gt;""), NETWORKDAYS(TODAY(), J645-1, FESTIVOS!A$1:A$55), "")</f>
        <v/>
      </c>
      <c r="J645" s="11" t="str">
        <f>IF(AND(F645&lt;&gt;"", H645&lt;&gt;""), WORKDAY(F645, H645, FESTIVOS!A$1:A$55), "")</f>
        <v/>
      </c>
      <c r="K645" s="10" t="s">
        <v>656</v>
      </c>
      <c r="L645" s="10" t="str">
        <f t="shared" ca="1" si="35"/>
        <v/>
      </c>
      <c r="M645" s="10" t="str">
        <f t="shared" ca="1" si="36"/>
        <v/>
      </c>
      <c r="N645" s="3"/>
      <c r="O645" s="3"/>
      <c r="P645" s="4" t="str">
        <f>IF(OR(O645="", J645=""), "", NETWORKDAYS(J645, O645,#REF!))</f>
        <v/>
      </c>
    </row>
    <row r="646" spans="1:16" ht="15.75" x14ac:dyDescent="0.25">
      <c r="A646" s="3"/>
      <c r="B646" s="18"/>
      <c r="C646" s="18"/>
      <c r="D646" s="18"/>
      <c r="E646" s="16"/>
      <c r="F646" s="17"/>
      <c r="G646" s="10"/>
      <c r="H646" s="10" t="str">
        <f t="shared" si="34"/>
        <v/>
      </c>
      <c r="I646" s="10" t="str">
        <f ca="1">IF(AND(F646&lt;&gt;"", J646&lt;&gt;""), NETWORKDAYS(TODAY(), J646-1, FESTIVOS!A$1:A$55), "")</f>
        <v/>
      </c>
      <c r="J646" s="11" t="str">
        <f>IF(AND(F646&lt;&gt;"", H646&lt;&gt;""), WORKDAY(F646, H646, FESTIVOS!A$1:A$55), "")</f>
        <v/>
      </c>
      <c r="K646" s="10" t="s">
        <v>656</v>
      </c>
      <c r="L646" s="10" t="str">
        <f t="shared" ca="1" si="35"/>
        <v/>
      </c>
      <c r="M646" s="10" t="str">
        <f t="shared" ca="1" si="36"/>
        <v/>
      </c>
      <c r="N646" s="3"/>
      <c r="O646" s="3"/>
      <c r="P646" s="4" t="str">
        <f>IF(OR(O646="", J646=""), "", NETWORKDAYS(J646, O646,#REF!))</f>
        <v/>
      </c>
    </row>
    <row r="647" spans="1:16" ht="15.75" x14ac:dyDescent="0.25">
      <c r="A647" s="3"/>
      <c r="B647" s="18"/>
      <c r="C647" s="18"/>
      <c r="D647" s="18"/>
      <c r="E647" s="16"/>
      <c r="F647" s="17"/>
      <c r="G647" s="10"/>
      <c r="H647" s="10" t="str">
        <f t="shared" si="34"/>
        <v/>
      </c>
      <c r="I647" s="10" t="str">
        <f ca="1">IF(AND(F647&lt;&gt;"", J647&lt;&gt;""), NETWORKDAYS(TODAY(), J647-1, FESTIVOS!A$1:A$55), "")</f>
        <v/>
      </c>
      <c r="J647" s="11" t="str">
        <f>IF(AND(F647&lt;&gt;"", H647&lt;&gt;""), WORKDAY(F647, H647, FESTIVOS!A$1:A$55), "")</f>
        <v/>
      </c>
      <c r="K647" s="10" t="s">
        <v>656</v>
      </c>
      <c r="L647" s="10" t="str">
        <f t="shared" ca="1" si="35"/>
        <v/>
      </c>
      <c r="M647" s="10" t="str">
        <f t="shared" ca="1" si="36"/>
        <v/>
      </c>
      <c r="N647" s="3"/>
      <c r="O647" s="3"/>
      <c r="P647" s="4" t="str">
        <f>IF(OR(O647="", J647=""), "", NETWORKDAYS(J647, O647,#REF!))</f>
        <v/>
      </c>
    </row>
    <row r="648" spans="1:16" ht="15.75" x14ac:dyDescent="0.25">
      <c r="A648" s="3"/>
      <c r="B648" s="18"/>
      <c r="C648" s="18"/>
      <c r="D648" s="18"/>
      <c r="E648" s="16"/>
      <c r="F648" s="17"/>
      <c r="G648" s="3"/>
      <c r="H648" s="3" t="str">
        <f t="shared" si="34"/>
        <v/>
      </c>
      <c r="I648" s="3" t="str">
        <f ca="1">IF(AND(F648&lt;&gt;"", J648&lt;&gt;""), NETWORKDAYS(TODAY(), J648-1, FESTIVOS!A$1:A$55), "")</f>
        <v/>
      </c>
      <c r="J648" s="4" t="str">
        <f>IF(AND(F648&lt;&gt;"", H648&lt;&gt;""), WORKDAY(F648, H648, FESTIVOS!A$1:A$55), "")</f>
        <v/>
      </c>
      <c r="K648" s="42" t="s">
        <v>656</v>
      </c>
      <c r="L648" s="3" t="str">
        <f t="shared" ca="1" si="35"/>
        <v/>
      </c>
      <c r="M648" s="3" t="str">
        <f t="shared" ca="1" si="36"/>
        <v/>
      </c>
      <c r="N648" s="3"/>
      <c r="O648" s="3"/>
      <c r="P648" s="4" t="str">
        <f>IF(OR(O648="", J648=""), "", NETWORKDAYS(J648, O648,#REF!))</f>
        <v/>
      </c>
    </row>
    <row r="649" spans="1:16" ht="15.75" x14ac:dyDescent="0.25">
      <c r="A649" s="3"/>
      <c r="B649" s="18"/>
      <c r="C649" s="18"/>
      <c r="D649" s="18"/>
      <c r="E649" s="16"/>
      <c r="F649" s="17"/>
      <c r="G649" s="3"/>
      <c r="H649" s="3" t="str">
        <f t="shared" si="34"/>
        <v/>
      </c>
      <c r="I649" s="3" t="str">
        <f ca="1">IF(AND(F649&lt;&gt;"", J649&lt;&gt;""), NETWORKDAYS(TODAY(), J649-1, FESTIVOS!A$1:A$55), "")</f>
        <v/>
      </c>
      <c r="J649" s="4" t="str">
        <f>IF(AND(F649&lt;&gt;"", H649&lt;&gt;""), WORKDAY(F649, H649, FESTIVOS!A$1:A$55), "")</f>
        <v/>
      </c>
      <c r="K649" s="42" t="s">
        <v>656</v>
      </c>
      <c r="L649" s="3" t="str">
        <f t="shared" ca="1" si="35"/>
        <v/>
      </c>
      <c r="M649" s="3" t="str">
        <f t="shared" ca="1" si="36"/>
        <v/>
      </c>
      <c r="N649" s="3"/>
      <c r="O649" s="3"/>
      <c r="P649" s="4" t="str">
        <f>IF(OR(O649="", J649=""), "", NETWORKDAYS(J649, O649,#REF!))</f>
        <v/>
      </c>
    </row>
    <row r="650" spans="1:16" ht="15.75" x14ac:dyDescent="0.25">
      <c r="A650" s="3"/>
      <c r="B650" s="18"/>
      <c r="C650" s="18"/>
      <c r="D650" s="18"/>
      <c r="E650" s="16"/>
      <c r="F650" s="17"/>
      <c r="G650" s="3"/>
      <c r="H650" s="3" t="str">
        <f t="shared" si="34"/>
        <v/>
      </c>
      <c r="I650" s="3" t="str">
        <f ca="1">IF(AND(F650&lt;&gt;"", J650&lt;&gt;""), NETWORKDAYS(TODAY(), J650-1, FESTIVOS!A$1:A$55), "")</f>
        <v/>
      </c>
      <c r="J650" s="4" t="str">
        <f>IF(AND(F650&lt;&gt;"", H650&lt;&gt;""), WORKDAY(F650, H650, FESTIVOS!A$1:A$55), "")</f>
        <v/>
      </c>
      <c r="K650" s="42" t="s">
        <v>656</v>
      </c>
      <c r="L650" s="3" t="str">
        <f t="shared" ca="1" si="35"/>
        <v/>
      </c>
      <c r="M650" s="3" t="str">
        <f t="shared" ca="1" si="36"/>
        <v/>
      </c>
      <c r="N650" s="3"/>
      <c r="O650" s="3"/>
      <c r="P650" s="4" t="str">
        <f>IF(OR(O650="", J650=""), "", NETWORKDAYS(J650, O650,#REF!))</f>
        <v/>
      </c>
    </row>
    <row r="651" spans="1:16" ht="15.75" x14ac:dyDescent="0.25">
      <c r="A651" s="3"/>
      <c r="B651" s="18"/>
      <c r="C651" s="18"/>
      <c r="D651" s="18"/>
      <c r="E651" s="16"/>
      <c r="F651" s="17"/>
      <c r="G651" s="3"/>
      <c r="H651" s="3" t="str">
        <f t="shared" si="34"/>
        <v/>
      </c>
      <c r="I651" s="3" t="str">
        <f ca="1">IF(AND(F651&lt;&gt;"", J651&lt;&gt;""), NETWORKDAYS(TODAY(), J651-1, FESTIVOS!A$1:A$55), "")</f>
        <v/>
      </c>
      <c r="J651" s="4" t="str">
        <f>IF(AND(F651&lt;&gt;"", H651&lt;&gt;""), WORKDAY(F651, H651, FESTIVOS!A$1:A$55), "")</f>
        <v/>
      </c>
      <c r="K651" s="42" t="s">
        <v>656</v>
      </c>
      <c r="L651" s="3" t="str">
        <f t="shared" ca="1" si="35"/>
        <v/>
      </c>
      <c r="M651" s="3" t="str">
        <f t="shared" ca="1" si="36"/>
        <v/>
      </c>
      <c r="N651" s="3"/>
      <c r="O651" s="3"/>
      <c r="P651" s="4" t="str">
        <f>IF(OR(O651="", J651=""), "", NETWORKDAYS(J651, O651,#REF!))</f>
        <v/>
      </c>
    </row>
    <row r="652" spans="1:16" ht="15.75" x14ac:dyDescent="0.25">
      <c r="A652" s="3"/>
      <c r="B652" s="18"/>
      <c r="C652" s="18"/>
      <c r="D652" s="18"/>
      <c r="E652" s="16"/>
      <c r="F652" s="17"/>
      <c r="G652" s="3"/>
      <c r="H652" s="3" t="str">
        <f t="shared" si="34"/>
        <v/>
      </c>
      <c r="I652" s="3" t="str">
        <f ca="1">IF(AND(F652&lt;&gt;"", J652&lt;&gt;""), NETWORKDAYS(TODAY(), J652-1, FESTIVOS!A$1:A$55), "")</f>
        <v/>
      </c>
      <c r="J652" s="4" t="str">
        <f>IF(AND(F652&lt;&gt;"", H652&lt;&gt;""), WORKDAY(F652, H652, FESTIVOS!A$1:A$55), "")</f>
        <v/>
      </c>
      <c r="K652" s="42" t="s">
        <v>656</v>
      </c>
      <c r="L652" s="3" t="str">
        <f t="shared" ca="1" si="35"/>
        <v/>
      </c>
      <c r="M652" s="3" t="str">
        <f t="shared" ca="1" si="36"/>
        <v/>
      </c>
      <c r="N652" s="3"/>
      <c r="O652" s="3"/>
      <c r="P652" s="4" t="str">
        <f>IF(OR(O652="", J652=""), "", NETWORKDAYS(J652, O652,#REF!))</f>
        <v/>
      </c>
    </row>
    <row r="653" spans="1:16" ht="15.75" x14ac:dyDescent="0.25">
      <c r="A653" s="3"/>
      <c r="B653" s="18"/>
      <c r="C653" s="18"/>
      <c r="D653" s="18"/>
      <c r="E653" s="16"/>
      <c r="F653" s="17"/>
      <c r="G653" s="3"/>
      <c r="H653" s="3" t="str">
        <f t="shared" si="34"/>
        <v/>
      </c>
      <c r="I653" s="3" t="str">
        <f ca="1">IF(AND(F653&lt;&gt;"", J653&lt;&gt;""), NETWORKDAYS(TODAY(), J653-1, FESTIVOS!A$1:A$55), "")</f>
        <v/>
      </c>
      <c r="J653" s="4" t="str">
        <f>IF(AND(F653&lt;&gt;"", H653&lt;&gt;""), WORKDAY(F653, H653, FESTIVOS!A$1:A$55), "")</f>
        <v/>
      </c>
      <c r="K653" s="42" t="s">
        <v>656</v>
      </c>
      <c r="L653" s="3" t="str">
        <f t="shared" ca="1" si="35"/>
        <v/>
      </c>
      <c r="M653" s="3" t="str">
        <f t="shared" ca="1" si="36"/>
        <v/>
      </c>
      <c r="N653" s="3"/>
      <c r="O653" s="3"/>
      <c r="P653" s="4" t="str">
        <f>IF(OR(O653="", J653=""), "", NETWORKDAYS(J653, O653,#REF!))</f>
        <v/>
      </c>
    </row>
    <row r="654" spans="1:16" ht="15.75" x14ac:dyDescent="0.25">
      <c r="A654" s="3"/>
      <c r="B654" s="18"/>
      <c r="C654" s="18"/>
      <c r="D654" s="18"/>
      <c r="E654" s="16"/>
      <c r="F654" s="17"/>
      <c r="G654" s="3"/>
      <c r="H654" s="3" t="str">
        <f t="shared" si="34"/>
        <v/>
      </c>
      <c r="I654" s="3" t="str">
        <f ca="1">IF(AND(F654&lt;&gt;"", J654&lt;&gt;""), NETWORKDAYS(TODAY(), J654-1, FESTIVOS!A$1:A$55), "")</f>
        <v/>
      </c>
      <c r="J654" s="4" t="str">
        <f>IF(AND(F654&lt;&gt;"", H654&lt;&gt;""), WORKDAY(F654, H654, FESTIVOS!A$1:A$55), "")</f>
        <v/>
      </c>
      <c r="K654" s="42" t="s">
        <v>656</v>
      </c>
      <c r="L654" s="3" t="str">
        <f t="shared" ca="1" si="35"/>
        <v/>
      </c>
      <c r="M654" s="3" t="str">
        <f t="shared" ca="1" si="36"/>
        <v/>
      </c>
      <c r="N654" s="3"/>
      <c r="O654" s="3"/>
      <c r="P654" s="4" t="str">
        <f>IF(OR(O654="", J654=""), "", NETWORKDAYS(J654, O654,#REF!))</f>
        <v/>
      </c>
    </row>
    <row r="655" spans="1:16" ht="15.75" x14ac:dyDescent="0.25">
      <c r="A655" s="3"/>
      <c r="B655" s="18"/>
      <c r="C655" s="18"/>
      <c r="D655" s="18"/>
      <c r="E655" s="16"/>
      <c r="F655" s="17"/>
      <c r="G655" s="3"/>
      <c r="H655" s="3" t="str">
        <f t="shared" si="34"/>
        <v/>
      </c>
      <c r="I655" s="3" t="str">
        <f ca="1">IF(AND(F655&lt;&gt;"", J655&lt;&gt;""), NETWORKDAYS(TODAY(), J655-1, FESTIVOS!A$1:A$55), "")</f>
        <v/>
      </c>
      <c r="J655" s="4" t="str">
        <f>IF(AND(F655&lt;&gt;"", H655&lt;&gt;""), WORKDAY(F655, H655, FESTIVOS!A$1:A$55), "")</f>
        <v/>
      </c>
      <c r="K655" s="42" t="s">
        <v>656</v>
      </c>
      <c r="L655" s="3" t="str">
        <f t="shared" ca="1" si="35"/>
        <v/>
      </c>
      <c r="M655" s="3" t="str">
        <f t="shared" ca="1" si="36"/>
        <v/>
      </c>
      <c r="N655" s="3"/>
      <c r="O655" s="3"/>
      <c r="P655" s="4" t="str">
        <f>IF(OR(O655="", J655=""), "", NETWORKDAYS(J655, O655,#REF!))</f>
        <v/>
      </c>
    </row>
    <row r="656" spans="1:16" ht="15.75" x14ac:dyDescent="0.25">
      <c r="A656" s="3"/>
      <c r="B656" s="18"/>
      <c r="C656" s="18"/>
      <c r="D656" s="18"/>
      <c r="E656" s="16"/>
      <c r="F656" s="17"/>
      <c r="G656" s="3"/>
      <c r="H656" s="3" t="str">
        <f t="shared" si="34"/>
        <v/>
      </c>
      <c r="I656" s="3" t="str">
        <f ca="1">IF(AND(F656&lt;&gt;"", J656&lt;&gt;""), NETWORKDAYS(TODAY(), J656-1, FESTIVOS!A$1:A$55), "")</f>
        <v/>
      </c>
      <c r="J656" s="4" t="str">
        <f>IF(AND(F656&lt;&gt;"", H656&lt;&gt;""), WORKDAY(F656, H656, FESTIVOS!A$1:A$55), "")</f>
        <v/>
      </c>
      <c r="K656" s="42" t="s">
        <v>656</v>
      </c>
      <c r="L656" s="3" t="str">
        <f t="shared" ca="1" si="35"/>
        <v/>
      </c>
      <c r="M656" s="3" t="str">
        <f t="shared" ca="1" si="36"/>
        <v/>
      </c>
      <c r="N656" s="3"/>
      <c r="O656" s="3"/>
      <c r="P656" s="4" t="str">
        <f>IF(OR(O656="", J656=""), "", NETWORKDAYS(J656, O656,#REF!))</f>
        <v/>
      </c>
    </row>
    <row r="657" spans="1:16" ht="15.75" x14ac:dyDescent="0.25">
      <c r="A657" s="3"/>
      <c r="B657" s="18"/>
      <c r="C657" s="18"/>
      <c r="D657" s="18"/>
      <c r="E657" s="16"/>
      <c r="F657" s="17"/>
      <c r="G657" s="3"/>
      <c r="H657" s="3" t="str">
        <f t="shared" si="34"/>
        <v/>
      </c>
      <c r="I657" s="3" t="str">
        <f ca="1">IF(AND(F657&lt;&gt;"", J657&lt;&gt;""), NETWORKDAYS(TODAY(), J657-1, FESTIVOS!A$1:A$55), "")</f>
        <v/>
      </c>
      <c r="J657" s="4" t="str">
        <f>IF(AND(F657&lt;&gt;"", H657&lt;&gt;""), WORKDAY(F657, H657, FESTIVOS!A$1:A$55), "")</f>
        <v/>
      </c>
      <c r="K657" s="42" t="s">
        <v>656</v>
      </c>
      <c r="L657" s="3" t="str">
        <f t="shared" ca="1" si="35"/>
        <v/>
      </c>
      <c r="M657" s="3" t="str">
        <f t="shared" ca="1" si="36"/>
        <v/>
      </c>
      <c r="N657" s="3"/>
      <c r="O657" s="3"/>
      <c r="P657" s="4" t="str">
        <f>IF(OR(O657="", J657=""), "", NETWORKDAYS(J657, O657,#REF!))</f>
        <v/>
      </c>
    </row>
    <row r="658" spans="1:16" ht="15.75" x14ac:dyDescent="0.25">
      <c r="A658" s="3"/>
      <c r="B658" s="18"/>
      <c r="C658" s="18"/>
      <c r="D658" s="18"/>
      <c r="E658" s="16"/>
      <c r="F658" s="17"/>
      <c r="G658" s="3"/>
      <c r="H658" s="3" t="str">
        <f t="shared" si="34"/>
        <v/>
      </c>
      <c r="I658" s="3" t="str">
        <f ca="1">IF(AND(F658&lt;&gt;"", J658&lt;&gt;""), NETWORKDAYS(TODAY(), J658-1, FESTIVOS!A$1:A$55), "")</f>
        <v/>
      </c>
      <c r="J658" s="4" t="str">
        <f>IF(AND(F658&lt;&gt;"", H658&lt;&gt;""), WORKDAY(F658, H658, FESTIVOS!A$1:A$55), "")</f>
        <v/>
      </c>
      <c r="K658" s="42" t="s">
        <v>656</v>
      </c>
      <c r="L658" s="3" t="str">
        <f t="shared" ca="1" si="35"/>
        <v/>
      </c>
      <c r="M658" s="3" t="str">
        <f t="shared" ca="1" si="36"/>
        <v/>
      </c>
      <c r="N658" s="3"/>
      <c r="O658" s="3"/>
      <c r="P658" s="4" t="str">
        <f>IF(OR(O658="", J658=""), "", NETWORKDAYS(J658, O658,#REF!))</f>
        <v/>
      </c>
    </row>
    <row r="659" spans="1:16" ht="15.75" x14ac:dyDescent="0.25">
      <c r="A659" s="3"/>
      <c r="B659" s="18"/>
      <c r="C659" s="18"/>
      <c r="D659" s="18"/>
      <c r="E659" s="16"/>
      <c r="F659" s="17"/>
      <c r="G659" s="3"/>
      <c r="H659" s="3" t="str">
        <f t="shared" si="34"/>
        <v/>
      </c>
      <c r="I659" s="3" t="str">
        <f ca="1">IF(AND(F659&lt;&gt;"", J659&lt;&gt;""), NETWORKDAYS(TODAY(), J659-1, FESTIVOS!A$1:A$55), "")</f>
        <v/>
      </c>
      <c r="J659" s="4" t="str">
        <f>IF(AND(F659&lt;&gt;"", H659&lt;&gt;""), WORKDAY(F659, H659, FESTIVOS!A$1:A$55), "")</f>
        <v/>
      </c>
      <c r="K659" s="42" t="s">
        <v>656</v>
      </c>
      <c r="L659" s="3" t="str">
        <f t="shared" ca="1" si="35"/>
        <v/>
      </c>
      <c r="M659" s="3" t="str">
        <f t="shared" ca="1" si="36"/>
        <v/>
      </c>
      <c r="N659" s="3"/>
      <c r="O659" s="3"/>
      <c r="P659" s="4" t="str">
        <f>IF(OR(O659="", J659=""), "", NETWORKDAYS(J659, O659,#REF!))</f>
        <v/>
      </c>
    </row>
    <row r="660" spans="1:16" ht="15.75" x14ac:dyDescent="0.25">
      <c r="A660" s="3"/>
      <c r="B660" s="18"/>
      <c r="C660" s="18"/>
      <c r="D660" s="18"/>
      <c r="E660" s="16"/>
      <c r="F660" s="17"/>
      <c r="G660" s="3"/>
      <c r="H660" s="3" t="str">
        <f t="shared" si="34"/>
        <v/>
      </c>
      <c r="I660" s="3" t="str">
        <f ca="1">IF(AND(F660&lt;&gt;"", J660&lt;&gt;""), NETWORKDAYS(TODAY(), J660-1, FESTIVOS!A$1:A$55), "")</f>
        <v/>
      </c>
      <c r="J660" s="4" t="str">
        <f>IF(AND(F660&lt;&gt;"", H660&lt;&gt;""), WORKDAY(F660, H660, FESTIVOS!A$1:A$55), "")</f>
        <v/>
      </c>
      <c r="K660" s="42" t="s">
        <v>656</v>
      </c>
      <c r="L660" s="3" t="str">
        <f t="shared" ca="1" si="35"/>
        <v/>
      </c>
      <c r="M660" s="3" t="str">
        <f t="shared" ca="1" si="36"/>
        <v/>
      </c>
      <c r="N660" s="3"/>
      <c r="O660" s="3"/>
      <c r="P660" s="4" t="str">
        <f>IF(OR(O660="", J660=""), "", NETWORKDAYS(J660, O660,#REF!))</f>
        <v/>
      </c>
    </row>
    <row r="661" spans="1:16" ht="15.75" x14ac:dyDescent="0.25">
      <c r="A661" s="3"/>
      <c r="B661" s="18"/>
      <c r="C661" s="18"/>
      <c r="D661" s="18"/>
      <c r="E661" s="16"/>
      <c r="F661" s="17"/>
      <c r="G661" s="3"/>
      <c r="H661" s="3" t="str">
        <f t="shared" si="34"/>
        <v/>
      </c>
      <c r="I661" s="3" t="str">
        <f ca="1">IF(AND(F661&lt;&gt;"", J661&lt;&gt;""), NETWORKDAYS(TODAY(), J661-1, FESTIVOS!A$1:A$55), "")</f>
        <v/>
      </c>
      <c r="J661" s="4" t="str">
        <f>IF(AND(F661&lt;&gt;"", H661&lt;&gt;""), WORKDAY(F661, H661, FESTIVOS!A$1:A$55), "")</f>
        <v/>
      </c>
      <c r="K661" s="42" t="s">
        <v>656</v>
      </c>
      <c r="L661" s="3" t="str">
        <f t="shared" ca="1" si="35"/>
        <v/>
      </c>
      <c r="M661" s="3" t="str">
        <f t="shared" ca="1" si="36"/>
        <v/>
      </c>
      <c r="N661" s="3"/>
      <c r="O661" s="3"/>
      <c r="P661" s="4" t="str">
        <f>IF(OR(O661="", J661=""), "", NETWORKDAYS(J661, O661,#REF!))</f>
        <v/>
      </c>
    </row>
    <row r="662" spans="1:16" ht="15.75" x14ac:dyDescent="0.25">
      <c r="A662" s="3"/>
      <c r="B662" s="18"/>
      <c r="C662" s="18"/>
      <c r="D662" s="18"/>
      <c r="E662" s="16"/>
      <c r="F662" s="17"/>
      <c r="G662" s="3"/>
      <c r="H662" s="3" t="str">
        <f t="shared" si="34"/>
        <v/>
      </c>
      <c r="I662" s="3" t="str">
        <f ca="1">IF(AND(F662&lt;&gt;"", J662&lt;&gt;""), NETWORKDAYS(TODAY(), J662-1, FESTIVOS!A$1:A$55), "")</f>
        <v/>
      </c>
      <c r="J662" s="4" t="str">
        <f>IF(AND(F662&lt;&gt;"", H662&lt;&gt;""), WORKDAY(F662, H662, FESTIVOS!A$1:A$55), "")</f>
        <v/>
      </c>
      <c r="K662" s="42" t="s">
        <v>656</v>
      </c>
      <c r="L662" s="3" t="str">
        <f t="shared" ca="1" si="35"/>
        <v/>
      </c>
      <c r="M662" s="3" t="str">
        <f t="shared" ca="1" si="36"/>
        <v/>
      </c>
      <c r="N662" s="3"/>
      <c r="O662" s="3"/>
      <c r="P662" s="4" t="str">
        <f>IF(OR(O662="", J662=""), "", NETWORKDAYS(J662, O662,#REF!))</f>
        <v/>
      </c>
    </row>
    <row r="663" spans="1:16" ht="15.75" x14ac:dyDescent="0.25">
      <c r="A663" s="3"/>
      <c r="B663" s="18"/>
      <c r="C663" s="18"/>
      <c r="D663" s="18"/>
      <c r="E663" s="16"/>
      <c r="F663" s="17"/>
      <c r="G663" s="3"/>
      <c r="H663" s="3" t="str">
        <f t="shared" si="34"/>
        <v/>
      </c>
      <c r="I663" s="3" t="str">
        <f ca="1">IF(AND(F663&lt;&gt;"", J663&lt;&gt;""), NETWORKDAYS(TODAY(), J663-1, FESTIVOS!A$1:A$55), "")</f>
        <v/>
      </c>
      <c r="J663" s="4" t="str">
        <f>IF(AND(F663&lt;&gt;"", H663&lt;&gt;""), WORKDAY(F663, H663, FESTIVOS!A$1:A$55), "")</f>
        <v/>
      </c>
      <c r="K663" s="42" t="s">
        <v>656</v>
      </c>
      <c r="L663" s="3" t="str">
        <f t="shared" ca="1" si="35"/>
        <v/>
      </c>
      <c r="M663" s="3" t="str">
        <f t="shared" ca="1" si="36"/>
        <v/>
      </c>
      <c r="N663" s="3"/>
      <c r="O663" s="3"/>
      <c r="P663" s="4" t="str">
        <f>IF(OR(O663="", J663=""), "", NETWORKDAYS(J663, O663,#REF!))</f>
        <v/>
      </c>
    </row>
    <row r="664" spans="1:16" ht="15.75" x14ac:dyDescent="0.25">
      <c r="A664" s="3"/>
      <c r="B664" s="18"/>
      <c r="C664" s="18"/>
      <c r="D664" s="18"/>
      <c r="E664" s="16"/>
      <c r="F664" s="17"/>
      <c r="G664" s="3"/>
      <c r="H664" s="3" t="str">
        <f t="shared" si="34"/>
        <v/>
      </c>
      <c r="I664" s="3" t="str">
        <f ca="1">IF(AND(F664&lt;&gt;"", J664&lt;&gt;""), NETWORKDAYS(TODAY(), J664-1, FESTIVOS!A$1:A$55), "")</f>
        <v/>
      </c>
      <c r="J664" s="4" t="str">
        <f>IF(AND(F664&lt;&gt;"", H664&lt;&gt;""), WORKDAY(F664, H664, FESTIVOS!A$1:A$55), "")</f>
        <v/>
      </c>
      <c r="K664" s="42" t="s">
        <v>656</v>
      </c>
      <c r="L664" s="3" t="str">
        <f t="shared" ca="1" si="35"/>
        <v/>
      </c>
      <c r="M664" s="3" t="str">
        <f t="shared" ca="1" si="36"/>
        <v/>
      </c>
      <c r="N664" s="3"/>
      <c r="O664" s="3"/>
      <c r="P664" s="4" t="str">
        <f>IF(OR(O664="", J664=""), "", NETWORKDAYS(J664, O664,#REF!))</f>
        <v/>
      </c>
    </row>
    <row r="665" spans="1:16" ht="15.75" x14ac:dyDescent="0.25">
      <c r="A665" s="3"/>
      <c r="B665" s="18"/>
      <c r="C665" s="18"/>
      <c r="D665" s="18"/>
      <c r="E665" s="16"/>
      <c r="F665" s="17"/>
      <c r="G665" s="3"/>
      <c r="H665" s="3" t="str">
        <f t="shared" si="34"/>
        <v/>
      </c>
      <c r="I665" s="3" t="str">
        <f ca="1">IF(AND(F665&lt;&gt;"", J665&lt;&gt;""), NETWORKDAYS(TODAY(), J665-1, FESTIVOS!A$1:A$55), "")</f>
        <v/>
      </c>
      <c r="J665" s="4" t="str">
        <f>IF(AND(F665&lt;&gt;"", H665&lt;&gt;""), WORKDAY(F665, H665, FESTIVOS!A$1:A$55), "")</f>
        <v/>
      </c>
      <c r="K665" s="42" t="s">
        <v>656</v>
      </c>
      <c r="L665" s="3" t="str">
        <f t="shared" ca="1" si="35"/>
        <v/>
      </c>
      <c r="M665" s="3" t="str">
        <f t="shared" ca="1" si="36"/>
        <v/>
      </c>
      <c r="N665" s="3"/>
      <c r="O665" s="3"/>
      <c r="P665" s="4" t="str">
        <f>IF(OR(O665="", J665=""), "", NETWORKDAYS(J665, O665,#REF!))</f>
        <v/>
      </c>
    </row>
    <row r="666" spans="1:16" ht="15.75" x14ac:dyDescent="0.25">
      <c r="A666" s="3"/>
      <c r="B666" s="18"/>
      <c r="C666" s="18"/>
      <c r="D666" s="18"/>
      <c r="E666" s="16"/>
      <c r="F666" s="17"/>
      <c r="G666" s="3"/>
      <c r="H666" s="3" t="str">
        <f t="shared" si="34"/>
        <v/>
      </c>
      <c r="I666" s="3" t="str">
        <f ca="1">IF(AND(F666&lt;&gt;"", J666&lt;&gt;""), NETWORKDAYS(TODAY(), J666-1, FESTIVOS!A$1:A$55), "")</f>
        <v/>
      </c>
      <c r="J666" s="4" t="str">
        <f>IF(AND(F666&lt;&gt;"", H666&lt;&gt;""), WORKDAY(F666, H666, FESTIVOS!A$1:A$55), "")</f>
        <v/>
      </c>
      <c r="K666" s="42" t="s">
        <v>656</v>
      </c>
      <c r="L666" s="3" t="str">
        <f t="shared" ca="1" si="35"/>
        <v/>
      </c>
      <c r="M666" s="3" t="str">
        <f t="shared" ca="1" si="36"/>
        <v/>
      </c>
      <c r="N666" s="3"/>
      <c r="O666" s="3"/>
      <c r="P666" s="4" t="str">
        <f>IF(OR(O666="", J666=""), "", NETWORKDAYS(J666, O666,#REF!))</f>
        <v/>
      </c>
    </row>
    <row r="667" spans="1:16" ht="15.75" x14ac:dyDescent="0.25">
      <c r="A667" s="3"/>
      <c r="B667" s="18"/>
      <c r="C667" s="18"/>
      <c r="D667" s="18"/>
      <c r="E667" s="16"/>
      <c r="F667" s="17"/>
      <c r="G667" s="3"/>
      <c r="H667" s="3" t="str">
        <f t="shared" si="34"/>
        <v/>
      </c>
      <c r="I667" s="3" t="str">
        <f ca="1">IF(AND(F667&lt;&gt;"", J667&lt;&gt;""), NETWORKDAYS(TODAY(), J667-1, FESTIVOS!A$1:A$55), "")</f>
        <v/>
      </c>
      <c r="J667" s="4" t="str">
        <f>IF(AND(F667&lt;&gt;"", H667&lt;&gt;""), WORKDAY(F667, H667, FESTIVOS!A$1:A$55), "")</f>
        <v/>
      </c>
      <c r="K667" s="42" t="s">
        <v>656</v>
      </c>
      <c r="L667" s="3" t="str">
        <f t="shared" ca="1" si="35"/>
        <v/>
      </c>
      <c r="M667" s="3" t="str">
        <f t="shared" ca="1" si="36"/>
        <v/>
      </c>
      <c r="N667" s="3"/>
      <c r="O667" s="3"/>
      <c r="P667" s="4" t="str">
        <f>IF(OR(O667="", J667=""), "", NETWORKDAYS(J667, O667,#REF!))</f>
        <v/>
      </c>
    </row>
    <row r="668" spans="1:16" ht="15.75" x14ac:dyDescent="0.25">
      <c r="A668" s="3"/>
      <c r="B668" s="18"/>
      <c r="C668" s="18"/>
      <c r="D668" s="18"/>
      <c r="E668" s="16"/>
      <c r="F668" s="17"/>
      <c r="G668" s="3"/>
      <c r="H668" s="3" t="str">
        <f t="shared" si="34"/>
        <v/>
      </c>
      <c r="I668" s="3" t="str">
        <f ca="1">IF(AND(F668&lt;&gt;"", J668&lt;&gt;""), NETWORKDAYS(TODAY(), J668-1, FESTIVOS!A$1:A$55), "")</f>
        <v/>
      </c>
      <c r="J668" s="4" t="str">
        <f>IF(AND(F668&lt;&gt;"", H668&lt;&gt;""), WORKDAY(F668, H668, FESTIVOS!A$1:A$55), "")</f>
        <v/>
      </c>
      <c r="K668" s="42" t="s">
        <v>656</v>
      </c>
      <c r="L668" s="3" t="str">
        <f t="shared" ca="1" si="35"/>
        <v/>
      </c>
      <c r="M668" s="3" t="str">
        <f t="shared" ca="1" si="36"/>
        <v/>
      </c>
      <c r="N668" s="3"/>
      <c r="O668" s="3"/>
      <c r="P668" s="4" t="str">
        <f>IF(OR(O668="", J668=""), "", NETWORKDAYS(J668, O668,#REF!))</f>
        <v/>
      </c>
    </row>
    <row r="669" spans="1:16" ht="15.75" x14ac:dyDescent="0.25">
      <c r="A669" s="3"/>
      <c r="B669" s="18"/>
      <c r="C669" s="18"/>
      <c r="D669" s="18"/>
      <c r="E669" s="16"/>
      <c r="F669" s="17"/>
      <c r="G669" s="3"/>
      <c r="H669" s="3" t="str">
        <f t="shared" si="34"/>
        <v/>
      </c>
      <c r="I669" s="3" t="str">
        <f ca="1">IF(AND(F669&lt;&gt;"", J669&lt;&gt;""), NETWORKDAYS(TODAY(), J669-1, FESTIVOS!A$1:A$55), "")</f>
        <v/>
      </c>
      <c r="J669" s="4" t="str">
        <f>IF(AND(F669&lt;&gt;"", H669&lt;&gt;""), WORKDAY(F669, H669, FESTIVOS!A$1:A$55), "")</f>
        <v/>
      </c>
      <c r="K669" s="42" t="s">
        <v>656</v>
      </c>
      <c r="L669" s="3" t="str">
        <f t="shared" ca="1" si="35"/>
        <v/>
      </c>
      <c r="M669" s="3" t="str">
        <f t="shared" ca="1" si="36"/>
        <v/>
      </c>
      <c r="N669" s="3"/>
      <c r="O669" s="3"/>
      <c r="P669" s="4" t="str">
        <f>IF(OR(O669="", J669=""), "", NETWORKDAYS(J669, O669,#REF!))</f>
        <v/>
      </c>
    </row>
    <row r="670" spans="1:16" ht="15.75" x14ac:dyDescent="0.25">
      <c r="A670" s="3"/>
      <c r="B670" s="18"/>
      <c r="C670" s="18"/>
      <c r="D670" s="18"/>
      <c r="E670" s="16"/>
      <c r="F670" s="17"/>
      <c r="G670" s="3"/>
      <c r="H670" s="3" t="str">
        <f t="shared" si="34"/>
        <v/>
      </c>
      <c r="I670" s="3" t="str">
        <f ca="1">IF(AND(F670&lt;&gt;"", J670&lt;&gt;""), NETWORKDAYS(TODAY(), J670-1, FESTIVOS!A$1:A$55), "")</f>
        <v/>
      </c>
      <c r="J670" s="4" t="str">
        <f>IF(AND(F670&lt;&gt;"", H670&lt;&gt;""), WORKDAY(F670, H670, FESTIVOS!A$1:A$55), "")</f>
        <v/>
      </c>
      <c r="K670" s="42" t="s">
        <v>656</v>
      </c>
      <c r="L670" s="3" t="str">
        <f t="shared" ca="1" si="35"/>
        <v/>
      </c>
      <c r="M670" s="3" t="str">
        <f t="shared" ca="1" si="36"/>
        <v/>
      </c>
      <c r="N670" s="3"/>
      <c r="O670" s="3"/>
      <c r="P670" s="4" t="str">
        <f>IF(OR(O670="", J670=""), "", NETWORKDAYS(J670, O670,#REF!))</f>
        <v/>
      </c>
    </row>
    <row r="671" spans="1:16" ht="15.75" x14ac:dyDescent="0.25">
      <c r="A671" s="3"/>
      <c r="B671" s="18"/>
      <c r="C671" s="18"/>
      <c r="D671" s="18"/>
      <c r="E671" s="16"/>
      <c r="F671" s="17"/>
      <c r="G671" s="3"/>
      <c r="H671" s="3" t="str">
        <f t="shared" si="34"/>
        <v/>
      </c>
      <c r="I671" s="3" t="str">
        <f ca="1">IF(AND(F671&lt;&gt;"", J671&lt;&gt;""), NETWORKDAYS(TODAY(), J671-1, FESTIVOS!A$1:A$55), "")</f>
        <v/>
      </c>
      <c r="J671" s="4" t="str">
        <f>IF(AND(F671&lt;&gt;"", H671&lt;&gt;""), WORKDAY(F671, H671, FESTIVOS!A$1:A$55), "")</f>
        <v/>
      </c>
      <c r="K671" s="42" t="s">
        <v>656</v>
      </c>
      <c r="L671" s="3" t="str">
        <f t="shared" ca="1" si="35"/>
        <v/>
      </c>
      <c r="M671" s="3" t="str">
        <f t="shared" ca="1" si="36"/>
        <v/>
      </c>
      <c r="N671" s="3"/>
      <c r="O671" s="3"/>
      <c r="P671" s="4" t="str">
        <f>IF(OR(O671="", J671=""), "", NETWORKDAYS(J671, O671,#REF!))</f>
        <v/>
      </c>
    </row>
    <row r="672" spans="1:16" ht="15.75" x14ac:dyDescent="0.25">
      <c r="A672" s="3"/>
      <c r="B672" s="18"/>
      <c r="C672" s="18"/>
      <c r="D672" s="18"/>
      <c r="E672" s="16"/>
      <c r="F672" s="17"/>
      <c r="G672" s="3"/>
      <c r="H672" s="3" t="str">
        <f t="shared" si="34"/>
        <v/>
      </c>
      <c r="I672" s="3" t="str">
        <f ca="1">IF(AND(F672&lt;&gt;"", J672&lt;&gt;""), NETWORKDAYS(TODAY(), J672-1, FESTIVOS!A$1:A$55), "")</f>
        <v/>
      </c>
      <c r="J672" s="4" t="str">
        <f>IF(AND(F672&lt;&gt;"", H672&lt;&gt;""), WORKDAY(F672, H672, FESTIVOS!A$1:A$55), "")</f>
        <v/>
      </c>
      <c r="K672" s="42" t="s">
        <v>656</v>
      </c>
      <c r="L672" s="3" t="str">
        <f t="shared" ca="1" si="35"/>
        <v/>
      </c>
      <c r="M672" s="3" t="str">
        <f t="shared" ca="1" si="36"/>
        <v/>
      </c>
      <c r="N672" s="3"/>
      <c r="O672" s="3"/>
      <c r="P672" s="4" t="str">
        <f>IF(OR(O672="", J672=""), "", NETWORKDAYS(J672, O672,#REF!))</f>
        <v/>
      </c>
    </row>
    <row r="673" spans="1:16" ht="15.75" x14ac:dyDescent="0.25">
      <c r="A673" s="3"/>
      <c r="B673" s="18"/>
      <c r="C673" s="18"/>
      <c r="D673" s="18"/>
      <c r="E673" s="16"/>
      <c r="F673" s="17"/>
      <c r="G673" s="3"/>
      <c r="H673" s="3" t="str">
        <f t="shared" si="34"/>
        <v/>
      </c>
      <c r="I673" s="3" t="str">
        <f ca="1">IF(AND(F673&lt;&gt;"", J673&lt;&gt;""), NETWORKDAYS(TODAY(), J673-1, FESTIVOS!A$1:A$55), "")</f>
        <v/>
      </c>
      <c r="J673" s="4" t="str">
        <f>IF(AND(F673&lt;&gt;"", H673&lt;&gt;""), WORKDAY(F673, H673, FESTIVOS!A$1:A$55), "")</f>
        <v/>
      </c>
      <c r="K673" s="42" t="s">
        <v>656</v>
      </c>
      <c r="L673" s="3" t="str">
        <f t="shared" ca="1" si="35"/>
        <v/>
      </c>
      <c r="M673" s="3" t="str">
        <f t="shared" ca="1" si="36"/>
        <v/>
      </c>
      <c r="N673" s="3"/>
      <c r="O673" s="3"/>
      <c r="P673" s="4" t="str">
        <f>IF(OR(O673="", J673=""), "", NETWORKDAYS(J673, O673,#REF!))</f>
        <v/>
      </c>
    </row>
    <row r="674" spans="1:16" ht="15.75" x14ac:dyDescent="0.25">
      <c r="A674" s="3"/>
      <c r="B674" s="18"/>
      <c r="C674" s="18"/>
      <c r="D674" s="18"/>
      <c r="E674" s="16"/>
      <c r="F674" s="17"/>
      <c r="G674" s="3"/>
      <c r="H674" s="3" t="str">
        <f t="shared" si="34"/>
        <v/>
      </c>
      <c r="I674" s="3" t="str">
        <f ca="1">IF(AND(F674&lt;&gt;"", J674&lt;&gt;""), NETWORKDAYS(TODAY(), J674-1, FESTIVOS!A$1:A$55), "")</f>
        <v/>
      </c>
      <c r="J674" s="4" t="str">
        <f>IF(AND(F674&lt;&gt;"", H674&lt;&gt;""), WORKDAY(F674, H674, FESTIVOS!A$1:A$55), "")</f>
        <v/>
      </c>
      <c r="K674" s="42" t="s">
        <v>656</v>
      </c>
      <c r="L674" s="3" t="str">
        <f t="shared" ca="1" si="35"/>
        <v/>
      </c>
      <c r="M674" s="3" t="str">
        <f t="shared" ca="1" si="36"/>
        <v/>
      </c>
      <c r="N674" s="3"/>
      <c r="O674" s="3"/>
      <c r="P674" s="4" t="str">
        <f>IF(OR(O674="", J674=""), "", NETWORKDAYS(J674, O674,#REF!))</f>
        <v/>
      </c>
    </row>
    <row r="675" spans="1:16" ht="15.75" x14ac:dyDescent="0.25">
      <c r="A675" s="3"/>
      <c r="B675" s="18"/>
      <c r="C675" s="18"/>
      <c r="D675" s="18"/>
      <c r="E675" s="16"/>
      <c r="F675" s="17"/>
      <c r="G675" s="3"/>
      <c r="H675" s="3" t="str">
        <f t="shared" si="34"/>
        <v/>
      </c>
      <c r="I675" s="3" t="str">
        <f ca="1">IF(AND(F675&lt;&gt;"", J675&lt;&gt;""), NETWORKDAYS(TODAY(), J675-1, FESTIVOS!A$1:A$55), "")</f>
        <v/>
      </c>
      <c r="J675" s="4" t="str">
        <f>IF(AND(F675&lt;&gt;"", H675&lt;&gt;""), WORKDAY(F675, H675, FESTIVOS!A$1:A$55), "")</f>
        <v/>
      </c>
      <c r="K675" s="42" t="s">
        <v>656</v>
      </c>
      <c r="L675" s="3" t="str">
        <f t="shared" ca="1" si="35"/>
        <v/>
      </c>
      <c r="M675" s="3" t="str">
        <f t="shared" ca="1" si="36"/>
        <v/>
      </c>
      <c r="N675" s="3"/>
      <c r="O675" s="3"/>
      <c r="P675" s="4" t="str">
        <f>IF(OR(O675="", J675=""), "", NETWORKDAYS(J675, O675,#REF!))</f>
        <v/>
      </c>
    </row>
    <row r="676" spans="1:16" ht="15.75" x14ac:dyDescent="0.25">
      <c r="A676" s="3"/>
      <c r="B676" s="18"/>
      <c r="C676" s="18"/>
      <c r="D676" s="18"/>
      <c r="E676" s="16"/>
      <c r="F676" s="17"/>
      <c r="G676" s="3"/>
      <c r="H676" s="3" t="str">
        <f t="shared" si="34"/>
        <v/>
      </c>
      <c r="I676" s="3" t="str">
        <f ca="1">IF(AND(F676&lt;&gt;"", J676&lt;&gt;""), NETWORKDAYS(TODAY(), J676-1, FESTIVOS!A$1:A$55), "")</f>
        <v/>
      </c>
      <c r="J676" s="4" t="str">
        <f>IF(AND(F676&lt;&gt;"", H676&lt;&gt;""), WORKDAY(F676, H676, FESTIVOS!A$1:A$55), "")</f>
        <v/>
      </c>
      <c r="K676" s="42" t="s">
        <v>656</v>
      </c>
      <c r="L676" s="3" t="str">
        <f t="shared" ca="1" si="35"/>
        <v/>
      </c>
      <c r="M676" s="3" t="str">
        <f t="shared" ca="1" si="36"/>
        <v/>
      </c>
      <c r="N676" s="3"/>
      <c r="O676" s="3"/>
      <c r="P676" s="4" t="str">
        <f>IF(OR(O676="", J676=""), "", NETWORKDAYS(J676, O676,#REF!))</f>
        <v/>
      </c>
    </row>
    <row r="677" spans="1:16" ht="15.75" x14ac:dyDescent="0.25">
      <c r="A677" s="3"/>
      <c r="B677" s="18"/>
      <c r="C677" s="18"/>
      <c r="D677" s="18"/>
      <c r="E677" s="16"/>
      <c r="F677" s="17"/>
      <c r="G677" s="3"/>
      <c r="H677" s="3" t="str">
        <f t="shared" si="34"/>
        <v/>
      </c>
      <c r="I677" s="3" t="str">
        <f ca="1">IF(AND(F677&lt;&gt;"", J677&lt;&gt;""), NETWORKDAYS(TODAY(), J677-1, FESTIVOS!A$1:A$55), "")</f>
        <v/>
      </c>
      <c r="J677" s="4" t="str">
        <f>IF(AND(F677&lt;&gt;"", H677&lt;&gt;""), WORKDAY(F677, H677, FESTIVOS!A$1:A$55), "")</f>
        <v/>
      </c>
      <c r="K677" s="42" t="s">
        <v>656</v>
      </c>
      <c r="L677" s="3" t="str">
        <f t="shared" ca="1" si="35"/>
        <v/>
      </c>
      <c r="M677" s="3" t="str">
        <f t="shared" ca="1" si="36"/>
        <v/>
      </c>
      <c r="N677" s="3"/>
      <c r="O677" s="3"/>
      <c r="P677" s="4" t="str">
        <f>IF(OR(O677="", J677=""), "", NETWORKDAYS(J677, O677,#REF!))</f>
        <v/>
      </c>
    </row>
    <row r="678" spans="1:16" ht="15.75" x14ac:dyDescent="0.25">
      <c r="A678" s="3"/>
      <c r="B678" s="18"/>
      <c r="C678" s="18"/>
      <c r="D678" s="18"/>
      <c r="E678" s="16"/>
      <c r="F678" s="17"/>
      <c r="G678" s="3"/>
      <c r="H678" s="3" t="str">
        <f t="shared" si="34"/>
        <v/>
      </c>
      <c r="I678" s="3" t="str">
        <f ca="1">IF(AND(F678&lt;&gt;"", J678&lt;&gt;""), NETWORKDAYS(TODAY(), J678-1, FESTIVOS!A$1:A$55), "")</f>
        <v/>
      </c>
      <c r="J678" s="4" t="str">
        <f>IF(AND(F678&lt;&gt;"", H678&lt;&gt;""), WORKDAY(F678, H678, FESTIVOS!A$1:A$55), "")</f>
        <v/>
      </c>
      <c r="K678" s="42" t="s">
        <v>656</v>
      </c>
      <c r="L678" s="3" t="str">
        <f t="shared" ca="1" si="35"/>
        <v/>
      </c>
      <c r="M678" s="3" t="str">
        <f t="shared" ca="1" si="36"/>
        <v/>
      </c>
      <c r="N678" s="3"/>
      <c r="O678" s="3"/>
      <c r="P678" s="4" t="str">
        <f>IF(OR(O678="", J678=""), "", NETWORKDAYS(J678, O678,#REF!))</f>
        <v/>
      </c>
    </row>
    <row r="679" spans="1:16" ht="15.75" x14ac:dyDescent="0.25">
      <c r="A679" s="3"/>
      <c r="B679" s="18"/>
      <c r="C679" s="18"/>
      <c r="D679" s="18"/>
      <c r="E679" s="16"/>
      <c r="F679" s="17"/>
      <c r="G679" s="3"/>
      <c r="H679" s="3" t="str">
        <f t="shared" si="34"/>
        <v/>
      </c>
      <c r="I679" s="3" t="str">
        <f ca="1">IF(AND(F679&lt;&gt;"", J679&lt;&gt;""), NETWORKDAYS(TODAY(), J679-1, FESTIVOS!A$1:A$55), "")</f>
        <v/>
      </c>
      <c r="J679" s="4" t="str">
        <f>IF(AND(F679&lt;&gt;"", H679&lt;&gt;""), WORKDAY(F679, H679, FESTIVOS!A$1:A$55), "")</f>
        <v/>
      </c>
      <c r="K679" s="42" t="s">
        <v>656</v>
      </c>
      <c r="L679" s="3" t="str">
        <f t="shared" ca="1" si="35"/>
        <v/>
      </c>
      <c r="M679" s="3" t="str">
        <f t="shared" ca="1" si="36"/>
        <v/>
      </c>
      <c r="N679" s="3"/>
      <c r="O679" s="3"/>
      <c r="P679" s="4" t="str">
        <f>IF(OR(O679="", J679=""), "", NETWORKDAYS(J679, O679,#REF!))</f>
        <v/>
      </c>
    </row>
    <row r="680" spans="1:16" ht="15.75" x14ac:dyDescent="0.25">
      <c r="A680" s="3"/>
      <c r="B680" s="18"/>
      <c r="C680" s="18"/>
      <c r="D680" s="18"/>
      <c r="E680" s="16"/>
      <c r="F680" s="17"/>
      <c r="G680" s="3"/>
      <c r="H680" s="3" t="str">
        <f t="shared" si="34"/>
        <v/>
      </c>
      <c r="I680" s="3" t="str">
        <f ca="1">IF(AND(F680&lt;&gt;"", J680&lt;&gt;""), NETWORKDAYS(TODAY(), J680-1, FESTIVOS!A$1:A$55), "")</f>
        <v/>
      </c>
      <c r="J680" s="4" t="str">
        <f>IF(AND(F680&lt;&gt;"", H680&lt;&gt;""), WORKDAY(F680, H680, FESTIVOS!A$1:A$55), "")</f>
        <v/>
      </c>
      <c r="K680" s="42" t="s">
        <v>656</v>
      </c>
      <c r="L680" s="3" t="str">
        <f t="shared" ca="1" si="35"/>
        <v/>
      </c>
      <c r="M680" s="3" t="str">
        <f t="shared" ca="1" si="36"/>
        <v/>
      </c>
      <c r="N680" s="3"/>
      <c r="O680" s="3"/>
      <c r="P680" s="4" t="str">
        <f>IF(OR(O680="", J680=""), "", NETWORKDAYS(J680, O680,#REF!))</f>
        <v/>
      </c>
    </row>
    <row r="681" spans="1:16" ht="15.75" x14ac:dyDescent="0.25">
      <c r="A681" s="3"/>
      <c r="B681" s="18"/>
      <c r="C681" s="18"/>
      <c r="D681" s="18"/>
      <c r="E681" s="16"/>
      <c r="F681" s="17"/>
      <c r="G681" s="3"/>
      <c r="H681" s="3" t="str">
        <f t="shared" si="34"/>
        <v/>
      </c>
      <c r="I681" s="3" t="str">
        <f ca="1">IF(AND(F681&lt;&gt;"", J681&lt;&gt;""), NETWORKDAYS(TODAY(), J681-1, FESTIVOS!A$1:A$55), "")</f>
        <v/>
      </c>
      <c r="J681" s="4" t="str">
        <f>IF(AND(F681&lt;&gt;"", H681&lt;&gt;""), WORKDAY(F681, H681, FESTIVOS!A$1:A$55), "")</f>
        <v/>
      </c>
      <c r="K681" s="42" t="s">
        <v>656</v>
      </c>
      <c r="L681" s="3" t="str">
        <f t="shared" ca="1" si="35"/>
        <v/>
      </c>
      <c r="M681" s="3" t="str">
        <f t="shared" ca="1" si="36"/>
        <v/>
      </c>
      <c r="N681" s="3"/>
      <c r="O681" s="3"/>
      <c r="P681" s="4" t="str">
        <f>IF(OR(O681="", J681=""), "", NETWORKDAYS(J681, O681,#REF!))</f>
        <v/>
      </c>
    </row>
    <row r="682" spans="1:16" ht="15.75" x14ac:dyDescent="0.25">
      <c r="A682" s="3"/>
      <c r="B682" s="18"/>
      <c r="C682" s="18"/>
      <c r="D682" s="18"/>
      <c r="E682" s="16"/>
      <c r="F682" s="17"/>
      <c r="G682" s="3"/>
      <c r="H682" s="3" t="str">
        <f t="shared" si="34"/>
        <v/>
      </c>
      <c r="I682" s="3" t="str">
        <f ca="1">IF(AND(F682&lt;&gt;"", J682&lt;&gt;""), NETWORKDAYS(TODAY(), J682-1, FESTIVOS!A$1:A$55), "")</f>
        <v/>
      </c>
      <c r="J682" s="4" t="str">
        <f>IF(AND(F682&lt;&gt;"", H682&lt;&gt;""), WORKDAY(F682, H682, FESTIVOS!A$1:A$55), "")</f>
        <v/>
      </c>
      <c r="K682" s="42" t="s">
        <v>656</v>
      </c>
      <c r="L682" s="3" t="str">
        <f t="shared" ca="1" si="35"/>
        <v/>
      </c>
      <c r="M682" s="3" t="str">
        <f t="shared" ca="1" si="36"/>
        <v/>
      </c>
      <c r="N682" s="3"/>
      <c r="O682" s="3"/>
      <c r="P682" s="4" t="str">
        <f>IF(OR(O682="", J682=""), "", NETWORKDAYS(J682, O682,#REF!))</f>
        <v/>
      </c>
    </row>
    <row r="683" spans="1:16" ht="15.75" x14ac:dyDescent="0.25">
      <c r="A683" s="3"/>
      <c r="B683" s="18"/>
      <c r="C683" s="18"/>
      <c r="D683" s="18"/>
      <c r="E683" s="16"/>
      <c r="F683" s="17"/>
      <c r="G683" s="3"/>
      <c r="H683" s="3" t="str">
        <f t="shared" si="34"/>
        <v/>
      </c>
      <c r="I683" s="3" t="str">
        <f ca="1">IF(AND(F683&lt;&gt;"", J683&lt;&gt;""), NETWORKDAYS(TODAY(), J683-1, FESTIVOS!A$1:A$55), "")</f>
        <v/>
      </c>
      <c r="J683" s="4" t="str">
        <f>IF(AND(F683&lt;&gt;"", H683&lt;&gt;""), WORKDAY(F683, H683, FESTIVOS!A$1:A$55), "")</f>
        <v/>
      </c>
      <c r="K683" s="42" t="s">
        <v>656</v>
      </c>
      <c r="L683" s="3" t="str">
        <f t="shared" ca="1" si="35"/>
        <v/>
      </c>
      <c r="M683" s="3" t="str">
        <f t="shared" ca="1" si="36"/>
        <v/>
      </c>
      <c r="N683" s="3"/>
      <c r="O683" s="3"/>
      <c r="P683" s="4" t="str">
        <f>IF(OR(O683="", J683=""), "", NETWORKDAYS(J683, O683,#REF!))</f>
        <v/>
      </c>
    </row>
    <row r="684" spans="1:16" ht="15.75" x14ac:dyDescent="0.25">
      <c r="A684" s="3"/>
      <c r="B684" s="18"/>
      <c r="C684" s="18"/>
      <c r="D684" s="18"/>
      <c r="E684" s="16"/>
      <c r="F684" s="17"/>
      <c r="G684" s="3"/>
      <c r="H684" s="3" t="str">
        <f t="shared" si="34"/>
        <v/>
      </c>
      <c r="I684" s="3" t="str">
        <f ca="1">IF(AND(F684&lt;&gt;"", J684&lt;&gt;""), NETWORKDAYS(TODAY(), J684-1, FESTIVOS!A$1:A$55), "")</f>
        <v/>
      </c>
      <c r="J684" s="4" t="str">
        <f>IF(AND(F684&lt;&gt;"", H684&lt;&gt;""), WORKDAY(F684, H684, FESTIVOS!A$1:A$55), "")</f>
        <v/>
      </c>
      <c r="K684" s="42" t="s">
        <v>656</v>
      </c>
      <c r="L684" s="3" t="str">
        <f t="shared" ca="1" si="35"/>
        <v/>
      </c>
      <c r="M684" s="3" t="str">
        <f t="shared" ca="1" si="36"/>
        <v/>
      </c>
      <c r="N684" s="3"/>
      <c r="O684" s="3"/>
      <c r="P684" s="4" t="str">
        <f>IF(OR(O684="", J684=""), "", NETWORKDAYS(J684, O684,#REF!))</f>
        <v/>
      </c>
    </row>
    <row r="685" spans="1:16" ht="15.75" x14ac:dyDescent="0.25">
      <c r="A685" s="3"/>
      <c r="B685" s="18"/>
      <c r="C685" s="18"/>
      <c r="D685" s="18"/>
      <c r="E685" s="16"/>
      <c r="F685" s="17"/>
      <c r="G685" s="3"/>
      <c r="H685" s="3" t="str">
        <f t="shared" si="34"/>
        <v/>
      </c>
      <c r="I685" s="3" t="str">
        <f ca="1">IF(AND(F685&lt;&gt;"", J685&lt;&gt;""), NETWORKDAYS(TODAY(), J685-1, FESTIVOS!A$1:A$55), "")</f>
        <v/>
      </c>
      <c r="J685" s="4" t="str">
        <f>IF(AND(F685&lt;&gt;"", H685&lt;&gt;""), WORKDAY(F685, H685, FESTIVOS!A$1:A$55), "")</f>
        <v/>
      </c>
      <c r="K685" s="42" t="s">
        <v>656</v>
      </c>
      <c r="L685" s="3" t="str">
        <f t="shared" ca="1" si="35"/>
        <v/>
      </c>
      <c r="M685" s="3" t="str">
        <f t="shared" ca="1" si="36"/>
        <v/>
      </c>
      <c r="N685" s="3"/>
      <c r="O685" s="3"/>
      <c r="P685" s="4" t="str">
        <f>IF(OR(O685="", J685=""), "", NETWORKDAYS(J685, O685,#REF!))</f>
        <v/>
      </c>
    </row>
    <row r="686" spans="1:16" ht="15.75" x14ac:dyDescent="0.25">
      <c r="A686" s="3"/>
      <c r="B686" s="18"/>
      <c r="C686" s="18"/>
      <c r="D686" s="18"/>
      <c r="E686" s="16"/>
      <c r="F686" s="17"/>
      <c r="G686" s="3"/>
      <c r="H686" s="3" t="str">
        <f t="shared" si="34"/>
        <v/>
      </c>
      <c r="I686" s="3" t="str">
        <f ca="1">IF(AND(F686&lt;&gt;"", J686&lt;&gt;""), NETWORKDAYS(TODAY(), J686-1, FESTIVOS!A$1:A$55), "")</f>
        <v/>
      </c>
      <c r="J686" s="4" t="str">
        <f>IF(AND(F686&lt;&gt;"", H686&lt;&gt;""), WORKDAY(F686, H686, FESTIVOS!A$1:A$55), "")</f>
        <v/>
      </c>
      <c r="K686" s="42" t="s">
        <v>656</v>
      </c>
      <c r="L686" s="3" t="str">
        <f t="shared" ca="1" si="35"/>
        <v/>
      </c>
      <c r="M686" s="3" t="str">
        <f t="shared" ca="1" si="36"/>
        <v/>
      </c>
      <c r="N686" s="3"/>
      <c r="O686" s="3"/>
      <c r="P686" s="4" t="str">
        <f>IF(OR(O686="", J686=""), "", NETWORKDAYS(J686, O686,#REF!))</f>
        <v/>
      </c>
    </row>
    <row r="687" spans="1:16" ht="15.75" x14ac:dyDescent="0.25">
      <c r="A687" s="3"/>
      <c r="B687" s="18"/>
      <c r="C687" s="18"/>
      <c r="D687" s="18"/>
      <c r="E687" s="16"/>
      <c r="F687" s="17"/>
      <c r="G687" s="3"/>
      <c r="H687" s="3" t="str">
        <f t="shared" si="34"/>
        <v/>
      </c>
      <c r="I687" s="3" t="str">
        <f ca="1">IF(AND(F687&lt;&gt;"", J687&lt;&gt;""), NETWORKDAYS(TODAY(), J687-1, FESTIVOS!A$1:A$55), "")</f>
        <v/>
      </c>
      <c r="J687" s="4" t="str">
        <f>IF(AND(F687&lt;&gt;"", H687&lt;&gt;""), WORKDAY(F687, H687, FESTIVOS!A$1:A$55), "")</f>
        <v/>
      </c>
      <c r="K687" s="42" t="s">
        <v>656</v>
      </c>
      <c r="L687" s="3" t="str">
        <f t="shared" ca="1" si="35"/>
        <v/>
      </c>
      <c r="M687" s="3" t="str">
        <f t="shared" ca="1" si="36"/>
        <v/>
      </c>
      <c r="N687" s="3"/>
      <c r="O687" s="3"/>
      <c r="P687" s="4" t="str">
        <f>IF(OR(O687="", J687=""), "", NETWORKDAYS(J687, O687,#REF!))</f>
        <v/>
      </c>
    </row>
    <row r="688" spans="1:16" ht="15.75" x14ac:dyDescent="0.25">
      <c r="A688" s="3"/>
      <c r="B688" s="18"/>
      <c r="C688" s="18"/>
      <c r="D688" s="18"/>
      <c r="E688" s="16"/>
      <c r="F688" s="17"/>
      <c r="G688" s="3"/>
      <c r="H688" s="3" t="str">
        <f t="shared" si="34"/>
        <v/>
      </c>
      <c r="I688" s="3" t="str">
        <f ca="1">IF(AND(F688&lt;&gt;"", J688&lt;&gt;""), NETWORKDAYS(TODAY(), J688-1, FESTIVOS!A$1:A$55), "")</f>
        <v/>
      </c>
      <c r="J688" s="4" t="str">
        <f>IF(AND(F688&lt;&gt;"", H688&lt;&gt;""), WORKDAY(F688, H688, FESTIVOS!A$1:A$55), "")</f>
        <v/>
      </c>
      <c r="K688" s="42" t="s">
        <v>656</v>
      </c>
      <c r="L688" s="3" t="str">
        <f t="shared" ca="1" si="35"/>
        <v/>
      </c>
      <c r="M688" s="3" t="str">
        <f t="shared" ca="1" si="36"/>
        <v/>
      </c>
      <c r="N688" s="3"/>
      <c r="O688" s="3"/>
      <c r="P688" s="4" t="str">
        <f>IF(OR(O688="", J688=""), "", NETWORKDAYS(J688, O688,#REF!))</f>
        <v/>
      </c>
    </row>
    <row r="689" spans="1:16" ht="15.75" x14ac:dyDescent="0.25">
      <c r="A689" s="3"/>
      <c r="B689" s="18"/>
      <c r="C689" s="18"/>
      <c r="D689" s="18"/>
      <c r="E689" s="16"/>
      <c r="F689" s="17"/>
      <c r="G689" s="3"/>
      <c r="H689" s="3" t="str">
        <f t="shared" si="34"/>
        <v/>
      </c>
      <c r="I689" s="3" t="str">
        <f ca="1">IF(AND(F689&lt;&gt;"", J689&lt;&gt;""), NETWORKDAYS(TODAY(), J689-1, FESTIVOS!A$1:A$55), "")</f>
        <v/>
      </c>
      <c r="J689" s="4" t="str">
        <f>IF(AND(F689&lt;&gt;"", H689&lt;&gt;""), WORKDAY(F689, H689, FESTIVOS!A$1:A$55), "")</f>
        <v/>
      </c>
      <c r="K689" s="42" t="s">
        <v>656</v>
      </c>
      <c r="L689" s="3" t="str">
        <f t="shared" ca="1" si="35"/>
        <v/>
      </c>
      <c r="M689" s="3" t="str">
        <f t="shared" ca="1" si="36"/>
        <v/>
      </c>
      <c r="N689" s="3"/>
      <c r="O689" s="3"/>
      <c r="P689" s="4" t="str">
        <f>IF(OR(O689="", J689=""), "", NETWORKDAYS(J689, O689,#REF!))</f>
        <v/>
      </c>
    </row>
    <row r="690" spans="1:16" ht="15.75" x14ac:dyDescent="0.25">
      <c r="A690" s="3"/>
      <c r="B690" s="18"/>
      <c r="C690" s="18"/>
      <c r="D690" s="18"/>
      <c r="E690" s="16"/>
      <c r="F690" s="17"/>
      <c r="G690" s="3"/>
      <c r="H690" s="3" t="str">
        <f t="shared" si="34"/>
        <v/>
      </c>
      <c r="I690" s="3" t="str">
        <f ca="1">IF(AND(F690&lt;&gt;"", J690&lt;&gt;""), NETWORKDAYS(TODAY(), J690-1, FESTIVOS!A$1:A$55), "")</f>
        <v/>
      </c>
      <c r="J690" s="4" t="str">
        <f>IF(AND(F690&lt;&gt;"", H690&lt;&gt;""), WORKDAY(F690, H690, FESTIVOS!A$1:A$55), "")</f>
        <v/>
      </c>
      <c r="K690" s="3"/>
      <c r="L690" s="3" t="str">
        <f t="shared" ca="1" si="35"/>
        <v/>
      </c>
      <c r="M690" s="3" t="str">
        <f t="shared" ca="1" si="36"/>
        <v/>
      </c>
      <c r="N690" s="3"/>
      <c r="O690" s="3"/>
      <c r="P690" s="4" t="str">
        <f>IF(OR(O690="", J690=""), "", NETWORKDAYS(J690, O690,#REF!))</f>
        <v/>
      </c>
    </row>
    <row r="691" spans="1:16" ht="15.75" x14ac:dyDescent="0.25">
      <c r="A691" s="3"/>
      <c r="B691" s="18"/>
      <c r="C691" s="18"/>
      <c r="D691" s="18"/>
      <c r="E691" s="16"/>
      <c r="F691" s="17"/>
      <c r="G691" s="3"/>
      <c r="H691" s="3" t="str">
        <f t="shared" si="34"/>
        <v/>
      </c>
      <c r="I691" s="3" t="str">
        <f ca="1">IF(AND(F691&lt;&gt;"", J691&lt;&gt;""), NETWORKDAYS(TODAY(), J691-1, FESTIVOS!A$1:A$55), "")</f>
        <v/>
      </c>
      <c r="J691" s="4" t="str">
        <f>IF(AND(F691&lt;&gt;"", H691&lt;&gt;""), WORKDAY(F691, H691, FESTIVOS!A$1:A$55), "")</f>
        <v/>
      </c>
      <c r="K691" s="3"/>
      <c r="L691" s="3" t="str">
        <f t="shared" ca="1" si="35"/>
        <v/>
      </c>
      <c r="M691" s="3" t="str">
        <f t="shared" ca="1" si="36"/>
        <v/>
      </c>
      <c r="N691" s="3"/>
      <c r="O691" s="3"/>
      <c r="P691" s="4" t="str">
        <f>IF(OR(O691="", J691=""), "", NETWORKDAYS(J691, O691,#REF!))</f>
        <v/>
      </c>
    </row>
    <row r="692" spans="1:16" ht="15.75" x14ac:dyDescent="0.25">
      <c r="A692" s="3"/>
      <c r="B692" s="18"/>
      <c r="C692" s="18"/>
      <c r="D692" s="18"/>
      <c r="E692" s="16"/>
      <c r="F692" s="17"/>
      <c r="G692" s="3"/>
      <c r="H692" s="3" t="str">
        <f t="shared" si="34"/>
        <v/>
      </c>
      <c r="I692" s="3" t="str">
        <f ca="1">IF(AND(F692&lt;&gt;"", J692&lt;&gt;""), NETWORKDAYS(TODAY(), J692-1, FESTIVOS!A$1:A$55), "")</f>
        <v/>
      </c>
      <c r="J692" s="4" t="str">
        <f>IF(AND(F692&lt;&gt;"", H692&lt;&gt;""), WORKDAY(F692, H692, FESTIVOS!A$1:A$55), "")</f>
        <v/>
      </c>
      <c r="K692" s="3"/>
      <c r="L692" s="3" t="str">
        <f t="shared" ca="1" si="35"/>
        <v/>
      </c>
      <c r="M692" s="3" t="str">
        <f t="shared" ca="1" si="36"/>
        <v/>
      </c>
      <c r="N692" s="3"/>
      <c r="O692" s="3"/>
      <c r="P692" s="4" t="str">
        <f>IF(OR(O692="", J692=""), "", NETWORKDAYS(J692, O692,#REF!))</f>
        <v/>
      </c>
    </row>
    <row r="693" spans="1:16" ht="15.75" x14ac:dyDescent="0.25">
      <c r="A693" s="3"/>
      <c r="B693" s="18"/>
      <c r="C693" s="18"/>
      <c r="D693" s="18"/>
      <c r="E693" s="16"/>
      <c r="F693" s="17"/>
      <c r="G693" s="3"/>
      <c r="H693" s="3" t="str">
        <f t="shared" si="34"/>
        <v/>
      </c>
      <c r="I693" s="3" t="str">
        <f ca="1">IF(AND(F693&lt;&gt;"", J693&lt;&gt;""), NETWORKDAYS(TODAY(), J693-1, FESTIVOS!A$1:A$55), "")</f>
        <v/>
      </c>
      <c r="J693" s="4" t="str">
        <f>IF(AND(F693&lt;&gt;"", H693&lt;&gt;""), WORKDAY(F693, H693, FESTIVOS!A$1:A$55), "")</f>
        <v/>
      </c>
      <c r="K693" s="3"/>
      <c r="L693" s="3" t="str">
        <f t="shared" ca="1" si="35"/>
        <v/>
      </c>
      <c r="M693" s="3" t="str">
        <f t="shared" ca="1" si="36"/>
        <v/>
      </c>
      <c r="N693" s="3"/>
      <c r="O693" s="3"/>
      <c r="P693" s="4" t="str">
        <f>IF(OR(O693="", J693=""), "", NETWORKDAYS(J693, O693,#REF!))</f>
        <v/>
      </c>
    </row>
    <row r="694" spans="1:16" ht="15.75" x14ac:dyDescent="0.25">
      <c r="A694" s="3"/>
      <c r="B694" s="18"/>
      <c r="C694" s="18"/>
      <c r="D694" s="18"/>
      <c r="E694" s="16"/>
      <c r="F694" s="17"/>
      <c r="G694" s="3"/>
      <c r="H694" s="3" t="str">
        <f t="shared" ref="H694:H757" si="37">IF(A694="INFORMACIÓN O DOCUMENTOS", 10, IF(A694="CONSULTA", 30, IF(A694="FACTURACIÓN Y COBROS", 15, IF(A694="VINCULACIÓN Y DESVINCULACIÓN", 15, IF(A694="NO ES DE NUESTRA COMPETENCIA", 5, IF(A694="OTRO", 15, ""))))))</f>
        <v/>
      </c>
      <c r="I694" s="3" t="str">
        <f ca="1">IF(AND(F694&lt;&gt;"", J694&lt;&gt;""), NETWORKDAYS(TODAY(), J694-1, FESTIVOS!A$1:A$55), "")</f>
        <v/>
      </c>
      <c r="J694" s="4" t="str">
        <f>IF(AND(F694&lt;&gt;"", H694&lt;&gt;""), WORKDAY(F694, H694, FESTIVOS!A$1:A$55), "")</f>
        <v/>
      </c>
      <c r="K694" s="3"/>
      <c r="L694" s="3" t="str">
        <f t="shared" ref="L694:L757" ca="1" si="38">IF(I694="", "", MAX(0, I694 - (TODAY() - TODAY())))</f>
        <v/>
      </c>
      <c r="M694" s="3" t="str">
        <f t="shared" ref="M694:M757" ca="1" si="39">IF(OR(I694="", H694=""), "", IF(I694&lt;0, "Vencido", IF(I694&gt;(H694/2), "Supere la mitad", "Bajo la mitad")))</f>
        <v/>
      </c>
      <c r="N694" s="3"/>
      <c r="O694" s="3"/>
      <c r="P694" s="4" t="str">
        <f>IF(OR(O694="", J694=""), "", NETWORKDAYS(J694, O694,#REF!))</f>
        <v/>
      </c>
    </row>
    <row r="695" spans="1:16" ht="15.75" x14ac:dyDescent="0.25">
      <c r="A695" s="3"/>
      <c r="B695" s="18"/>
      <c r="C695" s="18"/>
      <c r="D695" s="18"/>
      <c r="E695" s="16"/>
      <c r="F695" s="17"/>
      <c r="G695" s="3"/>
      <c r="H695" s="3" t="str">
        <f t="shared" si="37"/>
        <v/>
      </c>
      <c r="I695" s="3" t="str">
        <f ca="1">IF(AND(F695&lt;&gt;"", J695&lt;&gt;""), NETWORKDAYS(TODAY(), J695-1, FESTIVOS!A$1:A$55), "")</f>
        <v/>
      </c>
      <c r="J695" s="4" t="str">
        <f>IF(AND(F695&lt;&gt;"", H695&lt;&gt;""), WORKDAY(F695, H695, FESTIVOS!A$1:A$55), "")</f>
        <v/>
      </c>
      <c r="K695" s="3"/>
      <c r="L695" s="3" t="str">
        <f t="shared" ca="1" si="38"/>
        <v/>
      </c>
      <c r="M695" s="3" t="str">
        <f t="shared" ca="1" si="39"/>
        <v/>
      </c>
      <c r="N695" s="3"/>
      <c r="O695" s="3"/>
      <c r="P695" s="4" t="str">
        <f>IF(OR(O695="", J695=""), "", NETWORKDAYS(J695, O695,#REF!))</f>
        <v/>
      </c>
    </row>
    <row r="696" spans="1:16" ht="15.75" x14ac:dyDescent="0.25">
      <c r="A696" s="3"/>
      <c r="B696" s="18"/>
      <c r="C696" s="18"/>
      <c r="D696" s="18"/>
      <c r="E696" s="16"/>
      <c r="F696" s="17"/>
      <c r="G696" s="3"/>
      <c r="H696" s="3" t="str">
        <f t="shared" si="37"/>
        <v/>
      </c>
      <c r="I696" s="3" t="str">
        <f ca="1">IF(AND(F696&lt;&gt;"", J696&lt;&gt;""), NETWORKDAYS(TODAY(), J696-1, FESTIVOS!A$1:A$55), "")</f>
        <v/>
      </c>
      <c r="J696" s="4" t="str">
        <f>IF(AND(F696&lt;&gt;"", H696&lt;&gt;""), WORKDAY(F696, H696, FESTIVOS!A$1:A$55), "")</f>
        <v/>
      </c>
      <c r="K696" s="3"/>
      <c r="L696" s="3" t="str">
        <f t="shared" ca="1" si="38"/>
        <v/>
      </c>
      <c r="M696" s="3" t="str">
        <f t="shared" ca="1" si="39"/>
        <v/>
      </c>
      <c r="N696" s="3"/>
      <c r="O696" s="3"/>
      <c r="P696" s="4" t="str">
        <f>IF(OR(O696="", J696=""), "", NETWORKDAYS(J696, O696,#REF!))</f>
        <v/>
      </c>
    </row>
    <row r="697" spans="1:16" ht="15.75" x14ac:dyDescent="0.25">
      <c r="A697" s="3"/>
      <c r="B697" s="18"/>
      <c r="C697" s="18"/>
      <c r="D697" s="18"/>
      <c r="E697" s="16"/>
      <c r="F697" s="17"/>
      <c r="G697" s="3"/>
      <c r="H697" s="3" t="str">
        <f t="shared" si="37"/>
        <v/>
      </c>
      <c r="I697" s="3" t="str">
        <f ca="1">IF(AND(F697&lt;&gt;"", J697&lt;&gt;""), NETWORKDAYS(TODAY(), J697-1, FESTIVOS!A$1:A$55), "")</f>
        <v/>
      </c>
      <c r="J697" s="4" t="str">
        <f>IF(AND(F697&lt;&gt;"", H697&lt;&gt;""), WORKDAY(F697, H697, FESTIVOS!A$1:A$55), "")</f>
        <v/>
      </c>
      <c r="K697" s="3"/>
      <c r="L697" s="3" t="str">
        <f t="shared" ca="1" si="38"/>
        <v/>
      </c>
      <c r="M697" s="3" t="str">
        <f t="shared" ca="1" si="39"/>
        <v/>
      </c>
      <c r="N697" s="3"/>
      <c r="O697" s="3"/>
      <c r="P697" s="4" t="str">
        <f>IF(OR(O697="", J697=""), "", NETWORKDAYS(J697, O697,#REF!))</f>
        <v/>
      </c>
    </row>
    <row r="698" spans="1:16" ht="15.75" x14ac:dyDescent="0.25">
      <c r="A698" s="3"/>
      <c r="B698" s="18"/>
      <c r="C698" s="18"/>
      <c r="D698" s="18"/>
      <c r="E698" s="16"/>
      <c r="F698" s="17"/>
      <c r="G698" s="3"/>
      <c r="H698" s="3" t="str">
        <f t="shared" si="37"/>
        <v/>
      </c>
      <c r="I698" s="3" t="str">
        <f ca="1">IF(AND(F698&lt;&gt;"", J698&lt;&gt;""), NETWORKDAYS(TODAY(), J698-1, FESTIVOS!A$1:A$55), "")</f>
        <v/>
      </c>
      <c r="J698" s="4" t="str">
        <f>IF(AND(F698&lt;&gt;"", H698&lt;&gt;""), WORKDAY(F698, H698, FESTIVOS!A$1:A$55), "")</f>
        <v/>
      </c>
      <c r="K698" s="3"/>
      <c r="L698" s="3" t="str">
        <f t="shared" ca="1" si="38"/>
        <v/>
      </c>
      <c r="M698" s="3" t="str">
        <f t="shared" ca="1" si="39"/>
        <v/>
      </c>
      <c r="N698" s="3"/>
      <c r="O698" s="3"/>
      <c r="P698" s="4" t="str">
        <f>IF(OR(O698="", J698=""), "", NETWORKDAYS(J698, O698,#REF!))</f>
        <v/>
      </c>
    </row>
    <row r="699" spans="1:16" ht="15.75" x14ac:dyDescent="0.25">
      <c r="A699" s="3"/>
      <c r="B699" s="18"/>
      <c r="C699" s="18"/>
      <c r="D699" s="18"/>
      <c r="E699" s="16"/>
      <c r="F699" s="17"/>
      <c r="G699" s="3"/>
      <c r="H699" s="3" t="str">
        <f t="shared" si="37"/>
        <v/>
      </c>
      <c r="I699" s="3" t="str">
        <f ca="1">IF(AND(F699&lt;&gt;"", J699&lt;&gt;""), NETWORKDAYS(TODAY(), J699-1, FESTIVOS!A$1:A$55), "")</f>
        <v/>
      </c>
      <c r="J699" s="4" t="str">
        <f>IF(AND(F699&lt;&gt;"", H699&lt;&gt;""), WORKDAY(F699, H699, FESTIVOS!A$1:A$55), "")</f>
        <v/>
      </c>
      <c r="K699" s="3"/>
      <c r="L699" s="3" t="str">
        <f t="shared" ca="1" si="38"/>
        <v/>
      </c>
      <c r="M699" s="3" t="str">
        <f t="shared" ca="1" si="39"/>
        <v/>
      </c>
      <c r="N699" s="3"/>
      <c r="O699" s="3"/>
      <c r="P699" s="4" t="str">
        <f>IF(OR(O699="", J699=""), "", NETWORKDAYS(J699, O699,#REF!))</f>
        <v/>
      </c>
    </row>
    <row r="700" spans="1:16" ht="15.75" x14ac:dyDescent="0.25">
      <c r="A700" s="3"/>
      <c r="B700" s="18"/>
      <c r="C700" s="18"/>
      <c r="D700" s="18"/>
      <c r="E700" s="16"/>
      <c r="F700" s="17"/>
      <c r="G700" s="3"/>
      <c r="H700" s="3" t="str">
        <f t="shared" si="37"/>
        <v/>
      </c>
      <c r="I700" s="3" t="str">
        <f ca="1">IF(AND(F700&lt;&gt;"", J700&lt;&gt;""), NETWORKDAYS(TODAY(), J700-1, FESTIVOS!A$1:A$55), "")</f>
        <v/>
      </c>
      <c r="J700" s="4" t="str">
        <f>IF(AND(F700&lt;&gt;"", H700&lt;&gt;""), WORKDAY(F700, H700, FESTIVOS!A$1:A$55), "")</f>
        <v/>
      </c>
      <c r="K700" s="3"/>
      <c r="L700" s="3" t="str">
        <f t="shared" ca="1" si="38"/>
        <v/>
      </c>
      <c r="M700" s="3" t="str">
        <f t="shared" ca="1" si="39"/>
        <v/>
      </c>
      <c r="N700" s="3"/>
      <c r="O700" s="3"/>
      <c r="P700" s="4" t="str">
        <f>IF(OR(O700="", J700=""), "", NETWORKDAYS(J700, O700,#REF!))</f>
        <v/>
      </c>
    </row>
    <row r="701" spans="1:16" ht="15.75" x14ac:dyDescent="0.25">
      <c r="A701" s="3"/>
      <c r="B701" s="18"/>
      <c r="C701" s="18"/>
      <c r="D701" s="18"/>
      <c r="E701" s="16"/>
      <c r="F701" s="17"/>
      <c r="G701" s="3"/>
      <c r="H701" s="3" t="str">
        <f t="shared" si="37"/>
        <v/>
      </c>
      <c r="I701" s="3" t="str">
        <f ca="1">IF(AND(F701&lt;&gt;"", J701&lt;&gt;""), NETWORKDAYS(TODAY(), J701-1, FESTIVOS!A$1:A$55), "")</f>
        <v/>
      </c>
      <c r="J701" s="4" t="str">
        <f>IF(AND(F701&lt;&gt;"", H701&lt;&gt;""), WORKDAY(F701, H701, FESTIVOS!A$1:A$55), "")</f>
        <v/>
      </c>
      <c r="K701" s="3"/>
      <c r="L701" s="3" t="str">
        <f t="shared" ca="1" si="38"/>
        <v/>
      </c>
      <c r="M701" s="3" t="str">
        <f t="shared" ca="1" si="39"/>
        <v/>
      </c>
      <c r="N701" s="3"/>
      <c r="O701" s="3"/>
      <c r="P701" s="4" t="str">
        <f>IF(OR(O701="", J701=""), "", NETWORKDAYS(J701, O701,#REF!))</f>
        <v/>
      </c>
    </row>
    <row r="702" spans="1:16" ht="15.75" x14ac:dyDescent="0.25">
      <c r="A702" s="3"/>
      <c r="B702" s="18"/>
      <c r="C702" s="18"/>
      <c r="D702" s="18"/>
      <c r="E702" s="16"/>
      <c r="F702" s="17"/>
      <c r="G702" s="3"/>
      <c r="H702" s="3" t="str">
        <f t="shared" si="37"/>
        <v/>
      </c>
      <c r="I702" s="3" t="str">
        <f ca="1">IF(AND(F702&lt;&gt;"", J702&lt;&gt;""), NETWORKDAYS(TODAY(), J702-1, FESTIVOS!A$1:A$55), "")</f>
        <v/>
      </c>
      <c r="J702" s="4" t="str">
        <f>IF(AND(F702&lt;&gt;"", H702&lt;&gt;""), WORKDAY(F702, H702, FESTIVOS!A$1:A$55), "")</f>
        <v/>
      </c>
      <c r="K702" s="3"/>
      <c r="L702" s="3" t="str">
        <f t="shared" ca="1" si="38"/>
        <v/>
      </c>
      <c r="M702" s="3" t="str">
        <f t="shared" ca="1" si="39"/>
        <v/>
      </c>
      <c r="N702" s="3"/>
      <c r="O702" s="3"/>
      <c r="P702" s="4" t="str">
        <f>IF(OR(O702="", J702=""), "", NETWORKDAYS(J702, O702,#REF!))</f>
        <v/>
      </c>
    </row>
    <row r="703" spans="1:16" ht="15.75" x14ac:dyDescent="0.25">
      <c r="A703" s="3"/>
      <c r="B703" s="18"/>
      <c r="C703" s="18"/>
      <c r="D703" s="18"/>
      <c r="E703" s="16"/>
      <c r="F703" s="17"/>
      <c r="G703" s="3"/>
      <c r="H703" s="3" t="str">
        <f t="shared" si="37"/>
        <v/>
      </c>
      <c r="I703" s="3" t="str">
        <f ca="1">IF(AND(F703&lt;&gt;"", J703&lt;&gt;""), NETWORKDAYS(TODAY(), J703-1, FESTIVOS!A$1:A$55), "")</f>
        <v/>
      </c>
      <c r="J703" s="4" t="str">
        <f>IF(AND(F703&lt;&gt;"", H703&lt;&gt;""), WORKDAY(F703, H703, FESTIVOS!A$1:A$55), "")</f>
        <v/>
      </c>
      <c r="K703" s="3"/>
      <c r="L703" s="3" t="str">
        <f t="shared" ca="1" si="38"/>
        <v/>
      </c>
      <c r="M703" s="3" t="str">
        <f t="shared" ca="1" si="39"/>
        <v/>
      </c>
      <c r="N703" s="3"/>
      <c r="O703" s="3"/>
      <c r="P703" s="4" t="str">
        <f>IF(OR(O703="", J703=""), "", NETWORKDAYS(J703, O703,#REF!))</f>
        <v/>
      </c>
    </row>
    <row r="704" spans="1:16" ht="15.75" x14ac:dyDescent="0.25">
      <c r="A704" s="3"/>
      <c r="B704" s="18"/>
      <c r="C704" s="18"/>
      <c r="D704" s="18"/>
      <c r="E704" s="16"/>
      <c r="F704" s="17"/>
      <c r="G704" s="3"/>
      <c r="H704" s="3" t="str">
        <f t="shared" si="37"/>
        <v/>
      </c>
      <c r="I704" s="3" t="str">
        <f ca="1">IF(AND(F704&lt;&gt;"", J704&lt;&gt;""), NETWORKDAYS(TODAY(), J704-1, FESTIVOS!A$1:A$55), "")</f>
        <v/>
      </c>
      <c r="J704" s="4" t="str">
        <f>IF(AND(F704&lt;&gt;"", H704&lt;&gt;""), WORKDAY(F704, H704, FESTIVOS!A$1:A$55), "")</f>
        <v/>
      </c>
      <c r="K704" s="3"/>
      <c r="L704" s="3" t="str">
        <f t="shared" ca="1" si="38"/>
        <v/>
      </c>
      <c r="M704" s="3" t="str">
        <f t="shared" ca="1" si="39"/>
        <v/>
      </c>
      <c r="N704" s="3"/>
      <c r="O704" s="3"/>
      <c r="P704" s="4" t="str">
        <f>IF(OR(O704="", J704=""), "", NETWORKDAYS(J704, O704,#REF!))</f>
        <v/>
      </c>
    </row>
    <row r="705" spans="1:16" ht="15.75" x14ac:dyDescent="0.25">
      <c r="A705" s="3"/>
      <c r="B705" s="18"/>
      <c r="C705" s="18"/>
      <c r="D705" s="18"/>
      <c r="E705" s="16"/>
      <c r="F705" s="17"/>
      <c r="G705" s="3"/>
      <c r="H705" s="3" t="str">
        <f t="shared" si="37"/>
        <v/>
      </c>
      <c r="I705" s="3" t="str">
        <f ca="1">IF(AND(F705&lt;&gt;"", J705&lt;&gt;""), NETWORKDAYS(TODAY(), J705-1, FESTIVOS!A$1:A$55), "")</f>
        <v/>
      </c>
      <c r="J705" s="4" t="str">
        <f>IF(AND(F705&lt;&gt;"", H705&lt;&gt;""), WORKDAY(F705, H705, FESTIVOS!A$1:A$55), "")</f>
        <v/>
      </c>
      <c r="K705" s="3"/>
      <c r="L705" s="3" t="str">
        <f t="shared" ca="1" si="38"/>
        <v/>
      </c>
      <c r="M705" s="3" t="str">
        <f t="shared" ca="1" si="39"/>
        <v/>
      </c>
      <c r="N705" s="3"/>
      <c r="O705" s="3"/>
      <c r="P705" s="4" t="str">
        <f>IF(OR(O705="", J705=""), "", NETWORKDAYS(J705, O705,#REF!))</f>
        <v/>
      </c>
    </row>
    <row r="706" spans="1:16" ht="15.75" x14ac:dyDescent="0.25">
      <c r="A706" s="3"/>
      <c r="B706" s="18"/>
      <c r="C706" s="18"/>
      <c r="D706" s="18"/>
      <c r="E706" s="16"/>
      <c r="F706" s="17"/>
      <c r="G706" s="3"/>
      <c r="H706" s="3" t="str">
        <f t="shared" si="37"/>
        <v/>
      </c>
      <c r="I706" s="3" t="str">
        <f ca="1">IF(AND(F706&lt;&gt;"", J706&lt;&gt;""), NETWORKDAYS(TODAY(), J706-1, FESTIVOS!A$1:A$55), "")</f>
        <v/>
      </c>
      <c r="J706" s="4" t="str">
        <f>IF(AND(F706&lt;&gt;"", H706&lt;&gt;""), WORKDAY(F706, H706, FESTIVOS!A$1:A$55), "")</f>
        <v/>
      </c>
      <c r="K706" s="3"/>
      <c r="L706" s="3" t="str">
        <f t="shared" ca="1" si="38"/>
        <v/>
      </c>
      <c r="M706" s="3" t="str">
        <f t="shared" ca="1" si="39"/>
        <v/>
      </c>
      <c r="N706" s="3"/>
      <c r="O706" s="3"/>
      <c r="P706" s="4" t="str">
        <f>IF(OR(O706="", J706=""), "", NETWORKDAYS(J706, O706,#REF!))</f>
        <v/>
      </c>
    </row>
    <row r="707" spans="1:16" ht="15.75" x14ac:dyDescent="0.25">
      <c r="A707" s="3"/>
      <c r="B707" s="18"/>
      <c r="C707" s="18"/>
      <c r="D707" s="18"/>
      <c r="E707" s="16"/>
      <c r="F707" s="17"/>
      <c r="G707" s="3"/>
      <c r="H707" s="3" t="str">
        <f t="shared" si="37"/>
        <v/>
      </c>
      <c r="I707" s="3" t="str">
        <f ca="1">IF(AND(F707&lt;&gt;"", J707&lt;&gt;""), NETWORKDAYS(TODAY(), J707-1, FESTIVOS!A$1:A$55), "")</f>
        <v/>
      </c>
      <c r="J707" s="4" t="str">
        <f>IF(AND(F707&lt;&gt;"", H707&lt;&gt;""), WORKDAY(F707, H707, FESTIVOS!A$1:A$55), "")</f>
        <v/>
      </c>
      <c r="K707" s="3"/>
      <c r="L707" s="3" t="str">
        <f t="shared" ca="1" si="38"/>
        <v/>
      </c>
      <c r="M707" s="3" t="str">
        <f t="shared" ca="1" si="39"/>
        <v/>
      </c>
      <c r="N707" s="3"/>
      <c r="O707" s="3"/>
      <c r="P707" s="4" t="str">
        <f>IF(OR(O707="", J707=""), "", NETWORKDAYS(J707, O707,#REF!))</f>
        <v/>
      </c>
    </row>
    <row r="708" spans="1:16" ht="15.75" x14ac:dyDescent="0.25">
      <c r="A708" s="3"/>
      <c r="B708" s="18"/>
      <c r="C708" s="18"/>
      <c r="D708" s="18"/>
      <c r="E708" s="16"/>
      <c r="F708" s="17"/>
      <c r="G708" s="3"/>
      <c r="H708" s="3" t="str">
        <f t="shared" si="37"/>
        <v/>
      </c>
      <c r="I708" s="3" t="str">
        <f ca="1">IF(AND(F708&lt;&gt;"", J708&lt;&gt;""), NETWORKDAYS(TODAY(), J708-1, FESTIVOS!A$1:A$55), "")</f>
        <v/>
      </c>
      <c r="J708" s="4" t="str">
        <f>IF(AND(F708&lt;&gt;"", H708&lt;&gt;""), WORKDAY(F708, H708, FESTIVOS!A$1:A$55), "")</f>
        <v/>
      </c>
      <c r="K708" s="3"/>
      <c r="L708" s="3" t="str">
        <f t="shared" ca="1" si="38"/>
        <v/>
      </c>
      <c r="M708" s="3" t="str">
        <f t="shared" ca="1" si="39"/>
        <v/>
      </c>
      <c r="N708" s="3"/>
      <c r="O708" s="3"/>
      <c r="P708" s="4" t="str">
        <f>IF(OR(O708="", J708=""), "", NETWORKDAYS(J708, O708,#REF!))</f>
        <v/>
      </c>
    </row>
    <row r="709" spans="1:16" ht="15.75" x14ac:dyDescent="0.25">
      <c r="A709" s="3"/>
      <c r="B709" s="18"/>
      <c r="C709" s="18"/>
      <c r="D709" s="18"/>
      <c r="E709" s="16"/>
      <c r="F709" s="17"/>
      <c r="G709" s="3"/>
      <c r="H709" s="3" t="str">
        <f t="shared" si="37"/>
        <v/>
      </c>
      <c r="I709" s="3" t="str">
        <f ca="1">IF(AND(F709&lt;&gt;"", J709&lt;&gt;""), NETWORKDAYS(TODAY(), J709-1, FESTIVOS!A$1:A$55), "")</f>
        <v/>
      </c>
      <c r="J709" s="4" t="str">
        <f>IF(AND(F709&lt;&gt;"", H709&lt;&gt;""), WORKDAY(F709, H709, FESTIVOS!A$1:A$55), "")</f>
        <v/>
      </c>
      <c r="K709" s="3"/>
      <c r="L709" s="3" t="str">
        <f t="shared" ca="1" si="38"/>
        <v/>
      </c>
      <c r="M709" s="3" t="str">
        <f t="shared" ca="1" si="39"/>
        <v/>
      </c>
      <c r="N709" s="3"/>
      <c r="O709" s="3"/>
      <c r="P709" s="4" t="str">
        <f>IF(OR(O709="", J709=""), "", NETWORKDAYS(J709, O709,#REF!))</f>
        <v/>
      </c>
    </row>
    <row r="710" spans="1:16" ht="15.75" x14ac:dyDescent="0.25">
      <c r="A710" s="3"/>
      <c r="B710" s="18"/>
      <c r="C710" s="18"/>
      <c r="D710" s="18"/>
      <c r="E710" s="16"/>
      <c r="F710" s="17"/>
      <c r="G710" s="3"/>
      <c r="H710" s="3" t="str">
        <f t="shared" si="37"/>
        <v/>
      </c>
      <c r="I710" s="3" t="str">
        <f ca="1">IF(AND(F710&lt;&gt;"", J710&lt;&gt;""), NETWORKDAYS(TODAY(), J710-1, FESTIVOS!A$1:A$55), "")</f>
        <v/>
      </c>
      <c r="J710" s="4" t="str">
        <f>IF(AND(F710&lt;&gt;"", H710&lt;&gt;""), WORKDAY(F710, H710, FESTIVOS!A$1:A$55), "")</f>
        <v/>
      </c>
      <c r="K710" s="3"/>
      <c r="L710" s="3" t="str">
        <f t="shared" ca="1" si="38"/>
        <v/>
      </c>
      <c r="M710" s="3" t="str">
        <f t="shared" ca="1" si="39"/>
        <v/>
      </c>
      <c r="N710" s="3"/>
      <c r="O710" s="3"/>
      <c r="P710" s="4" t="str">
        <f>IF(OR(O710="", J710=""), "", NETWORKDAYS(J710, O710,#REF!))</f>
        <v/>
      </c>
    </row>
    <row r="711" spans="1:16" ht="15.75" x14ac:dyDescent="0.25">
      <c r="A711" s="3"/>
      <c r="B711" s="18"/>
      <c r="C711" s="18"/>
      <c r="D711" s="18"/>
      <c r="E711" s="16"/>
      <c r="F711" s="17"/>
      <c r="G711" s="3"/>
      <c r="H711" s="3" t="str">
        <f t="shared" si="37"/>
        <v/>
      </c>
      <c r="I711" s="3" t="str">
        <f ca="1">IF(AND(F711&lt;&gt;"", J711&lt;&gt;""), NETWORKDAYS(TODAY(), J711-1, FESTIVOS!A$1:A$55), "")</f>
        <v/>
      </c>
      <c r="J711" s="4" t="str">
        <f>IF(AND(F711&lt;&gt;"", H711&lt;&gt;""), WORKDAY(F711, H711, FESTIVOS!A$1:A$55), "")</f>
        <v/>
      </c>
      <c r="K711" s="3"/>
      <c r="L711" s="3" t="str">
        <f t="shared" ca="1" si="38"/>
        <v/>
      </c>
      <c r="M711" s="3" t="str">
        <f t="shared" ca="1" si="39"/>
        <v/>
      </c>
      <c r="N711" s="3"/>
      <c r="O711" s="3"/>
      <c r="P711" s="4" t="str">
        <f>IF(OR(O711="", J711=""), "", NETWORKDAYS(J711, O711,#REF!))</f>
        <v/>
      </c>
    </row>
    <row r="712" spans="1:16" ht="15.75" x14ac:dyDescent="0.25">
      <c r="A712" s="3"/>
      <c r="B712" s="18"/>
      <c r="C712" s="18"/>
      <c r="D712" s="18"/>
      <c r="E712" s="16"/>
      <c r="F712" s="17"/>
      <c r="G712" s="3"/>
      <c r="H712" s="3" t="str">
        <f t="shared" si="37"/>
        <v/>
      </c>
      <c r="I712" s="3" t="str">
        <f ca="1">IF(AND(F712&lt;&gt;"", J712&lt;&gt;""), NETWORKDAYS(TODAY(), J712-1, FESTIVOS!A$1:A$55), "")</f>
        <v/>
      </c>
      <c r="J712" s="4" t="str">
        <f>IF(AND(F712&lt;&gt;"", H712&lt;&gt;""), WORKDAY(F712, H712, FESTIVOS!A$1:A$55), "")</f>
        <v/>
      </c>
      <c r="K712" s="3"/>
      <c r="L712" s="3" t="str">
        <f t="shared" ca="1" si="38"/>
        <v/>
      </c>
      <c r="M712" s="3" t="str">
        <f t="shared" ca="1" si="39"/>
        <v/>
      </c>
      <c r="N712" s="3"/>
      <c r="O712" s="3"/>
      <c r="P712" s="4" t="str">
        <f>IF(OR(O712="", J712=""), "", NETWORKDAYS(J712, O712,#REF!))</f>
        <v/>
      </c>
    </row>
    <row r="713" spans="1:16" ht="15.75" x14ac:dyDescent="0.25">
      <c r="A713" s="3"/>
      <c r="B713" s="18"/>
      <c r="C713" s="18"/>
      <c r="D713" s="18"/>
      <c r="E713" s="16"/>
      <c r="F713" s="17"/>
      <c r="G713" s="3"/>
      <c r="H713" s="3" t="str">
        <f t="shared" si="37"/>
        <v/>
      </c>
      <c r="I713" s="3" t="str">
        <f ca="1">IF(AND(F713&lt;&gt;"", J713&lt;&gt;""), NETWORKDAYS(TODAY(), J713-1, FESTIVOS!A$1:A$55), "")</f>
        <v/>
      </c>
      <c r="J713" s="4" t="str">
        <f>IF(AND(F713&lt;&gt;"", H713&lt;&gt;""), WORKDAY(F713, H713, FESTIVOS!A$1:A$55), "")</f>
        <v/>
      </c>
      <c r="K713" s="3"/>
      <c r="L713" s="3" t="str">
        <f t="shared" ca="1" si="38"/>
        <v/>
      </c>
      <c r="M713" s="3" t="str">
        <f t="shared" ca="1" si="39"/>
        <v/>
      </c>
      <c r="N713" s="3"/>
      <c r="O713" s="3"/>
      <c r="P713" s="4" t="str">
        <f>IF(OR(O713="", J713=""), "", NETWORKDAYS(J713, O713,#REF!))</f>
        <v/>
      </c>
    </row>
    <row r="714" spans="1:16" ht="15.75" x14ac:dyDescent="0.25">
      <c r="A714" s="3"/>
      <c r="B714" s="18"/>
      <c r="C714" s="18"/>
      <c r="D714" s="18"/>
      <c r="E714" s="16"/>
      <c r="F714" s="17"/>
      <c r="G714" s="3"/>
      <c r="H714" s="3" t="str">
        <f t="shared" si="37"/>
        <v/>
      </c>
      <c r="I714" s="3" t="str">
        <f ca="1">IF(AND(F714&lt;&gt;"", J714&lt;&gt;""), NETWORKDAYS(TODAY(), J714-1, FESTIVOS!A$1:A$55), "")</f>
        <v/>
      </c>
      <c r="J714" s="4" t="str">
        <f>IF(AND(F714&lt;&gt;"", H714&lt;&gt;""), WORKDAY(F714, H714, FESTIVOS!A$1:A$55), "")</f>
        <v/>
      </c>
      <c r="K714" s="3"/>
      <c r="L714" s="3" t="str">
        <f t="shared" ca="1" si="38"/>
        <v/>
      </c>
      <c r="M714" s="3" t="str">
        <f t="shared" ca="1" si="39"/>
        <v/>
      </c>
      <c r="N714" s="3"/>
      <c r="O714" s="3"/>
      <c r="P714" s="4" t="str">
        <f>IF(OR(O714="", J714=""), "", NETWORKDAYS(J714, O714,#REF!))</f>
        <v/>
      </c>
    </row>
    <row r="715" spans="1:16" ht="15.75" x14ac:dyDescent="0.25">
      <c r="A715" s="3"/>
      <c r="B715" s="18"/>
      <c r="C715" s="18"/>
      <c r="D715" s="18"/>
      <c r="E715" s="16"/>
      <c r="F715" s="17"/>
      <c r="G715" s="3"/>
      <c r="H715" s="3" t="str">
        <f t="shared" si="37"/>
        <v/>
      </c>
      <c r="I715" s="3" t="str">
        <f ca="1">IF(AND(F715&lt;&gt;"", J715&lt;&gt;""), NETWORKDAYS(TODAY(), J715-1, FESTIVOS!A$1:A$55), "")</f>
        <v/>
      </c>
      <c r="J715" s="4" t="str">
        <f>IF(AND(F715&lt;&gt;"", H715&lt;&gt;""), WORKDAY(F715, H715, FESTIVOS!A$1:A$55), "")</f>
        <v/>
      </c>
      <c r="K715" s="3"/>
      <c r="L715" s="3" t="str">
        <f t="shared" ca="1" si="38"/>
        <v/>
      </c>
      <c r="M715" s="3" t="str">
        <f t="shared" ca="1" si="39"/>
        <v/>
      </c>
      <c r="N715" s="3"/>
      <c r="O715" s="3"/>
      <c r="P715" s="4" t="str">
        <f>IF(OR(O715="", J715=""), "", NETWORKDAYS(J715, O715,#REF!))</f>
        <v/>
      </c>
    </row>
    <row r="716" spans="1:16" ht="15.75" x14ac:dyDescent="0.25">
      <c r="A716" s="3"/>
      <c r="B716" s="18"/>
      <c r="C716" s="18"/>
      <c r="D716" s="18"/>
      <c r="E716" s="16"/>
      <c r="F716" s="17"/>
      <c r="G716" s="3"/>
      <c r="H716" s="3" t="str">
        <f t="shared" si="37"/>
        <v/>
      </c>
      <c r="I716" s="3" t="str">
        <f ca="1">IF(AND(F716&lt;&gt;"", J716&lt;&gt;""), NETWORKDAYS(TODAY(), J716-1, FESTIVOS!A$1:A$55), "")</f>
        <v/>
      </c>
      <c r="J716" s="4" t="str">
        <f>IF(AND(F716&lt;&gt;"", H716&lt;&gt;""), WORKDAY(F716, H716, FESTIVOS!A$1:A$55), "")</f>
        <v/>
      </c>
      <c r="K716" s="3"/>
      <c r="L716" s="3" t="str">
        <f t="shared" ca="1" si="38"/>
        <v/>
      </c>
      <c r="M716" s="3" t="str">
        <f t="shared" ca="1" si="39"/>
        <v/>
      </c>
      <c r="N716" s="3"/>
      <c r="O716" s="3"/>
      <c r="P716" s="4" t="str">
        <f>IF(OR(O716="", J716=""), "", NETWORKDAYS(J716, O716,#REF!))</f>
        <v/>
      </c>
    </row>
    <row r="717" spans="1:16" ht="15.75" x14ac:dyDescent="0.25">
      <c r="A717" s="3"/>
      <c r="B717" s="18"/>
      <c r="C717" s="18"/>
      <c r="D717" s="18"/>
      <c r="E717" s="16"/>
      <c r="F717" s="17"/>
      <c r="G717" s="3"/>
      <c r="H717" s="3" t="str">
        <f t="shared" si="37"/>
        <v/>
      </c>
      <c r="I717" s="3" t="str">
        <f ca="1">IF(AND(F717&lt;&gt;"", J717&lt;&gt;""), NETWORKDAYS(TODAY(), J717-1, FESTIVOS!A$1:A$55), "")</f>
        <v/>
      </c>
      <c r="J717" s="4" t="str">
        <f>IF(AND(F717&lt;&gt;"", H717&lt;&gt;""), WORKDAY(F717, H717, FESTIVOS!A$1:A$55), "")</f>
        <v/>
      </c>
      <c r="K717" s="3"/>
      <c r="L717" s="3" t="str">
        <f t="shared" ca="1" si="38"/>
        <v/>
      </c>
      <c r="M717" s="3" t="str">
        <f t="shared" ca="1" si="39"/>
        <v/>
      </c>
      <c r="N717" s="3"/>
      <c r="O717" s="3"/>
      <c r="P717" s="4" t="str">
        <f>IF(OR(O717="", J717=""), "", NETWORKDAYS(J717, O717,#REF!))</f>
        <v/>
      </c>
    </row>
    <row r="718" spans="1:16" ht="15.75" x14ac:dyDescent="0.25">
      <c r="A718" s="3"/>
      <c r="B718" s="18"/>
      <c r="C718" s="18"/>
      <c r="D718" s="18"/>
      <c r="E718" s="16"/>
      <c r="F718" s="17"/>
      <c r="G718" s="3"/>
      <c r="H718" s="3" t="str">
        <f t="shared" si="37"/>
        <v/>
      </c>
      <c r="I718" s="3" t="str">
        <f ca="1">IF(AND(F718&lt;&gt;"", J718&lt;&gt;""), NETWORKDAYS(TODAY(), J718-1, FESTIVOS!A$1:A$55), "")</f>
        <v/>
      </c>
      <c r="J718" s="4" t="str">
        <f>IF(AND(F718&lt;&gt;"", H718&lt;&gt;""), WORKDAY(F718, H718, FESTIVOS!A$1:A$55), "")</f>
        <v/>
      </c>
      <c r="K718" s="3"/>
      <c r="L718" s="3" t="str">
        <f t="shared" ca="1" si="38"/>
        <v/>
      </c>
      <c r="M718" s="3" t="str">
        <f t="shared" ca="1" si="39"/>
        <v/>
      </c>
      <c r="N718" s="3"/>
      <c r="O718" s="3"/>
      <c r="P718" s="4" t="str">
        <f>IF(OR(O718="", J718=""), "", NETWORKDAYS(J718, O718,#REF!))</f>
        <v/>
      </c>
    </row>
    <row r="719" spans="1:16" ht="15.75" x14ac:dyDescent="0.25">
      <c r="A719" s="3"/>
      <c r="B719" s="18"/>
      <c r="C719" s="18"/>
      <c r="D719" s="18"/>
      <c r="E719" s="16"/>
      <c r="F719" s="17"/>
      <c r="G719" s="3"/>
      <c r="H719" s="3" t="str">
        <f t="shared" si="37"/>
        <v/>
      </c>
      <c r="I719" s="3" t="str">
        <f ca="1">IF(AND(F719&lt;&gt;"", J719&lt;&gt;""), NETWORKDAYS(TODAY(), J719-1, FESTIVOS!A$1:A$55), "")</f>
        <v/>
      </c>
      <c r="J719" s="4" t="str">
        <f>IF(AND(F719&lt;&gt;"", H719&lt;&gt;""), WORKDAY(F719, H719, FESTIVOS!A$1:A$55), "")</f>
        <v/>
      </c>
      <c r="K719" s="3"/>
      <c r="L719" s="3" t="str">
        <f t="shared" ca="1" si="38"/>
        <v/>
      </c>
      <c r="M719" s="3" t="str">
        <f t="shared" ca="1" si="39"/>
        <v/>
      </c>
      <c r="N719" s="3"/>
      <c r="O719" s="3"/>
      <c r="P719" s="4" t="str">
        <f>IF(OR(O719="", J719=""), "", NETWORKDAYS(J719, O719,#REF!))</f>
        <v/>
      </c>
    </row>
    <row r="720" spans="1:16" ht="15.75" x14ac:dyDescent="0.25">
      <c r="A720" s="3"/>
      <c r="B720" s="18"/>
      <c r="C720" s="18"/>
      <c r="D720" s="18"/>
      <c r="E720" s="16"/>
      <c r="F720" s="17"/>
      <c r="G720" s="3"/>
      <c r="H720" s="3" t="str">
        <f t="shared" si="37"/>
        <v/>
      </c>
      <c r="I720" s="3" t="str">
        <f ca="1">IF(AND(F720&lt;&gt;"", J720&lt;&gt;""), NETWORKDAYS(TODAY(), J720-1, FESTIVOS!A$1:A$55), "")</f>
        <v/>
      </c>
      <c r="J720" s="4" t="str">
        <f>IF(AND(F720&lt;&gt;"", H720&lt;&gt;""), WORKDAY(F720, H720, FESTIVOS!A$1:A$55), "")</f>
        <v/>
      </c>
      <c r="K720" s="3"/>
      <c r="L720" s="3" t="str">
        <f t="shared" ca="1" si="38"/>
        <v/>
      </c>
      <c r="M720" s="3" t="str">
        <f t="shared" ca="1" si="39"/>
        <v/>
      </c>
      <c r="N720" s="3"/>
      <c r="O720" s="3"/>
      <c r="P720" s="4" t="str">
        <f>IF(OR(O720="", J720=""), "", NETWORKDAYS(J720, O720,#REF!))</f>
        <v/>
      </c>
    </row>
    <row r="721" spans="1:16" ht="15.75" x14ac:dyDescent="0.25">
      <c r="A721" s="3"/>
      <c r="B721" s="18"/>
      <c r="C721" s="18"/>
      <c r="D721" s="18"/>
      <c r="E721" s="16"/>
      <c r="F721" s="17"/>
      <c r="G721" s="3"/>
      <c r="H721" s="3" t="str">
        <f t="shared" si="37"/>
        <v/>
      </c>
      <c r="I721" s="3" t="str">
        <f ca="1">IF(AND(F721&lt;&gt;"", J721&lt;&gt;""), NETWORKDAYS(TODAY(), J721-1, FESTIVOS!A$1:A$55), "")</f>
        <v/>
      </c>
      <c r="J721" s="4" t="str">
        <f>IF(AND(F721&lt;&gt;"", H721&lt;&gt;""), WORKDAY(F721, H721, FESTIVOS!A$1:A$55), "")</f>
        <v/>
      </c>
      <c r="K721" s="3"/>
      <c r="L721" s="3" t="str">
        <f t="shared" ca="1" si="38"/>
        <v/>
      </c>
      <c r="M721" s="3" t="str">
        <f t="shared" ca="1" si="39"/>
        <v/>
      </c>
      <c r="N721" s="3"/>
      <c r="O721" s="3"/>
      <c r="P721" s="4" t="str">
        <f>IF(OR(O721="", J721=""), "", NETWORKDAYS(J721, O721,#REF!))</f>
        <v/>
      </c>
    </row>
    <row r="722" spans="1:16" ht="15.75" x14ac:dyDescent="0.25">
      <c r="A722" s="3"/>
      <c r="B722" s="18"/>
      <c r="C722" s="18"/>
      <c r="D722" s="18"/>
      <c r="E722" s="16"/>
      <c r="F722" s="17"/>
      <c r="G722" s="3"/>
      <c r="H722" s="3" t="str">
        <f t="shared" si="37"/>
        <v/>
      </c>
      <c r="I722" s="3" t="str">
        <f ca="1">IF(AND(F722&lt;&gt;"", J722&lt;&gt;""), NETWORKDAYS(TODAY(), J722-1, FESTIVOS!A$1:A$55), "")</f>
        <v/>
      </c>
      <c r="J722" s="4" t="str">
        <f>IF(AND(F722&lt;&gt;"", H722&lt;&gt;""), WORKDAY(F722, H722, FESTIVOS!A$1:A$55), "")</f>
        <v/>
      </c>
      <c r="K722" s="3"/>
      <c r="L722" s="3" t="str">
        <f t="shared" ca="1" si="38"/>
        <v/>
      </c>
      <c r="M722" s="3" t="str">
        <f t="shared" ca="1" si="39"/>
        <v/>
      </c>
      <c r="N722" s="3"/>
      <c r="O722" s="3"/>
      <c r="P722" s="4" t="str">
        <f>IF(OR(O722="", J722=""), "", NETWORKDAYS(J722, O722,#REF!))</f>
        <v/>
      </c>
    </row>
    <row r="723" spans="1:16" ht="15.75" x14ac:dyDescent="0.25">
      <c r="A723" s="3"/>
      <c r="B723" s="18"/>
      <c r="C723" s="18"/>
      <c r="D723" s="18"/>
      <c r="E723" s="16"/>
      <c r="F723" s="17"/>
      <c r="G723" s="3"/>
      <c r="H723" s="3" t="str">
        <f t="shared" si="37"/>
        <v/>
      </c>
      <c r="I723" s="3" t="str">
        <f ca="1">IF(AND(F723&lt;&gt;"", J723&lt;&gt;""), NETWORKDAYS(TODAY(), J723-1, FESTIVOS!A$1:A$55), "")</f>
        <v/>
      </c>
      <c r="J723" s="4" t="str">
        <f>IF(AND(F723&lt;&gt;"", H723&lt;&gt;""), WORKDAY(F723, H723, FESTIVOS!A$1:A$55), "")</f>
        <v/>
      </c>
      <c r="K723" s="3"/>
      <c r="L723" s="3" t="str">
        <f t="shared" ca="1" si="38"/>
        <v/>
      </c>
      <c r="M723" s="3" t="str">
        <f t="shared" ca="1" si="39"/>
        <v/>
      </c>
      <c r="N723" s="3"/>
      <c r="O723" s="3"/>
      <c r="P723" s="4" t="str">
        <f>IF(OR(O723="", J723=""), "", NETWORKDAYS(J723, O723,#REF!))</f>
        <v/>
      </c>
    </row>
    <row r="724" spans="1:16" ht="15.75" x14ac:dyDescent="0.25">
      <c r="A724" s="3"/>
      <c r="B724" s="18"/>
      <c r="C724" s="18"/>
      <c r="D724" s="18"/>
      <c r="E724" s="16"/>
      <c r="F724" s="17"/>
      <c r="G724" s="3"/>
      <c r="H724" s="3" t="str">
        <f t="shared" si="37"/>
        <v/>
      </c>
      <c r="I724" s="3" t="str">
        <f ca="1">IF(AND(F724&lt;&gt;"", J724&lt;&gt;""), NETWORKDAYS(TODAY(), J724-1, FESTIVOS!A$1:A$55), "")</f>
        <v/>
      </c>
      <c r="J724" s="4" t="str">
        <f>IF(AND(F724&lt;&gt;"", H724&lt;&gt;""), WORKDAY(F724, H724, FESTIVOS!A$1:A$55), "")</f>
        <v/>
      </c>
      <c r="K724" s="3"/>
      <c r="L724" s="3" t="str">
        <f t="shared" ca="1" si="38"/>
        <v/>
      </c>
      <c r="M724" s="3" t="str">
        <f t="shared" ca="1" si="39"/>
        <v/>
      </c>
      <c r="N724" s="3"/>
      <c r="O724" s="3"/>
      <c r="P724" s="4" t="str">
        <f>IF(OR(O724="", J724=""), "", NETWORKDAYS(J724, O724,#REF!))</f>
        <v/>
      </c>
    </row>
    <row r="725" spans="1:16" ht="15.75" x14ac:dyDescent="0.25">
      <c r="A725" s="3"/>
      <c r="B725" s="18"/>
      <c r="C725" s="18"/>
      <c r="D725" s="18"/>
      <c r="E725" s="16"/>
      <c r="F725" s="17"/>
      <c r="G725" s="3"/>
      <c r="H725" s="3" t="str">
        <f t="shared" si="37"/>
        <v/>
      </c>
      <c r="I725" s="3" t="str">
        <f ca="1">IF(AND(F725&lt;&gt;"", J725&lt;&gt;""), NETWORKDAYS(TODAY(), J725-1, FESTIVOS!A$1:A$55), "")</f>
        <v/>
      </c>
      <c r="J725" s="4" t="str">
        <f>IF(AND(F725&lt;&gt;"", H725&lt;&gt;""), WORKDAY(F725, H725, FESTIVOS!A$1:A$55), "")</f>
        <v/>
      </c>
      <c r="K725" s="3"/>
      <c r="L725" s="3" t="str">
        <f t="shared" ca="1" si="38"/>
        <v/>
      </c>
      <c r="M725" s="3" t="str">
        <f t="shared" ca="1" si="39"/>
        <v/>
      </c>
      <c r="N725" s="3"/>
      <c r="O725" s="3"/>
      <c r="P725" s="4" t="str">
        <f>IF(OR(O725="", J725=""), "", NETWORKDAYS(J725, O725,#REF!))</f>
        <v/>
      </c>
    </row>
    <row r="726" spans="1:16" ht="15.75" x14ac:dyDescent="0.25">
      <c r="A726" s="3"/>
      <c r="B726" s="18"/>
      <c r="C726" s="18"/>
      <c r="D726" s="18"/>
      <c r="E726" s="16"/>
      <c r="F726" s="17"/>
      <c r="G726" s="3"/>
      <c r="H726" s="3" t="str">
        <f t="shared" si="37"/>
        <v/>
      </c>
      <c r="I726" s="3" t="str">
        <f ca="1">IF(AND(F726&lt;&gt;"", J726&lt;&gt;""), NETWORKDAYS(TODAY(), J726-1, FESTIVOS!A$1:A$55), "")</f>
        <v/>
      </c>
      <c r="J726" s="4" t="str">
        <f>IF(AND(F726&lt;&gt;"", H726&lt;&gt;""), WORKDAY(F726, H726, FESTIVOS!A$1:A$55), "")</f>
        <v/>
      </c>
      <c r="K726" s="3"/>
      <c r="L726" s="3" t="str">
        <f t="shared" ca="1" si="38"/>
        <v/>
      </c>
      <c r="M726" s="3" t="str">
        <f t="shared" ca="1" si="39"/>
        <v/>
      </c>
      <c r="N726" s="3"/>
      <c r="O726" s="3"/>
      <c r="P726" s="4" t="str">
        <f>IF(OR(O726="", J726=""), "", NETWORKDAYS(J726, O726,#REF!))</f>
        <v/>
      </c>
    </row>
    <row r="727" spans="1:16" ht="15.75" x14ac:dyDescent="0.25">
      <c r="A727" s="3"/>
      <c r="B727" s="18"/>
      <c r="C727" s="18"/>
      <c r="D727" s="18"/>
      <c r="E727" s="16"/>
      <c r="F727" s="17"/>
      <c r="G727" s="3"/>
      <c r="H727" s="3" t="str">
        <f t="shared" si="37"/>
        <v/>
      </c>
      <c r="I727" s="3" t="str">
        <f ca="1">IF(AND(F727&lt;&gt;"", J727&lt;&gt;""), NETWORKDAYS(TODAY(), J727-1, FESTIVOS!A$1:A$55), "")</f>
        <v/>
      </c>
      <c r="J727" s="4" t="str">
        <f>IF(AND(F727&lt;&gt;"", H727&lt;&gt;""), WORKDAY(F727, H727, FESTIVOS!A$1:A$55), "")</f>
        <v/>
      </c>
      <c r="K727" s="3"/>
      <c r="L727" s="3" t="str">
        <f t="shared" ca="1" si="38"/>
        <v/>
      </c>
      <c r="M727" s="3" t="str">
        <f t="shared" ca="1" si="39"/>
        <v/>
      </c>
      <c r="N727" s="3"/>
      <c r="O727" s="3"/>
      <c r="P727" s="4" t="str">
        <f>IF(OR(O727="", J727=""), "", NETWORKDAYS(J727, O727,#REF!))</f>
        <v/>
      </c>
    </row>
    <row r="728" spans="1:16" ht="15.75" x14ac:dyDescent="0.25">
      <c r="A728" s="3"/>
      <c r="B728" s="18"/>
      <c r="C728" s="18"/>
      <c r="D728" s="18"/>
      <c r="E728" s="16"/>
      <c r="F728" s="17"/>
      <c r="G728" s="3"/>
      <c r="H728" s="3" t="str">
        <f t="shared" si="37"/>
        <v/>
      </c>
      <c r="I728" s="3" t="str">
        <f ca="1">IF(AND(F728&lt;&gt;"", J728&lt;&gt;""), NETWORKDAYS(TODAY(), J728-1, FESTIVOS!A$1:A$55), "")</f>
        <v/>
      </c>
      <c r="J728" s="4" t="str">
        <f>IF(AND(F728&lt;&gt;"", H728&lt;&gt;""), WORKDAY(F728, H728, FESTIVOS!A$1:A$55), "")</f>
        <v/>
      </c>
      <c r="K728" s="3"/>
      <c r="L728" s="3" t="str">
        <f t="shared" ca="1" si="38"/>
        <v/>
      </c>
      <c r="M728" s="3" t="str">
        <f t="shared" ca="1" si="39"/>
        <v/>
      </c>
      <c r="N728" s="3"/>
      <c r="O728" s="3"/>
      <c r="P728" s="4" t="str">
        <f>IF(OR(O728="", J728=""), "", NETWORKDAYS(J728, O728,#REF!))</f>
        <v/>
      </c>
    </row>
    <row r="729" spans="1:16" ht="15.75" x14ac:dyDescent="0.25">
      <c r="A729" s="3"/>
      <c r="B729" s="18"/>
      <c r="C729" s="18"/>
      <c r="D729" s="18"/>
      <c r="E729" s="16"/>
      <c r="F729" s="17"/>
      <c r="G729" s="3"/>
      <c r="H729" s="3" t="str">
        <f t="shared" si="37"/>
        <v/>
      </c>
      <c r="I729" s="3" t="str">
        <f ca="1">IF(AND(F729&lt;&gt;"", J729&lt;&gt;""), NETWORKDAYS(TODAY(), J729-1, FESTIVOS!A$1:A$55), "")</f>
        <v/>
      </c>
      <c r="J729" s="4" t="str">
        <f>IF(AND(F729&lt;&gt;"", H729&lt;&gt;""), WORKDAY(F729, H729, FESTIVOS!A$1:A$55), "")</f>
        <v/>
      </c>
      <c r="K729" s="3"/>
      <c r="L729" s="3" t="str">
        <f t="shared" ca="1" si="38"/>
        <v/>
      </c>
      <c r="M729" s="3" t="str">
        <f t="shared" ca="1" si="39"/>
        <v/>
      </c>
      <c r="N729" s="3"/>
      <c r="O729" s="3"/>
      <c r="P729" s="4" t="str">
        <f>IF(OR(O729="", J729=""), "", NETWORKDAYS(J729, O729,#REF!))</f>
        <v/>
      </c>
    </row>
    <row r="730" spans="1:16" ht="15.75" x14ac:dyDescent="0.25">
      <c r="A730" s="3"/>
      <c r="B730" s="18"/>
      <c r="C730" s="18"/>
      <c r="D730" s="18"/>
      <c r="E730" s="16"/>
      <c r="F730" s="17"/>
      <c r="G730" s="3"/>
      <c r="H730" s="3" t="str">
        <f t="shared" si="37"/>
        <v/>
      </c>
      <c r="I730" s="3" t="str">
        <f ca="1">IF(AND(F730&lt;&gt;"", J730&lt;&gt;""), NETWORKDAYS(TODAY(), J730-1, FESTIVOS!A$1:A$55), "")</f>
        <v/>
      </c>
      <c r="J730" s="4" t="str">
        <f>IF(AND(F730&lt;&gt;"", H730&lt;&gt;""), WORKDAY(F730, H730, FESTIVOS!A$1:A$55), "")</f>
        <v/>
      </c>
      <c r="K730" s="3"/>
      <c r="L730" s="3" t="str">
        <f t="shared" ca="1" si="38"/>
        <v/>
      </c>
      <c r="M730" s="3" t="str">
        <f t="shared" ca="1" si="39"/>
        <v/>
      </c>
      <c r="N730" s="3"/>
      <c r="O730" s="3"/>
      <c r="P730" s="4" t="str">
        <f>IF(OR(O730="", J730=""), "", NETWORKDAYS(J730, O730,#REF!))</f>
        <v/>
      </c>
    </row>
    <row r="731" spans="1:16" ht="15.75" x14ac:dyDescent="0.25">
      <c r="A731" s="3"/>
      <c r="B731" s="18"/>
      <c r="C731" s="18"/>
      <c r="D731" s="18"/>
      <c r="E731" s="16"/>
      <c r="F731" s="17"/>
      <c r="G731" s="3"/>
      <c r="H731" s="3" t="str">
        <f t="shared" si="37"/>
        <v/>
      </c>
      <c r="I731" s="3" t="str">
        <f ca="1">IF(AND(F731&lt;&gt;"", J731&lt;&gt;""), NETWORKDAYS(TODAY(), J731-1, FESTIVOS!A$1:A$55), "")</f>
        <v/>
      </c>
      <c r="J731" s="4" t="str">
        <f>IF(AND(F731&lt;&gt;"", H731&lt;&gt;""), WORKDAY(F731, H731, FESTIVOS!A$1:A$55), "")</f>
        <v/>
      </c>
      <c r="K731" s="3"/>
      <c r="L731" s="3" t="str">
        <f t="shared" ca="1" si="38"/>
        <v/>
      </c>
      <c r="M731" s="3" t="str">
        <f t="shared" ca="1" si="39"/>
        <v/>
      </c>
      <c r="N731" s="3"/>
      <c r="O731" s="3"/>
      <c r="P731" s="4" t="str">
        <f>IF(OR(O731="", J731=""), "", NETWORKDAYS(J731, O731,#REF!))</f>
        <v/>
      </c>
    </row>
    <row r="732" spans="1:16" ht="15.75" x14ac:dyDescent="0.25">
      <c r="A732" s="3"/>
      <c r="B732" s="18"/>
      <c r="C732" s="18"/>
      <c r="D732" s="18"/>
      <c r="E732" s="16"/>
      <c r="F732" s="17"/>
      <c r="G732" s="3"/>
      <c r="H732" s="3" t="str">
        <f t="shared" si="37"/>
        <v/>
      </c>
      <c r="I732" s="3" t="str">
        <f ca="1">IF(AND(F732&lt;&gt;"", J732&lt;&gt;""), NETWORKDAYS(TODAY(), J732-1, FESTIVOS!A$1:A$55), "")</f>
        <v/>
      </c>
      <c r="J732" s="4" t="str">
        <f>IF(AND(F732&lt;&gt;"", H732&lt;&gt;""), WORKDAY(F732, H732, FESTIVOS!A$1:A$55), "")</f>
        <v/>
      </c>
      <c r="K732" s="3"/>
      <c r="L732" s="3" t="str">
        <f t="shared" ca="1" si="38"/>
        <v/>
      </c>
      <c r="M732" s="3" t="str">
        <f t="shared" ca="1" si="39"/>
        <v/>
      </c>
      <c r="N732" s="3"/>
      <c r="O732" s="3"/>
      <c r="P732" s="4" t="str">
        <f>IF(OR(O732="", J732=""), "", NETWORKDAYS(J732, O732,#REF!))</f>
        <v/>
      </c>
    </row>
    <row r="733" spans="1:16" ht="15.75" x14ac:dyDescent="0.25">
      <c r="A733" s="3"/>
      <c r="B733" s="18"/>
      <c r="C733" s="18"/>
      <c r="D733" s="18"/>
      <c r="E733" s="16"/>
      <c r="F733" s="17"/>
      <c r="G733" s="3"/>
      <c r="H733" s="3" t="str">
        <f t="shared" si="37"/>
        <v/>
      </c>
      <c r="I733" s="3" t="str">
        <f ca="1">IF(AND(F733&lt;&gt;"", J733&lt;&gt;""), NETWORKDAYS(TODAY(), J733-1, FESTIVOS!A$1:A$55), "")</f>
        <v/>
      </c>
      <c r="J733" s="4" t="str">
        <f>IF(AND(F733&lt;&gt;"", H733&lt;&gt;""), WORKDAY(F733, H733, FESTIVOS!A$1:A$55), "")</f>
        <v/>
      </c>
      <c r="K733" s="3"/>
      <c r="L733" s="3" t="str">
        <f t="shared" ca="1" si="38"/>
        <v/>
      </c>
      <c r="M733" s="3" t="str">
        <f t="shared" ca="1" si="39"/>
        <v/>
      </c>
      <c r="N733" s="3"/>
      <c r="O733" s="3"/>
      <c r="P733" s="4" t="str">
        <f>IF(OR(O733="", J733=""), "", NETWORKDAYS(J733, O733,#REF!))</f>
        <v/>
      </c>
    </row>
    <row r="734" spans="1:16" ht="15.75" x14ac:dyDescent="0.25">
      <c r="A734" s="3"/>
      <c r="B734" s="18"/>
      <c r="C734" s="18"/>
      <c r="D734" s="18"/>
      <c r="E734" s="16"/>
      <c r="F734" s="17"/>
      <c r="G734" s="3"/>
      <c r="H734" s="3" t="str">
        <f t="shared" si="37"/>
        <v/>
      </c>
      <c r="I734" s="3" t="str">
        <f ca="1">IF(AND(F734&lt;&gt;"", J734&lt;&gt;""), NETWORKDAYS(TODAY(), J734-1, FESTIVOS!A$1:A$55), "")</f>
        <v/>
      </c>
      <c r="J734" s="4" t="str">
        <f>IF(AND(F734&lt;&gt;"", H734&lt;&gt;""), WORKDAY(F734, H734, FESTIVOS!A$1:A$55), "")</f>
        <v/>
      </c>
      <c r="K734" s="3"/>
      <c r="L734" s="3" t="str">
        <f t="shared" ca="1" si="38"/>
        <v/>
      </c>
      <c r="M734" s="3" t="str">
        <f t="shared" ca="1" si="39"/>
        <v/>
      </c>
      <c r="N734" s="3"/>
      <c r="O734" s="3"/>
      <c r="P734" s="4" t="str">
        <f>IF(OR(O734="", J734=""), "", NETWORKDAYS(J734, O734,#REF!))</f>
        <v/>
      </c>
    </row>
    <row r="735" spans="1:16" ht="15.75" x14ac:dyDescent="0.25">
      <c r="A735" s="3"/>
      <c r="B735" s="18"/>
      <c r="C735" s="18"/>
      <c r="D735" s="18"/>
      <c r="E735" s="16"/>
      <c r="F735" s="17"/>
      <c r="G735" s="3"/>
      <c r="H735" s="3" t="str">
        <f t="shared" si="37"/>
        <v/>
      </c>
      <c r="I735" s="3" t="str">
        <f ca="1">IF(AND(F735&lt;&gt;"", J735&lt;&gt;""), NETWORKDAYS(TODAY(), J735-1, FESTIVOS!A$1:A$55), "")</f>
        <v/>
      </c>
      <c r="J735" s="4" t="str">
        <f>IF(AND(F735&lt;&gt;"", H735&lt;&gt;""), WORKDAY(F735, H735, FESTIVOS!A$1:A$55), "")</f>
        <v/>
      </c>
      <c r="K735" s="3"/>
      <c r="L735" s="3" t="str">
        <f t="shared" ca="1" si="38"/>
        <v/>
      </c>
      <c r="M735" s="3" t="str">
        <f t="shared" ca="1" si="39"/>
        <v/>
      </c>
      <c r="N735" s="3"/>
      <c r="O735" s="3"/>
      <c r="P735" s="4" t="str">
        <f>IF(OR(O735="", J735=""), "", NETWORKDAYS(J735, O735,#REF!))</f>
        <v/>
      </c>
    </row>
    <row r="736" spans="1:16" ht="15.75" x14ac:dyDescent="0.25">
      <c r="A736" s="3"/>
      <c r="B736" s="18"/>
      <c r="C736" s="18"/>
      <c r="D736" s="18"/>
      <c r="E736" s="16"/>
      <c r="F736" s="17"/>
      <c r="G736" s="3"/>
      <c r="H736" s="3" t="str">
        <f t="shared" si="37"/>
        <v/>
      </c>
      <c r="I736" s="3" t="str">
        <f ca="1">IF(AND(F736&lt;&gt;"", J736&lt;&gt;""), NETWORKDAYS(TODAY(), J736-1, FESTIVOS!A$1:A$55), "")</f>
        <v/>
      </c>
      <c r="J736" s="4" t="str">
        <f>IF(AND(F736&lt;&gt;"", H736&lt;&gt;""), WORKDAY(F736, H736, FESTIVOS!A$1:A$55), "")</f>
        <v/>
      </c>
      <c r="K736" s="3"/>
      <c r="L736" s="3" t="str">
        <f t="shared" ca="1" si="38"/>
        <v/>
      </c>
      <c r="M736" s="3" t="str">
        <f t="shared" ca="1" si="39"/>
        <v/>
      </c>
      <c r="N736" s="3"/>
      <c r="O736" s="3"/>
      <c r="P736" s="4" t="str">
        <f>IF(OR(O736="", J736=""), "", NETWORKDAYS(J736, O736,#REF!))</f>
        <v/>
      </c>
    </row>
    <row r="737" spans="1:16" ht="15.75" x14ac:dyDescent="0.25">
      <c r="A737" s="3"/>
      <c r="B737" s="18"/>
      <c r="C737" s="18"/>
      <c r="D737" s="18"/>
      <c r="E737" s="16"/>
      <c r="F737" s="17"/>
      <c r="G737" s="3"/>
      <c r="H737" s="3" t="str">
        <f t="shared" si="37"/>
        <v/>
      </c>
      <c r="I737" s="3" t="str">
        <f ca="1">IF(AND(F737&lt;&gt;"", J737&lt;&gt;""), NETWORKDAYS(TODAY(), J737-1, FESTIVOS!A$1:A$55), "")</f>
        <v/>
      </c>
      <c r="J737" s="4" t="str">
        <f>IF(AND(F737&lt;&gt;"", H737&lt;&gt;""), WORKDAY(F737, H737, FESTIVOS!A$1:A$55), "")</f>
        <v/>
      </c>
      <c r="K737" s="3"/>
      <c r="L737" s="3" t="str">
        <f t="shared" ca="1" si="38"/>
        <v/>
      </c>
      <c r="M737" s="3" t="str">
        <f t="shared" ca="1" si="39"/>
        <v/>
      </c>
      <c r="N737" s="3"/>
      <c r="O737" s="3"/>
      <c r="P737" s="4" t="str">
        <f>IF(OR(O737="", J737=""), "", NETWORKDAYS(J737, O737,#REF!))</f>
        <v/>
      </c>
    </row>
    <row r="738" spans="1:16" ht="15.75" x14ac:dyDescent="0.25">
      <c r="A738" s="3"/>
      <c r="B738" s="18"/>
      <c r="C738" s="18"/>
      <c r="D738" s="18"/>
      <c r="E738" s="16"/>
      <c r="F738" s="17"/>
      <c r="G738" s="3"/>
      <c r="H738" s="3" t="str">
        <f t="shared" si="37"/>
        <v/>
      </c>
      <c r="I738" s="3" t="str">
        <f ca="1">IF(AND(F738&lt;&gt;"", J738&lt;&gt;""), NETWORKDAYS(TODAY(), J738-1, FESTIVOS!A$1:A$55), "")</f>
        <v/>
      </c>
      <c r="J738" s="4" t="str">
        <f>IF(AND(F738&lt;&gt;"", H738&lt;&gt;""), WORKDAY(F738, H738, FESTIVOS!A$1:A$55), "")</f>
        <v/>
      </c>
      <c r="K738" s="3"/>
      <c r="L738" s="3" t="str">
        <f t="shared" ca="1" si="38"/>
        <v/>
      </c>
      <c r="M738" s="3" t="str">
        <f t="shared" ca="1" si="39"/>
        <v/>
      </c>
      <c r="N738" s="3"/>
      <c r="O738" s="3"/>
      <c r="P738" s="4" t="str">
        <f>IF(OR(O738="", J738=""), "", NETWORKDAYS(J738, O738,#REF!))</f>
        <v/>
      </c>
    </row>
    <row r="739" spans="1:16" ht="15.75" x14ac:dyDescent="0.25">
      <c r="A739" s="3"/>
      <c r="B739" s="18"/>
      <c r="C739" s="18"/>
      <c r="D739" s="18"/>
      <c r="E739" s="16"/>
      <c r="F739" s="17"/>
      <c r="G739" s="3"/>
      <c r="H739" s="3" t="str">
        <f t="shared" si="37"/>
        <v/>
      </c>
      <c r="I739" s="3" t="str">
        <f ca="1">IF(AND(F739&lt;&gt;"", J739&lt;&gt;""), NETWORKDAYS(TODAY(), J739-1, FESTIVOS!A$1:A$55), "")</f>
        <v/>
      </c>
      <c r="J739" s="4" t="str">
        <f>IF(AND(F739&lt;&gt;"", H739&lt;&gt;""), WORKDAY(F739, H739, FESTIVOS!A$1:A$55), "")</f>
        <v/>
      </c>
      <c r="K739" s="3"/>
      <c r="L739" s="3" t="str">
        <f t="shared" ca="1" si="38"/>
        <v/>
      </c>
      <c r="M739" s="3" t="str">
        <f t="shared" ca="1" si="39"/>
        <v/>
      </c>
      <c r="N739" s="3"/>
      <c r="O739" s="3"/>
      <c r="P739" s="4" t="str">
        <f>IF(OR(O739="", J739=""), "", NETWORKDAYS(J739, O739,#REF!))</f>
        <v/>
      </c>
    </row>
    <row r="740" spans="1:16" ht="15.75" x14ac:dyDescent="0.25">
      <c r="A740" s="3"/>
      <c r="B740" s="18"/>
      <c r="C740" s="18"/>
      <c r="D740" s="18"/>
      <c r="E740" s="16"/>
      <c r="F740" s="17"/>
      <c r="G740" s="3"/>
      <c r="H740" s="3" t="str">
        <f t="shared" si="37"/>
        <v/>
      </c>
      <c r="I740" s="3" t="str">
        <f ca="1">IF(AND(F740&lt;&gt;"", J740&lt;&gt;""), NETWORKDAYS(TODAY(), J740-1, FESTIVOS!A$1:A$55), "")</f>
        <v/>
      </c>
      <c r="J740" s="4" t="str">
        <f>IF(AND(F740&lt;&gt;"", H740&lt;&gt;""), WORKDAY(F740, H740, FESTIVOS!A$1:A$55), "")</f>
        <v/>
      </c>
      <c r="K740" s="3"/>
      <c r="L740" s="3" t="str">
        <f t="shared" ca="1" si="38"/>
        <v/>
      </c>
      <c r="M740" s="3" t="str">
        <f t="shared" ca="1" si="39"/>
        <v/>
      </c>
      <c r="N740" s="3"/>
      <c r="O740" s="3"/>
      <c r="P740" s="4" t="str">
        <f>IF(OR(O740="", J740=""), "", NETWORKDAYS(J740, O740,#REF!))</f>
        <v/>
      </c>
    </row>
    <row r="741" spans="1:16" ht="15.75" x14ac:dyDescent="0.25">
      <c r="A741" s="3"/>
      <c r="B741" s="18"/>
      <c r="C741" s="18"/>
      <c r="D741" s="18"/>
      <c r="E741" s="16"/>
      <c r="F741" s="17"/>
      <c r="G741" s="3"/>
      <c r="H741" s="3" t="str">
        <f t="shared" si="37"/>
        <v/>
      </c>
      <c r="I741" s="3" t="str">
        <f ca="1">IF(AND(F741&lt;&gt;"", J741&lt;&gt;""), NETWORKDAYS(TODAY(), J741-1, FESTIVOS!A$1:A$55), "")</f>
        <v/>
      </c>
      <c r="J741" s="4" t="str">
        <f>IF(AND(F741&lt;&gt;"", H741&lt;&gt;""), WORKDAY(F741, H741, FESTIVOS!A$1:A$55), "")</f>
        <v/>
      </c>
      <c r="K741" s="3"/>
      <c r="L741" s="3" t="str">
        <f t="shared" ca="1" si="38"/>
        <v/>
      </c>
      <c r="M741" s="3" t="str">
        <f t="shared" ca="1" si="39"/>
        <v/>
      </c>
      <c r="N741" s="3"/>
      <c r="O741" s="3"/>
      <c r="P741" s="4" t="str">
        <f>IF(OR(O741="", J741=""), "", NETWORKDAYS(J741, O741,#REF!))</f>
        <v/>
      </c>
    </row>
    <row r="742" spans="1:16" ht="15.75" x14ac:dyDescent="0.25">
      <c r="A742" s="3"/>
      <c r="B742" s="18"/>
      <c r="C742" s="18"/>
      <c r="D742" s="18"/>
      <c r="E742" s="16"/>
      <c r="F742" s="17"/>
      <c r="G742" s="3"/>
      <c r="H742" s="3" t="str">
        <f t="shared" si="37"/>
        <v/>
      </c>
      <c r="I742" s="3" t="str">
        <f ca="1">IF(AND(F742&lt;&gt;"", J742&lt;&gt;""), NETWORKDAYS(TODAY(), J742-1, FESTIVOS!A$1:A$55), "")</f>
        <v/>
      </c>
      <c r="J742" s="4" t="str">
        <f>IF(AND(F742&lt;&gt;"", H742&lt;&gt;""), WORKDAY(F742, H742, FESTIVOS!A$1:A$55), "")</f>
        <v/>
      </c>
      <c r="K742" s="3"/>
      <c r="L742" s="3" t="str">
        <f t="shared" ca="1" si="38"/>
        <v/>
      </c>
      <c r="M742" s="3" t="str">
        <f t="shared" ca="1" si="39"/>
        <v/>
      </c>
      <c r="N742" s="3"/>
      <c r="O742" s="3"/>
      <c r="P742" s="4" t="str">
        <f>IF(OR(O742="", J742=""), "", NETWORKDAYS(J742, O742,#REF!))</f>
        <v/>
      </c>
    </row>
    <row r="743" spans="1:16" ht="15.75" x14ac:dyDescent="0.25">
      <c r="A743" s="3"/>
      <c r="B743" s="18"/>
      <c r="C743" s="18"/>
      <c r="D743" s="18"/>
      <c r="E743" s="16"/>
      <c r="F743" s="17"/>
      <c r="G743" s="3"/>
      <c r="H743" s="3" t="str">
        <f t="shared" si="37"/>
        <v/>
      </c>
      <c r="I743" s="3" t="str">
        <f ca="1">IF(AND(F743&lt;&gt;"", J743&lt;&gt;""), NETWORKDAYS(TODAY(), J743-1, FESTIVOS!A$1:A$55), "")</f>
        <v/>
      </c>
      <c r="J743" s="4" t="str">
        <f>IF(AND(F743&lt;&gt;"", H743&lt;&gt;""), WORKDAY(F743, H743, FESTIVOS!A$1:A$55), "")</f>
        <v/>
      </c>
      <c r="K743" s="3"/>
      <c r="L743" s="3" t="str">
        <f t="shared" ca="1" si="38"/>
        <v/>
      </c>
      <c r="M743" s="3" t="str">
        <f t="shared" ca="1" si="39"/>
        <v/>
      </c>
      <c r="N743" s="3"/>
      <c r="O743" s="3"/>
      <c r="P743" s="4" t="str">
        <f>IF(OR(O743="", J743=""), "", NETWORKDAYS(J743, O743,#REF!))</f>
        <v/>
      </c>
    </row>
    <row r="744" spans="1:16" ht="15.75" x14ac:dyDescent="0.25">
      <c r="A744" s="3"/>
      <c r="B744" s="18"/>
      <c r="C744" s="18"/>
      <c r="D744" s="18"/>
      <c r="E744" s="16"/>
      <c r="F744" s="17"/>
      <c r="G744" s="3"/>
      <c r="H744" s="3" t="str">
        <f t="shared" si="37"/>
        <v/>
      </c>
      <c r="I744" s="3" t="str">
        <f ca="1">IF(AND(F744&lt;&gt;"", J744&lt;&gt;""), NETWORKDAYS(TODAY(), J744-1, FESTIVOS!A$1:A$55), "")</f>
        <v/>
      </c>
      <c r="J744" s="4" t="str">
        <f>IF(AND(F744&lt;&gt;"", H744&lt;&gt;""), WORKDAY(F744, H744, FESTIVOS!A$1:A$55), "")</f>
        <v/>
      </c>
      <c r="K744" s="3"/>
      <c r="L744" s="3" t="str">
        <f t="shared" ca="1" si="38"/>
        <v/>
      </c>
      <c r="M744" s="3" t="str">
        <f t="shared" ca="1" si="39"/>
        <v/>
      </c>
      <c r="N744" s="3"/>
      <c r="O744" s="3"/>
      <c r="P744" s="4" t="str">
        <f>IF(OR(O744="", J744=""), "", NETWORKDAYS(J744, O744,#REF!))</f>
        <v/>
      </c>
    </row>
    <row r="745" spans="1:16" ht="15.75" x14ac:dyDescent="0.25">
      <c r="A745" s="3"/>
      <c r="B745" s="18"/>
      <c r="C745" s="18"/>
      <c r="D745" s="18"/>
      <c r="E745" s="16"/>
      <c r="F745" s="17"/>
      <c r="G745" s="3"/>
      <c r="H745" s="3" t="str">
        <f t="shared" si="37"/>
        <v/>
      </c>
      <c r="I745" s="3" t="str">
        <f ca="1">IF(AND(F745&lt;&gt;"", J745&lt;&gt;""), NETWORKDAYS(TODAY(), J745-1, FESTIVOS!A$1:A$55), "")</f>
        <v/>
      </c>
      <c r="J745" s="4" t="str">
        <f>IF(AND(F745&lt;&gt;"", H745&lt;&gt;""), WORKDAY(F745, H745, FESTIVOS!A$1:A$55), "")</f>
        <v/>
      </c>
      <c r="K745" s="3"/>
      <c r="L745" s="3" t="str">
        <f t="shared" ca="1" si="38"/>
        <v/>
      </c>
      <c r="M745" s="3" t="str">
        <f t="shared" ca="1" si="39"/>
        <v/>
      </c>
      <c r="N745" s="3"/>
      <c r="O745" s="3"/>
      <c r="P745" s="4" t="str">
        <f>IF(OR(O745="", J745=""), "", NETWORKDAYS(J745, O745,#REF!))</f>
        <v/>
      </c>
    </row>
    <row r="746" spans="1:16" ht="15.75" x14ac:dyDescent="0.25">
      <c r="A746" s="3"/>
      <c r="B746" s="18"/>
      <c r="C746" s="18"/>
      <c r="D746" s="18"/>
      <c r="E746" s="16"/>
      <c r="F746" s="17"/>
      <c r="G746" s="3"/>
      <c r="H746" s="3" t="str">
        <f t="shared" si="37"/>
        <v/>
      </c>
      <c r="I746" s="3" t="str">
        <f ca="1">IF(AND(F746&lt;&gt;"", J746&lt;&gt;""), NETWORKDAYS(TODAY(), J746-1, FESTIVOS!A$1:A$55), "")</f>
        <v/>
      </c>
      <c r="J746" s="4" t="str">
        <f>IF(AND(F746&lt;&gt;"", H746&lt;&gt;""), WORKDAY(F746, H746, FESTIVOS!A$1:A$55), "")</f>
        <v/>
      </c>
      <c r="K746" s="3"/>
      <c r="L746" s="3" t="str">
        <f t="shared" ca="1" si="38"/>
        <v/>
      </c>
      <c r="M746" s="3" t="str">
        <f t="shared" ca="1" si="39"/>
        <v/>
      </c>
      <c r="N746" s="3"/>
      <c r="O746" s="3"/>
      <c r="P746" s="4" t="str">
        <f>IF(OR(O746="", J746=""), "", NETWORKDAYS(J746, O746,#REF!))</f>
        <v/>
      </c>
    </row>
    <row r="747" spans="1:16" ht="15.75" x14ac:dyDescent="0.25">
      <c r="A747" s="3"/>
      <c r="B747" s="18"/>
      <c r="C747" s="18"/>
      <c r="D747" s="18"/>
      <c r="E747" s="16"/>
      <c r="F747" s="17"/>
      <c r="G747" s="3"/>
      <c r="H747" s="3" t="str">
        <f t="shared" si="37"/>
        <v/>
      </c>
      <c r="I747" s="3" t="str">
        <f ca="1">IF(AND(F747&lt;&gt;"", J747&lt;&gt;""), NETWORKDAYS(TODAY(), J747-1, FESTIVOS!A$1:A$55), "")</f>
        <v/>
      </c>
      <c r="J747" s="4" t="str">
        <f>IF(AND(F747&lt;&gt;"", H747&lt;&gt;""), WORKDAY(F747, H747, FESTIVOS!A$1:A$55), "")</f>
        <v/>
      </c>
      <c r="K747" s="3"/>
      <c r="L747" s="3" t="str">
        <f t="shared" ca="1" si="38"/>
        <v/>
      </c>
      <c r="M747" s="3" t="str">
        <f t="shared" ca="1" si="39"/>
        <v/>
      </c>
      <c r="N747" s="3"/>
      <c r="O747" s="3"/>
      <c r="P747" s="4" t="str">
        <f>IF(OR(O747="", J747=""), "", NETWORKDAYS(J747, O747,#REF!))</f>
        <v/>
      </c>
    </row>
    <row r="748" spans="1:16" ht="15.75" x14ac:dyDescent="0.25">
      <c r="A748" s="3"/>
      <c r="B748" s="18"/>
      <c r="C748" s="18"/>
      <c r="D748" s="18"/>
      <c r="E748" s="16"/>
      <c r="F748" s="17"/>
      <c r="G748" s="3"/>
      <c r="H748" s="3" t="str">
        <f t="shared" si="37"/>
        <v/>
      </c>
      <c r="I748" s="3" t="str">
        <f ca="1">IF(AND(F748&lt;&gt;"", J748&lt;&gt;""), NETWORKDAYS(TODAY(), J748-1, FESTIVOS!A$1:A$55), "")</f>
        <v/>
      </c>
      <c r="J748" s="4" t="str">
        <f>IF(AND(F748&lt;&gt;"", H748&lt;&gt;""), WORKDAY(F748, H748, FESTIVOS!A$1:A$55), "")</f>
        <v/>
      </c>
      <c r="K748" s="3"/>
      <c r="L748" s="3" t="str">
        <f t="shared" ca="1" si="38"/>
        <v/>
      </c>
      <c r="M748" s="3" t="str">
        <f t="shared" ca="1" si="39"/>
        <v/>
      </c>
      <c r="N748" s="3"/>
      <c r="O748" s="3"/>
      <c r="P748" s="4" t="str">
        <f>IF(OR(O748="", J748=""), "", NETWORKDAYS(J748, O748,#REF!))</f>
        <v/>
      </c>
    </row>
    <row r="749" spans="1:16" ht="15.75" x14ac:dyDescent="0.25">
      <c r="A749" s="3"/>
      <c r="B749" s="18"/>
      <c r="C749" s="18"/>
      <c r="D749" s="18"/>
      <c r="E749" s="16"/>
      <c r="F749" s="17"/>
      <c r="G749" s="3"/>
      <c r="H749" s="3" t="str">
        <f t="shared" si="37"/>
        <v/>
      </c>
      <c r="I749" s="3" t="str">
        <f ca="1">IF(AND(F749&lt;&gt;"", J749&lt;&gt;""), NETWORKDAYS(TODAY(), J749-1, FESTIVOS!A$1:A$55), "")</f>
        <v/>
      </c>
      <c r="J749" s="4" t="str">
        <f>IF(AND(F749&lt;&gt;"", H749&lt;&gt;""), WORKDAY(F749, H749, FESTIVOS!A$1:A$55), "")</f>
        <v/>
      </c>
      <c r="K749" s="3"/>
      <c r="L749" s="3" t="str">
        <f t="shared" ca="1" si="38"/>
        <v/>
      </c>
      <c r="M749" s="3" t="str">
        <f t="shared" ca="1" si="39"/>
        <v/>
      </c>
      <c r="N749" s="3"/>
      <c r="O749" s="3"/>
      <c r="P749" s="4" t="str">
        <f>IF(OR(O749="", J749=""), "", NETWORKDAYS(J749, O749,#REF!))</f>
        <v/>
      </c>
    </row>
    <row r="750" spans="1:16" ht="15.75" x14ac:dyDescent="0.25">
      <c r="A750" s="3"/>
      <c r="B750" s="18"/>
      <c r="C750" s="18"/>
      <c r="D750" s="18"/>
      <c r="E750" s="16"/>
      <c r="F750" s="17"/>
      <c r="G750" s="3"/>
      <c r="H750" s="3" t="str">
        <f t="shared" si="37"/>
        <v/>
      </c>
      <c r="I750" s="3" t="str">
        <f ca="1">IF(AND(F750&lt;&gt;"", J750&lt;&gt;""), NETWORKDAYS(TODAY(), J750-1, FESTIVOS!A$1:A$55), "")</f>
        <v/>
      </c>
      <c r="J750" s="4" t="str">
        <f>IF(AND(F750&lt;&gt;"", H750&lt;&gt;""), WORKDAY(F750, H750, FESTIVOS!A$1:A$55), "")</f>
        <v/>
      </c>
      <c r="K750" s="3"/>
      <c r="L750" s="3" t="str">
        <f t="shared" ca="1" si="38"/>
        <v/>
      </c>
      <c r="M750" s="3" t="str">
        <f t="shared" ca="1" si="39"/>
        <v/>
      </c>
      <c r="N750" s="3"/>
      <c r="O750" s="3"/>
      <c r="P750" s="4" t="str">
        <f>IF(OR(O750="", J750=""), "", NETWORKDAYS(J750, O750,#REF!))</f>
        <v/>
      </c>
    </row>
    <row r="751" spans="1:16" ht="15.75" x14ac:dyDescent="0.25">
      <c r="A751" s="3"/>
      <c r="B751" s="18"/>
      <c r="C751" s="18"/>
      <c r="D751" s="18"/>
      <c r="E751" s="16"/>
      <c r="F751" s="17"/>
      <c r="G751" s="3"/>
      <c r="H751" s="3" t="str">
        <f t="shared" si="37"/>
        <v/>
      </c>
      <c r="I751" s="3" t="str">
        <f ca="1">IF(AND(F751&lt;&gt;"", J751&lt;&gt;""), NETWORKDAYS(TODAY(), J751-1, FESTIVOS!A$1:A$55), "")</f>
        <v/>
      </c>
      <c r="J751" s="4" t="str">
        <f>IF(AND(F751&lt;&gt;"", H751&lt;&gt;""), WORKDAY(F751, H751, FESTIVOS!A$1:A$55), "")</f>
        <v/>
      </c>
      <c r="K751" s="3"/>
      <c r="L751" s="3" t="str">
        <f t="shared" ca="1" si="38"/>
        <v/>
      </c>
      <c r="M751" s="3" t="str">
        <f t="shared" ca="1" si="39"/>
        <v/>
      </c>
      <c r="N751" s="3"/>
      <c r="O751" s="3"/>
      <c r="P751" s="4" t="str">
        <f>IF(OR(O751="", J751=""), "", NETWORKDAYS(J751, O751,#REF!))</f>
        <v/>
      </c>
    </row>
    <row r="752" spans="1:16" ht="15.75" x14ac:dyDescent="0.25">
      <c r="A752" s="3"/>
      <c r="B752" s="18"/>
      <c r="C752" s="18"/>
      <c r="D752" s="18"/>
      <c r="E752" s="16"/>
      <c r="F752" s="17"/>
      <c r="G752" s="3"/>
      <c r="H752" s="3" t="str">
        <f t="shared" si="37"/>
        <v/>
      </c>
      <c r="I752" s="3" t="str">
        <f ca="1">IF(AND(F752&lt;&gt;"", J752&lt;&gt;""), NETWORKDAYS(TODAY(), J752-1, FESTIVOS!A$1:A$55), "")</f>
        <v/>
      </c>
      <c r="J752" s="4" t="str">
        <f>IF(AND(F752&lt;&gt;"", H752&lt;&gt;""), WORKDAY(F752, H752, FESTIVOS!A$1:A$55), "")</f>
        <v/>
      </c>
      <c r="K752" s="3"/>
      <c r="L752" s="3" t="str">
        <f t="shared" ca="1" si="38"/>
        <v/>
      </c>
      <c r="M752" s="3" t="str">
        <f t="shared" ca="1" si="39"/>
        <v/>
      </c>
      <c r="N752" s="3"/>
      <c r="O752" s="3"/>
      <c r="P752" s="4" t="str">
        <f>IF(OR(O752="", J752=""), "", NETWORKDAYS(J752, O752,#REF!))</f>
        <v/>
      </c>
    </row>
    <row r="753" spans="1:16" ht="15.75" x14ac:dyDescent="0.25">
      <c r="A753" s="3"/>
      <c r="B753" s="18"/>
      <c r="C753" s="18"/>
      <c r="D753" s="18"/>
      <c r="E753" s="16"/>
      <c r="F753" s="17"/>
      <c r="G753" s="3"/>
      <c r="H753" s="3" t="str">
        <f t="shared" si="37"/>
        <v/>
      </c>
      <c r="I753" s="3" t="str">
        <f ca="1">IF(AND(F753&lt;&gt;"", J753&lt;&gt;""), NETWORKDAYS(TODAY(), J753-1, FESTIVOS!A$1:A$55), "")</f>
        <v/>
      </c>
      <c r="J753" s="4" t="str">
        <f>IF(AND(F753&lt;&gt;"", H753&lt;&gt;""), WORKDAY(F753, H753, FESTIVOS!A$1:A$55), "")</f>
        <v/>
      </c>
      <c r="K753" s="3"/>
      <c r="L753" s="3" t="str">
        <f t="shared" ca="1" si="38"/>
        <v/>
      </c>
      <c r="M753" s="3" t="str">
        <f t="shared" ca="1" si="39"/>
        <v/>
      </c>
      <c r="N753" s="3"/>
      <c r="O753" s="3"/>
      <c r="P753" s="4" t="str">
        <f>IF(OR(O753="", J753=""), "", NETWORKDAYS(J753, O753,#REF!))</f>
        <v/>
      </c>
    </row>
    <row r="754" spans="1:16" ht="15.75" x14ac:dyDescent="0.25">
      <c r="A754" s="3"/>
      <c r="B754" s="18"/>
      <c r="C754" s="18"/>
      <c r="D754" s="18"/>
      <c r="E754" s="16"/>
      <c r="F754" s="17"/>
      <c r="G754" s="3"/>
      <c r="H754" s="3" t="str">
        <f t="shared" si="37"/>
        <v/>
      </c>
      <c r="I754" s="3" t="str">
        <f ca="1">IF(AND(F754&lt;&gt;"", J754&lt;&gt;""), NETWORKDAYS(TODAY(), J754-1, FESTIVOS!A$1:A$55), "")</f>
        <v/>
      </c>
      <c r="J754" s="4" t="str">
        <f>IF(AND(F754&lt;&gt;"", H754&lt;&gt;""), WORKDAY(F754, H754, FESTIVOS!A$1:A$55), "")</f>
        <v/>
      </c>
      <c r="K754" s="3"/>
      <c r="L754" s="3" t="str">
        <f t="shared" ca="1" si="38"/>
        <v/>
      </c>
      <c r="M754" s="3" t="str">
        <f t="shared" ca="1" si="39"/>
        <v/>
      </c>
      <c r="N754" s="3"/>
      <c r="O754" s="3"/>
      <c r="P754" s="4" t="str">
        <f>IF(OR(O754="", J754=""), "", NETWORKDAYS(J754, O754,#REF!))</f>
        <v/>
      </c>
    </row>
    <row r="755" spans="1:16" ht="15.75" x14ac:dyDescent="0.25">
      <c r="A755" s="3"/>
      <c r="B755" s="18"/>
      <c r="C755" s="18"/>
      <c r="D755" s="18"/>
      <c r="E755" s="16"/>
      <c r="F755" s="17"/>
      <c r="G755" s="3"/>
      <c r="H755" s="3" t="str">
        <f t="shared" si="37"/>
        <v/>
      </c>
      <c r="I755" s="3" t="str">
        <f ca="1">IF(AND(F755&lt;&gt;"", J755&lt;&gt;""), NETWORKDAYS(TODAY(), J755-1, FESTIVOS!A$1:A$55), "")</f>
        <v/>
      </c>
      <c r="J755" s="4" t="str">
        <f>IF(AND(F755&lt;&gt;"", H755&lt;&gt;""), WORKDAY(F755, H755, FESTIVOS!A$1:A$55), "")</f>
        <v/>
      </c>
      <c r="K755" s="3"/>
      <c r="L755" s="3" t="str">
        <f t="shared" ca="1" si="38"/>
        <v/>
      </c>
      <c r="M755" s="3" t="str">
        <f t="shared" ca="1" si="39"/>
        <v/>
      </c>
      <c r="N755" s="3"/>
      <c r="O755" s="3"/>
      <c r="P755" s="4" t="str">
        <f>IF(OR(O755="", J755=""), "", NETWORKDAYS(J755, O755,#REF!))</f>
        <v/>
      </c>
    </row>
    <row r="756" spans="1:16" ht="15.75" x14ac:dyDescent="0.25">
      <c r="A756" s="3"/>
      <c r="B756" s="18"/>
      <c r="C756" s="18"/>
      <c r="D756" s="18"/>
      <c r="E756" s="16"/>
      <c r="F756" s="17"/>
      <c r="G756" s="3"/>
      <c r="H756" s="3" t="str">
        <f t="shared" si="37"/>
        <v/>
      </c>
      <c r="I756" s="3" t="str">
        <f ca="1">IF(AND(F756&lt;&gt;"", J756&lt;&gt;""), NETWORKDAYS(TODAY(), J756-1, FESTIVOS!A$1:A$55), "")</f>
        <v/>
      </c>
      <c r="J756" s="4" t="str">
        <f>IF(AND(F756&lt;&gt;"", H756&lt;&gt;""), WORKDAY(F756, H756, FESTIVOS!A$1:A$55), "")</f>
        <v/>
      </c>
      <c r="K756" s="3"/>
      <c r="L756" s="3" t="str">
        <f t="shared" ca="1" si="38"/>
        <v/>
      </c>
      <c r="M756" s="3" t="str">
        <f t="shared" ca="1" si="39"/>
        <v/>
      </c>
      <c r="N756" s="3"/>
      <c r="O756" s="3"/>
      <c r="P756" s="4" t="str">
        <f>IF(OR(O756="", J756=""), "", NETWORKDAYS(J756, O756,#REF!))</f>
        <v/>
      </c>
    </row>
    <row r="757" spans="1:16" ht="15.75" x14ac:dyDescent="0.25">
      <c r="A757" s="3"/>
      <c r="B757" s="18"/>
      <c r="C757" s="18"/>
      <c r="D757" s="18"/>
      <c r="E757" s="16"/>
      <c r="F757" s="17"/>
      <c r="G757" s="3"/>
      <c r="H757" s="3" t="str">
        <f t="shared" si="37"/>
        <v/>
      </c>
      <c r="I757" s="3" t="str">
        <f ca="1">IF(AND(F757&lt;&gt;"", J757&lt;&gt;""), NETWORKDAYS(TODAY(), J757-1, FESTIVOS!A$1:A$55), "")</f>
        <v/>
      </c>
      <c r="J757" s="4" t="str">
        <f>IF(AND(F757&lt;&gt;"", H757&lt;&gt;""), WORKDAY(F757, H757, FESTIVOS!A$1:A$55), "")</f>
        <v/>
      </c>
      <c r="K757" s="3"/>
      <c r="L757" s="3" t="str">
        <f t="shared" ca="1" si="38"/>
        <v/>
      </c>
      <c r="M757" s="3" t="str">
        <f t="shared" ca="1" si="39"/>
        <v/>
      </c>
      <c r="N757" s="3"/>
      <c r="O757" s="3"/>
      <c r="P757" s="4" t="str">
        <f>IF(OR(O757="", J757=""), "", NETWORKDAYS(J757, O757,#REF!))</f>
        <v/>
      </c>
    </row>
    <row r="758" spans="1:16" ht="15.75" x14ac:dyDescent="0.25">
      <c r="A758" s="3"/>
      <c r="B758" s="18"/>
      <c r="C758" s="18"/>
      <c r="D758" s="18"/>
      <c r="E758" s="16"/>
      <c r="F758" s="17"/>
      <c r="G758" s="3"/>
      <c r="H758" s="3" t="str">
        <f t="shared" ref="H758:H821" si="40">IF(A758="INFORMACIÓN O DOCUMENTOS", 10, IF(A758="CONSULTA", 30, IF(A758="FACTURACIÓN Y COBROS", 15, IF(A758="VINCULACIÓN Y DESVINCULACIÓN", 15, IF(A758="NO ES DE NUESTRA COMPETENCIA", 5, IF(A758="OTRO", 15, ""))))))</f>
        <v/>
      </c>
      <c r="I758" s="3" t="str">
        <f ca="1">IF(AND(F758&lt;&gt;"", J758&lt;&gt;""), NETWORKDAYS(TODAY(), J758-1, FESTIVOS!A$1:A$55), "")</f>
        <v/>
      </c>
      <c r="J758" s="4" t="str">
        <f>IF(AND(F758&lt;&gt;"", H758&lt;&gt;""), WORKDAY(F758, H758, FESTIVOS!A$1:A$55), "")</f>
        <v/>
      </c>
      <c r="K758" s="3"/>
      <c r="L758" s="3" t="str">
        <f t="shared" ref="L758:L821" ca="1" si="41">IF(I758="", "", MAX(0, I758 - (TODAY() - TODAY())))</f>
        <v/>
      </c>
      <c r="M758" s="3" t="str">
        <f t="shared" ref="M758:M821" ca="1" si="42">IF(OR(I758="", H758=""), "", IF(I758&lt;0, "Vencido", IF(I758&gt;(H758/2), "Supere la mitad", "Bajo la mitad")))</f>
        <v/>
      </c>
      <c r="N758" s="3"/>
      <c r="O758" s="3"/>
      <c r="P758" s="4" t="str">
        <f>IF(OR(O758="", J758=""), "", NETWORKDAYS(J758, O758,#REF!))</f>
        <v/>
      </c>
    </row>
    <row r="759" spans="1:16" ht="15.75" x14ac:dyDescent="0.25">
      <c r="A759" s="3"/>
      <c r="B759" s="18"/>
      <c r="C759" s="18"/>
      <c r="D759" s="18"/>
      <c r="E759" s="16"/>
      <c r="F759" s="17"/>
      <c r="G759" s="3"/>
      <c r="H759" s="3" t="str">
        <f t="shared" si="40"/>
        <v/>
      </c>
      <c r="I759" s="3" t="str">
        <f ca="1">IF(AND(F759&lt;&gt;"", J759&lt;&gt;""), NETWORKDAYS(TODAY(), J759-1, FESTIVOS!A$1:A$55), "")</f>
        <v/>
      </c>
      <c r="J759" s="4" t="str">
        <f>IF(AND(F759&lt;&gt;"", H759&lt;&gt;""), WORKDAY(F759, H759, FESTIVOS!A$1:A$55), "")</f>
        <v/>
      </c>
      <c r="K759" s="3"/>
      <c r="L759" s="3" t="str">
        <f t="shared" ca="1" si="41"/>
        <v/>
      </c>
      <c r="M759" s="3" t="str">
        <f t="shared" ca="1" si="42"/>
        <v/>
      </c>
      <c r="N759" s="3"/>
      <c r="O759" s="3"/>
      <c r="P759" s="4" t="str">
        <f>IF(OR(O759="", J759=""), "", NETWORKDAYS(J759, O759,#REF!))</f>
        <v/>
      </c>
    </row>
    <row r="760" spans="1:16" ht="15.75" x14ac:dyDescent="0.25">
      <c r="A760" s="3"/>
      <c r="B760" s="18"/>
      <c r="C760" s="18"/>
      <c r="D760" s="18"/>
      <c r="E760" s="16"/>
      <c r="F760" s="17"/>
      <c r="G760" s="3"/>
      <c r="H760" s="3" t="str">
        <f t="shared" si="40"/>
        <v/>
      </c>
      <c r="I760" s="3" t="str">
        <f ca="1">IF(AND(F760&lt;&gt;"", J760&lt;&gt;""), NETWORKDAYS(TODAY(), J760-1, FESTIVOS!A$1:A$55), "")</f>
        <v/>
      </c>
      <c r="J760" s="4" t="str">
        <f>IF(AND(F760&lt;&gt;"", H760&lt;&gt;""), WORKDAY(F760, H760, FESTIVOS!A$1:A$55), "")</f>
        <v/>
      </c>
      <c r="K760" s="3"/>
      <c r="L760" s="3" t="str">
        <f t="shared" ca="1" si="41"/>
        <v/>
      </c>
      <c r="M760" s="3" t="str">
        <f t="shared" ca="1" si="42"/>
        <v/>
      </c>
      <c r="N760" s="3"/>
      <c r="O760" s="3"/>
      <c r="P760" s="4" t="str">
        <f>IF(OR(O760="", J760=""), "", NETWORKDAYS(J760, O760,#REF!))</f>
        <v/>
      </c>
    </row>
    <row r="761" spans="1:16" ht="15.75" x14ac:dyDescent="0.25">
      <c r="A761" s="3"/>
      <c r="B761" s="18"/>
      <c r="C761" s="18"/>
      <c r="D761" s="18"/>
      <c r="E761" s="16"/>
      <c r="F761" s="17"/>
      <c r="G761" s="3"/>
      <c r="H761" s="3" t="str">
        <f t="shared" si="40"/>
        <v/>
      </c>
      <c r="I761" s="3" t="str">
        <f ca="1">IF(AND(F761&lt;&gt;"", J761&lt;&gt;""), NETWORKDAYS(TODAY(), J761-1, FESTIVOS!A$1:A$55), "")</f>
        <v/>
      </c>
      <c r="J761" s="4" t="str">
        <f>IF(AND(F761&lt;&gt;"", H761&lt;&gt;""), WORKDAY(F761, H761, FESTIVOS!A$1:A$55), "")</f>
        <v/>
      </c>
      <c r="K761" s="3"/>
      <c r="L761" s="3" t="str">
        <f t="shared" ca="1" si="41"/>
        <v/>
      </c>
      <c r="M761" s="3" t="str">
        <f t="shared" ca="1" si="42"/>
        <v/>
      </c>
      <c r="N761" s="3"/>
      <c r="O761" s="3"/>
      <c r="P761" s="4" t="str">
        <f>IF(OR(O761="", J761=""), "", NETWORKDAYS(J761, O761,#REF!))</f>
        <v/>
      </c>
    </row>
    <row r="762" spans="1:16" ht="15.75" x14ac:dyDescent="0.25">
      <c r="A762" s="3"/>
      <c r="B762" s="18"/>
      <c r="C762" s="18"/>
      <c r="D762" s="18"/>
      <c r="E762" s="16"/>
      <c r="F762" s="17"/>
      <c r="G762" s="3"/>
      <c r="H762" s="3" t="str">
        <f t="shared" si="40"/>
        <v/>
      </c>
      <c r="I762" s="3" t="str">
        <f ca="1">IF(AND(F762&lt;&gt;"", J762&lt;&gt;""), NETWORKDAYS(TODAY(), J762-1, FESTIVOS!A$1:A$55), "")</f>
        <v/>
      </c>
      <c r="J762" s="4" t="str">
        <f>IF(AND(F762&lt;&gt;"", H762&lt;&gt;""), WORKDAY(F762, H762, FESTIVOS!A$1:A$55), "")</f>
        <v/>
      </c>
      <c r="K762" s="3"/>
      <c r="L762" s="3" t="str">
        <f t="shared" ca="1" si="41"/>
        <v/>
      </c>
      <c r="M762" s="3" t="str">
        <f t="shared" ca="1" si="42"/>
        <v/>
      </c>
      <c r="N762" s="3"/>
      <c r="O762" s="3"/>
      <c r="P762" s="4" t="str">
        <f>IF(OR(O762="", J762=""), "", NETWORKDAYS(J762, O762,#REF!))</f>
        <v/>
      </c>
    </row>
    <row r="763" spans="1:16" ht="15.75" x14ac:dyDescent="0.25">
      <c r="A763" s="3"/>
      <c r="B763" s="18"/>
      <c r="C763" s="18"/>
      <c r="D763" s="18"/>
      <c r="E763" s="16"/>
      <c r="F763" s="17"/>
      <c r="G763" s="3"/>
      <c r="H763" s="3" t="str">
        <f t="shared" si="40"/>
        <v/>
      </c>
      <c r="I763" s="3" t="str">
        <f ca="1">IF(AND(F763&lt;&gt;"", J763&lt;&gt;""), NETWORKDAYS(TODAY(), J763-1, FESTIVOS!A$1:A$55), "")</f>
        <v/>
      </c>
      <c r="J763" s="4" t="str">
        <f>IF(AND(F763&lt;&gt;"", H763&lt;&gt;""), WORKDAY(F763, H763, FESTIVOS!A$1:A$55), "")</f>
        <v/>
      </c>
      <c r="K763" s="3"/>
      <c r="L763" s="3" t="str">
        <f t="shared" ca="1" si="41"/>
        <v/>
      </c>
      <c r="M763" s="3" t="str">
        <f t="shared" ca="1" si="42"/>
        <v/>
      </c>
      <c r="N763" s="3"/>
      <c r="O763" s="3"/>
      <c r="P763" s="4" t="str">
        <f>IF(OR(O763="", J763=""), "", NETWORKDAYS(J763, O763,#REF!))</f>
        <v/>
      </c>
    </row>
    <row r="764" spans="1:16" ht="15.75" x14ac:dyDescent="0.25">
      <c r="A764" s="3"/>
      <c r="B764" s="18"/>
      <c r="C764" s="18"/>
      <c r="D764" s="18"/>
      <c r="E764" s="16"/>
      <c r="F764" s="17"/>
      <c r="G764" s="3"/>
      <c r="H764" s="3" t="str">
        <f t="shared" si="40"/>
        <v/>
      </c>
      <c r="I764" s="3" t="str">
        <f ca="1">IF(AND(F764&lt;&gt;"", J764&lt;&gt;""), NETWORKDAYS(TODAY(), J764-1, FESTIVOS!A$1:A$55), "")</f>
        <v/>
      </c>
      <c r="J764" s="4" t="str">
        <f>IF(AND(F764&lt;&gt;"", H764&lt;&gt;""), WORKDAY(F764, H764, FESTIVOS!A$1:A$55), "")</f>
        <v/>
      </c>
      <c r="K764" s="3"/>
      <c r="L764" s="3" t="str">
        <f t="shared" ca="1" si="41"/>
        <v/>
      </c>
      <c r="M764" s="3" t="str">
        <f t="shared" ca="1" si="42"/>
        <v/>
      </c>
      <c r="N764" s="3"/>
      <c r="O764" s="3"/>
      <c r="P764" s="4" t="str">
        <f>IF(OR(O764="", J764=""), "", NETWORKDAYS(J764, O764,#REF!))</f>
        <v/>
      </c>
    </row>
    <row r="765" spans="1:16" ht="15.75" x14ac:dyDescent="0.25">
      <c r="A765" s="3"/>
      <c r="B765" s="18"/>
      <c r="C765" s="18"/>
      <c r="D765" s="18"/>
      <c r="E765" s="16"/>
      <c r="F765" s="17"/>
      <c r="G765" s="3"/>
      <c r="H765" s="3" t="str">
        <f t="shared" si="40"/>
        <v/>
      </c>
      <c r="I765" s="3" t="str">
        <f ca="1">IF(AND(F765&lt;&gt;"", J765&lt;&gt;""), NETWORKDAYS(TODAY(), J765-1, FESTIVOS!A$1:A$55), "")</f>
        <v/>
      </c>
      <c r="J765" s="4" t="str">
        <f>IF(AND(F765&lt;&gt;"", H765&lt;&gt;""), WORKDAY(F765, H765, FESTIVOS!A$1:A$55), "")</f>
        <v/>
      </c>
      <c r="K765" s="3"/>
      <c r="L765" s="3" t="str">
        <f t="shared" ca="1" si="41"/>
        <v/>
      </c>
      <c r="M765" s="3" t="str">
        <f t="shared" ca="1" si="42"/>
        <v/>
      </c>
      <c r="N765" s="3"/>
      <c r="O765" s="3"/>
      <c r="P765" s="4" t="str">
        <f>IF(OR(O765="", J765=""), "", NETWORKDAYS(J765, O765,#REF!))</f>
        <v/>
      </c>
    </row>
    <row r="766" spans="1:16" ht="15.75" x14ac:dyDescent="0.25">
      <c r="A766" s="3"/>
      <c r="B766" s="18"/>
      <c r="C766" s="18"/>
      <c r="D766" s="18"/>
      <c r="E766" s="16"/>
      <c r="F766" s="17"/>
      <c r="G766" s="3"/>
      <c r="H766" s="3" t="str">
        <f t="shared" si="40"/>
        <v/>
      </c>
      <c r="I766" s="3" t="str">
        <f ca="1">IF(AND(F766&lt;&gt;"", J766&lt;&gt;""), NETWORKDAYS(TODAY(), J766-1, FESTIVOS!A$1:A$55), "")</f>
        <v/>
      </c>
      <c r="J766" s="4" t="str">
        <f>IF(AND(F766&lt;&gt;"", H766&lt;&gt;""), WORKDAY(F766, H766, FESTIVOS!A$1:A$55), "")</f>
        <v/>
      </c>
      <c r="K766" s="3"/>
      <c r="L766" s="3" t="str">
        <f t="shared" ca="1" si="41"/>
        <v/>
      </c>
      <c r="M766" s="3" t="str">
        <f t="shared" ca="1" si="42"/>
        <v/>
      </c>
      <c r="N766" s="3"/>
      <c r="O766" s="3"/>
      <c r="P766" s="4" t="str">
        <f>IF(OR(O766="", J766=""), "", NETWORKDAYS(J766, O766,#REF!))</f>
        <v/>
      </c>
    </row>
    <row r="767" spans="1:16" ht="15.75" x14ac:dyDescent="0.25">
      <c r="A767" s="3"/>
      <c r="B767" s="18"/>
      <c r="C767" s="18"/>
      <c r="D767" s="18"/>
      <c r="E767" s="16"/>
      <c r="F767" s="17"/>
      <c r="G767" s="3"/>
      <c r="H767" s="3" t="str">
        <f t="shared" si="40"/>
        <v/>
      </c>
      <c r="I767" s="3" t="str">
        <f ca="1">IF(AND(F767&lt;&gt;"", J767&lt;&gt;""), NETWORKDAYS(TODAY(), J767-1, FESTIVOS!A$1:A$55), "")</f>
        <v/>
      </c>
      <c r="J767" s="4" t="str">
        <f>IF(AND(F767&lt;&gt;"", H767&lt;&gt;""), WORKDAY(F767, H767, FESTIVOS!A$1:A$55), "")</f>
        <v/>
      </c>
      <c r="K767" s="3"/>
      <c r="L767" s="3" t="str">
        <f t="shared" ca="1" si="41"/>
        <v/>
      </c>
      <c r="M767" s="3" t="str">
        <f t="shared" ca="1" si="42"/>
        <v/>
      </c>
      <c r="N767" s="3"/>
      <c r="O767" s="3"/>
      <c r="P767" s="4" t="str">
        <f>IF(OR(O767="", J767=""), "", NETWORKDAYS(J767, O767,#REF!))</f>
        <v/>
      </c>
    </row>
    <row r="768" spans="1:16" ht="15.75" x14ac:dyDescent="0.25">
      <c r="A768" s="3"/>
      <c r="B768" s="18"/>
      <c r="C768" s="18"/>
      <c r="D768" s="18"/>
      <c r="E768" s="16"/>
      <c r="F768" s="17"/>
      <c r="G768" s="3"/>
      <c r="H768" s="3" t="str">
        <f t="shared" si="40"/>
        <v/>
      </c>
      <c r="I768" s="3" t="str">
        <f ca="1">IF(AND(F768&lt;&gt;"", J768&lt;&gt;""), NETWORKDAYS(TODAY(), J768-1, FESTIVOS!A$1:A$55), "")</f>
        <v/>
      </c>
      <c r="J768" s="4" t="str">
        <f>IF(AND(F768&lt;&gt;"", H768&lt;&gt;""), WORKDAY(F768, H768, FESTIVOS!A$1:A$55), "")</f>
        <v/>
      </c>
      <c r="K768" s="3"/>
      <c r="L768" s="3" t="str">
        <f t="shared" ca="1" si="41"/>
        <v/>
      </c>
      <c r="M768" s="3" t="str">
        <f t="shared" ca="1" si="42"/>
        <v/>
      </c>
      <c r="N768" s="3"/>
      <c r="O768" s="3"/>
      <c r="P768" s="4" t="str">
        <f>IF(OR(O768="", J768=""), "", NETWORKDAYS(J768, O768,#REF!))</f>
        <v/>
      </c>
    </row>
    <row r="769" spans="1:16" ht="15.75" x14ac:dyDescent="0.25">
      <c r="A769" s="3"/>
      <c r="B769" s="18"/>
      <c r="C769" s="18"/>
      <c r="D769" s="18"/>
      <c r="E769" s="16"/>
      <c r="F769" s="17"/>
      <c r="G769" s="3"/>
      <c r="H769" s="3" t="str">
        <f t="shared" si="40"/>
        <v/>
      </c>
      <c r="I769" s="3" t="str">
        <f ca="1">IF(AND(F769&lt;&gt;"", J769&lt;&gt;""), NETWORKDAYS(TODAY(), J769-1, FESTIVOS!A$1:A$55), "")</f>
        <v/>
      </c>
      <c r="J769" s="4" t="str">
        <f>IF(AND(F769&lt;&gt;"", H769&lt;&gt;""), WORKDAY(F769, H769, FESTIVOS!A$1:A$55), "")</f>
        <v/>
      </c>
      <c r="K769" s="3"/>
      <c r="L769" s="3" t="str">
        <f t="shared" ca="1" si="41"/>
        <v/>
      </c>
      <c r="M769" s="3" t="str">
        <f t="shared" ca="1" si="42"/>
        <v/>
      </c>
      <c r="N769" s="3"/>
      <c r="O769" s="3"/>
      <c r="P769" s="4" t="str">
        <f>IF(OR(O769="", J769=""), "", NETWORKDAYS(J769, O769,#REF!))</f>
        <v/>
      </c>
    </row>
    <row r="770" spans="1:16" ht="15.75" x14ac:dyDescent="0.25">
      <c r="A770" s="3"/>
      <c r="B770" s="18"/>
      <c r="C770" s="18"/>
      <c r="D770" s="18"/>
      <c r="E770" s="16"/>
      <c r="F770" s="17"/>
      <c r="G770" s="3"/>
      <c r="H770" s="3" t="str">
        <f t="shared" si="40"/>
        <v/>
      </c>
      <c r="I770" s="3" t="str">
        <f ca="1">IF(AND(F770&lt;&gt;"", J770&lt;&gt;""), NETWORKDAYS(TODAY(), J770-1, FESTIVOS!A$1:A$55), "")</f>
        <v/>
      </c>
      <c r="J770" s="4" t="str">
        <f>IF(AND(F770&lt;&gt;"", H770&lt;&gt;""), WORKDAY(F770, H770, FESTIVOS!A$1:A$55), "")</f>
        <v/>
      </c>
      <c r="K770" s="3"/>
      <c r="L770" s="3" t="str">
        <f t="shared" ca="1" si="41"/>
        <v/>
      </c>
      <c r="M770" s="3" t="str">
        <f t="shared" ca="1" si="42"/>
        <v/>
      </c>
      <c r="N770" s="3"/>
      <c r="O770" s="3"/>
      <c r="P770" s="4" t="str">
        <f>IF(OR(O770="", J770=""), "", NETWORKDAYS(J770, O770,#REF!))</f>
        <v/>
      </c>
    </row>
    <row r="771" spans="1:16" ht="15.75" x14ac:dyDescent="0.25">
      <c r="A771" s="3"/>
      <c r="B771" s="18"/>
      <c r="C771" s="18"/>
      <c r="D771" s="18"/>
      <c r="E771" s="16"/>
      <c r="F771" s="17"/>
      <c r="G771" s="3"/>
      <c r="H771" s="3" t="str">
        <f t="shared" si="40"/>
        <v/>
      </c>
      <c r="I771" s="3" t="str">
        <f ca="1">IF(AND(F771&lt;&gt;"", J771&lt;&gt;""), NETWORKDAYS(TODAY(), J771-1, FESTIVOS!A$1:A$55), "")</f>
        <v/>
      </c>
      <c r="J771" s="4" t="str">
        <f>IF(AND(F771&lt;&gt;"", H771&lt;&gt;""), WORKDAY(F771, H771, FESTIVOS!A$1:A$55), "")</f>
        <v/>
      </c>
      <c r="K771" s="3"/>
      <c r="L771" s="3" t="str">
        <f t="shared" ca="1" si="41"/>
        <v/>
      </c>
      <c r="M771" s="3" t="str">
        <f t="shared" ca="1" si="42"/>
        <v/>
      </c>
      <c r="N771" s="3"/>
      <c r="O771" s="3"/>
      <c r="P771" s="4" t="str">
        <f>IF(OR(O771="", J771=""), "", NETWORKDAYS(J771, O771,#REF!))</f>
        <v/>
      </c>
    </row>
    <row r="772" spans="1:16" ht="15.75" x14ac:dyDescent="0.25">
      <c r="A772" s="3"/>
      <c r="B772" s="18"/>
      <c r="C772" s="18"/>
      <c r="D772" s="18"/>
      <c r="E772" s="16"/>
      <c r="F772" s="17"/>
      <c r="G772" s="3"/>
      <c r="H772" s="3" t="str">
        <f t="shared" si="40"/>
        <v/>
      </c>
      <c r="I772" s="3" t="str">
        <f ca="1">IF(AND(F772&lt;&gt;"", J772&lt;&gt;""), NETWORKDAYS(TODAY(), J772-1, FESTIVOS!A$1:A$55), "")</f>
        <v/>
      </c>
      <c r="J772" s="4" t="str">
        <f>IF(AND(F772&lt;&gt;"", H772&lt;&gt;""), WORKDAY(F772, H772, FESTIVOS!A$1:A$55), "")</f>
        <v/>
      </c>
      <c r="K772" s="3"/>
      <c r="L772" s="3" t="str">
        <f t="shared" ca="1" si="41"/>
        <v/>
      </c>
      <c r="M772" s="3" t="str">
        <f t="shared" ca="1" si="42"/>
        <v/>
      </c>
      <c r="N772" s="3"/>
      <c r="O772" s="3"/>
      <c r="P772" s="4" t="str">
        <f>IF(OR(O772="", J772=""), "", NETWORKDAYS(J772, O772,#REF!))</f>
        <v/>
      </c>
    </row>
    <row r="773" spans="1:16" ht="15.75" x14ac:dyDescent="0.25">
      <c r="A773" s="3"/>
      <c r="B773" s="18"/>
      <c r="C773" s="18"/>
      <c r="D773" s="18"/>
      <c r="E773" s="16"/>
      <c r="F773" s="17"/>
      <c r="G773" s="3"/>
      <c r="H773" s="3" t="str">
        <f t="shared" si="40"/>
        <v/>
      </c>
      <c r="I773" s="3" t="str">
        <f ca="1">IF(AND(F773&lt;&gt;"", J773&lt;&gt;""), NETWORKDAYS(TODAY(), J773-1, FESTIVOS!A$1:A$55), "")</f>
        <v/>
      </c>
      <c r="J773" s="4" t="str">
        <f>IF(AND(F773&lt;&gt;"", H773&lt;&gt;""), WORKDAY(F773, H773, FESTIVOS!A$1:A$55), "")</f>
        <v/>
      </c>
      <c r="K773" s="3"/>
      <c r="L773" s="3" t="str">
        <f t="shared" ca="1" si="41"/>
        <v/>
      </c>
      <c r="M773" s="3" t="str">
        <f t="shared" ca="1" si="42"/>
        <v/>
      </c>
      <c r="N773" s="3"/>
      <c r="O773" s="3"/>
      <c r="P773" s="4" t="str">
        <f>IF(OR(O773="", J773=""), "", NETWORKDAYS(J773, O773,#REF!))</f>
        <v/>
      </c>
    </row>
    <row r="774" spans="1:16" ht="15.75" x14ac:dyDescent="0.25">
      <c r="A774" s="3"/>
      <c r="B774" s="18"/>
      <c r="C774" s="18"/>
      <c r="D774" s="18"/>
      <c r="E774" s="16"/>
      <c r="F774" s="17"/>
      <c r="G774" s="3"/>
      <c r="H774" s="3" t="str">
        <f t="shared" si="40"/>
        <v/>
      </c>
      <c r="I774" s="3" t="str">
        <f ca="1">IF(AND(F774&lt;&gt;"", J774&lt;&gt;""), NETWORKDAYS(TODAY(), J774-1, FESTIVOS!A$1:A$55), "")</f>
        <v/>
      </c>
      <c r="J774" s="4" t="str">
        <f>IF(AND(F774&lt;&gt;"", H774&lt;&gt;""), WORKDAY(F774, H774, FESTIVOS!A$1:A$55), "")</f>
        <v/>
      </c>
      <c r="K774" s="3"/>
      <c r="L774" s="3" t="str">
        <f t="shared" ca="1" si="41"/>
        <v/>
      </c>
      <c r="M774" s="3" t="str">
        <f t="shared" ca="1" si="42"/>
        <v/>
      </c>
      <c r="N774" s="3"/>
      <c r="O774" s="3"/>
      <c r="P774" s="4" t="str">
        <f>IF(OR(O774="", J774=""), "", NETWORKDAYS(J774, O774,#REF!))</f>
        <v/>
      </c>
    </row>
    <row r="775" spans="1:16" ht="15.75" x14ac:dyDescent="0.25">
      <c r="A775" s="3"/>
      <c r="B775" s="18"/>
      <c r="C775" s="18"/>
      <c r="D775" s="18"/>
      <c r="E775" s="16"/>
      <c r="F775" s="17"/>
      <c r="G775" s="3"/>
      <c r="H775" s="3" t="str">
        <f t="shared" si="40"/>
        <v/>
      </c>
      <c r="I775" s="3" t="str">
        <f ca="1">IF(AND(F775&lt;&gt;"", J775&lt;&gt;""), NETWORKDAYS(TODAY(), J775-1, FESTIVOS!A$1:A$55), "")</f>
        <v/>
      </c>
      <c r="J775" s="4" t="str">
        <f>IF(AND(F775&lt;&gt;"", H775&lt;&gt;""), WORKDAY(F775, H775, FESTIVOS!A$1:A$55), "")</f>
        <v/>
      </c>
      <c r="K775" s="3"/>
      <c r="L775" s="3" t="str">
        <f t="shared" ca="1" si="41"/>
        <v/>
      </c>
      <c r="M775" s="3" t="str">
        <f t="shared" ca="1" si="42"/>
        <v/>
      </c>
      <c r="N775" s="3"/>
      <c r="O775" s="3"/>
      <c r="P775" s="4" t="str">
        <f>IF(OR(O775="", J775=""), "", NETWORKDAYS(J775, O775,#REF!))</f>
        <v/>
      </c>
    </row>
    <row r="776" spans="1:16" ht="15.75" x14ac:dyDescent="0.25">
      <c r="A776" s="3"/>
      <c r="B776" s="18"/>
      <c r="C776" s="18"/>
      <c r="D776" s="18"/>
      <c r="E776" s="16"/>
      <c r="F776" s="17"/>
      <c r="G776" s="3"/>
      <c r="H776" s="3" t="str">
        <f t="shared" si="40"/>
        <v/>
      </c>
      <c r="I776" s="3" t="str">
        <f ca="1">IF(AND(F776&lt;&gt;"", J776&lt;&gt;""), NETWORKDAYS(TODAY(), J776-1, FESTIVOS!A$1:A$55), "")</f>
        <v/>
      </c>
      <c r="J776" s="4" t="str">
        <f>IF(AND(F776&lt;&gt;"", H776&lt;&gt;""), WORKDAY(F776, H776, FESTIVOS!A$1:A$55), "")</f>
        <v/>
      </c>
      <c r="K776" s="3"/>
      <c r="L776" s="3" t="str">
        <f t="shared" ca="1" si="41"/>
        <v/>
      </c>
      <c r="M776" s="3" t="str">
        <f t="shared" ca="1" si="42"/>
        <v/>
      </c>
      <c r="N776" s="3"/>
      <c r="O776" s="3"/>
      <c r="P776" s="4" t="str">
        <f>IF(OR(O776="", J776=""), "", NETWORKDAYS(J776, O776,#REF!))</f>
        <v/>
      </c>
    </row>
    <row r="777" spans="1:16" ht="15.75" x14ac:dyDescent="0.25">
      <c r="A777" s="3"/>
      <c r="B777" s="18"/>
      <c r="C777" s="18"/>
      <c r="D777" s="18"/>
      <c r="E777" s="16"/>
      <c r="F777" s="17"/>
      <c r="G777" s="3"/>
      <c r="H777" s="3" t="str">
        <f t="shared" si="40"/>
        <v/>
      </c>
      <c r="I777" s="3" t="str">
        <f ca="1">IF(AND(F777&lt;&gt;"", J777&lt;&gt;""), NETWORKDAYS(TODAY(), J777-1, FESTIVOS!A$1:A$55), "")</f>
        <v/>
      </c>
      <c r="J777" s="4" t="str">
        <f>IF(AND(F777&lt;&gt;"", H777&lt;&gt;""), WORKDAY(F777, H777, FESTIVOS!A$1:A$55), "")</f>
        <v/>
      </c>
      <c r="K777" s="3"/>
      <c r="L777" s="3" t="str">
        <f t="shared" ca="1" si="41"/>
        <v/>
      </c>
      <c r="M777" s="3" t="str">
        <f t="shared" ca="1" si="42"/>
        <v/>
      </c>
      <c r="N777" s="3"/>
      <c r="O777" s="3"/>
      <c r="P777" s="4" t="str">
        <f>IF(OR(O777="", J777=""), "", NETWORKDAYS(J777, O777,#REF!))</f>
        <v/>
      </c>
    </row>
    <row r="778" spans="1:16" ht="15.75" x14ac:dyDescent="0.25">
      <c r="A778" s="3"/>
      <c r="B778" s="18"/>
      <c r="C778" s="18"/>
      <c r="D778" s="18"/>
      <c r="E778" s="16"/>
      <c r="F778" s="17"/>
      <c r="G778" s="3"/>
      <c r="H778" s="3" t="str">
        <f t="shared" si="40"/>
        <v/>
      </c>
      <c r="I778" s="3" t="str">
        <f ca="1">IF(AND(F778&lt;&gt;"", J778&lt;&gt;""), NETWORKDAYS(TODAY(), J778-1, FESTIVOS!A$1:A$55), "")</f>
        <v/>
      </c>
      <c r="J778" s="4" t="str">
        <f>IF(AND(F778&lt;&gt;"", H778&lt;&gt;""), WORKDAY(F778, H778, FESTIVOS!A$1:A$55), "")</f>
        <v/>
      </c>
      <c r="K778" s="3"/>
      <c r="L778" s="3" t="str">
        <f t="shared" ca="1" si="41"/>
        <v/>
      </c>
      <c r="M778" s="3" t="str">
        <f t="shared" ca="1" si="42"/>
        <v/>
      </c>
      <c r="N778" s="3"/>
      <c r="O778" s="3"/>
      <c r="P778" s="4" t="str">
        <f>IF(OR(O778="", J778=""), "", NETWORKDAYS(J778, O778,#REF!))</f>
        <v/>
      </c>
    </row>
    <row r="779" spans="1:16" ht="15.75" x14ac:dyDescent="0.25">
      <c r="A779" s="3"/>
      <c r="B779" s="18"/>
      <c r="C779" s="18"/>
      <c r="D779" s="18"/>
      <c r="E779" s="16"/>
      <c r="F779" s="17"/>
      <c r="G779" s="3"/>
      <c r="H779" s="3" t="str">
        <f t="shared" si="40"/>
        <v/>
      </c>
      <c r="I779" s="3" t="str">
        <f ca="1">IF(AND(F779&lt;&gt;"", J779&lt;&gt;""), NETWORKDAYS(TODAY(), J779-1, FESTIVOS!A$1:A$55), "")</f>
        <v/>
      </c>
      <c r="J779" s="4" t="str">
        <f>IF(AND(F779&lt;&gt;"", H779&lt;&gt;""), WORKDAY(F779, H779, FESTIVOS!A$1:A$55), "")</f>
        <v/>
      </c>
      <c r="K779" s="3"/>
      <c r="L779" s="3" t="str">
        <f t="shared" ca="1" si="41"/>
        <v/>
      </c>
      <c r="M779" s="3" t="str">
        <f t="shared" ca="1" si="42"/>
        <v/>
      </c>
      <c r="N779" s="3"/>
      <c r="O779" s="3"/>
      <c r="P779" s="4" t="str">
        <f>IF(OR(O779="", J779=""), "", NETWORKDAYS(J779, O779,#REF!))</f>
        <v/>
      </c>
    </row>
    <row r="780" spans="1:16" ht="15.75" x14ac:dyDescent="0.25">
      <c r="A780" s="3"/>
      <c r="B780" s="18"/>
      <c r="C780" s="18"/>
      <c r="D780" s="18"/>
      <c r="E780" s="16"/>
      <c r="F780" s="17"/>
      <c r="G780" s="3"/>
      <c r="H780" s="3" t="str">
        <f t="shared" si="40"/>
        <v/>
      </c>
      <c r="I780" s="3" t="str">
        <f ca="1">IF(AND(F780&lt;&gt;"", J780&lt;&gt;""), NETWORKDAYS(TODAY(), J780-1, FESTIVOS!A$1:A$55), "")</f>
        <v/>
      </c>
      <c r="J780" s="4" t="str">
        <f>IF(AND(F780&lt;&gt;"", H780&lt;&gt;""), WORKDAY(F780, H780, FESTIVOS!A$1:A$55), "")</f>
        <v/>
      </c>
      <c r="K780" s="3"/>
      <c r="L780" s="3" t="str">
        <f t="shared" ca="1" si="41"/>
        <v/>
      </c>
      <c r="M780" s="3" t="str">
        <f t="shared" ca="1" si="42"/>
        <v/>
      </c>
      <c r="N780" s="3"/>
      <c r="O780" s="3"/>
      <c r="P780" s="4" t="str">
        <f>IF(OR(O780="", J780=""), "", NETWORKDAYS(J780, O780,#REF!))</f>
        <v/>
      </c>
    </row>
    <row r="781" spans="1:16" ht="15.75" x14ac:dyDescent="0.25">
      <c r="A781" s="3"/>
      <c r="B781" s="18"/>
      <c r="C781" s="18"/>
      <c r="D781" s="18"/>
      <c r="E781" s="16"/>
      <c r="F781" s="17"/>
      <c r="G781" s="3"/>
      <c r="H781" s="3" t="str">
        <f t="shared" si="40"/>
        <v/>
      </c>
      <c r="I781" s="3" t="str">
        <f ca="1">IF(AND(F781&lt;&gt;"", J781&lt;&gt;""), NETWORKDAYS(TODAY(), J781-1, FESTIVOS!A$1:A$55), "")</f>
        <v/>
      </c>
      <c r="J781" s="4" t="str">
        <f>IF(AND(F781&lt;&gt;"", H781&lt;&gt;""), WORKDAY(F781, H781, FESTIVOS!A$1:A$55), "")</f>
        <v/>
      </c>
      <c r="K781" s="3"/>
      <c r="L781" s="3" t="str">
        <f t="shared" ca="1" si="41"/>
        <v/>
      </c>
      <c r="M781" s="3" t="str">
        <f t="shared" ca="1" si="42"/>
        <v/>
      </c>
      <c r="N781" s="3"/>
      <c r="O781" s="3"/>
      <c r="P781" s="4" t="str">
        <f>IF(OR(O781="", J781=""), "", NETWORKDAYS(J781, O781,#REF!))</f>
        <v/>
      </c>
    </row>
    <row r="782" spans="1:16" ht="15.75" x14ac:dyDescent="0.25">
      <c r="A782" s="3"/>
      <c r="B782" s="18"/>
      <c r="C782" s="18"/>
      <c r="D782" s="18"/>
      <c r="E782" s="16"/>
      <c r="F782" s="17"/>
      <c r="G782" s="3"/>
      <c r="H782" s="3" t="str">
        <f t="shared" si="40"/>
        <v/>
      </c>
      <c r="I782" s="3" t="str">
        <f ca="1">IF(AND(F782&lt;&gt;"", J782&lt;&gt;""), NETWORKDAYS(TODAY(), J782-1, FESTIVOS!A$1:A$55), "")</f>
        <v/>
      </c>
      <c r="J782" s="4" t="str">
        <f>IF(AND(F782&lt;&gt;"", H782&lt;&gt;""), WORKDAY(F782, H782, FESTIVOS!A$1:A$55), "")</f>
        <v/>
      </c>
      <c r="K782" s="3"/>
      <c r="L782" s="3" t="str">
        <f t="shared" ca="1" si="41"/>
        <v/>
      </c>
      <c r="M782" s="3" t="str">
        <f t="shared" ca="1" si="42"/>
        <v/>
      </c>
      <c r="N782" s="3"/>
      <c r="O782" s="3"/>
      <c r="P782" s="4" t="str">
        <f>IF(OR(O782="", J782=""), "", NETWORKDAYS(J782, O782,#REF!))</f>
        <v/>
      </c>
    </row>
    <row r="783" spans="1:16" ht="15.75" x14ac:dyDescent="0.25">
      <c r="A783" s="3"/>
      <c r="B783" s="18"/>
      <c r="C783" s="18"/>
      <c r="D783" s="18"/>
      <c r="E783" s="16"/>
      <c r="F783" s="17"/>
      <c r="G783" s="3"/>
      <c r="H783" s="3" t="str">
        <f t="shared" si="40"/>
        <v/>
      </c>
      <c r="I783" s="3" t="str">
        <f ca="1">IF(AND(F783&lt;&gt;"", J783&lt;&gt;""), NETWORKDAYS(TODAY(), J783-1, FESTIVOS!A$1:A$55), "")</f>
        <v/>
      </c>
      <c r="J783" s="4" t="str">
        <f>IF(AND(F783&lt;&gt;"", H783&lt;&gt;""), WORKDAY(F783, H783, FESTIVOS!A$1:A$55), "")</f>
        <v/>
      </c>
      <c r="K783" s="3"/>
      <c r="L783" s="3" t="str">
        <f t="shared" ca="1" si="41"/>
        <v/>
      </c>
      <c r="M783" s="3" t="str">
        <f t="shared" ca="1" si="42"/>
        <v/>
      </c>
      <c r="N783" s="3"/>
      <c r="O783" s="3"/>
      <c r="P783" s="4" t="str">
        <f>IF(OR(O783="", J783=""), "", NETWORKDAYS(J783, O783,#REF!))</f>
        <v/>
      </c>
    </row>
    <row r="784" spans="1:16" ht="15.75" x14ac:dyDescent="0.25">
      <c r="A784" s="3"/>
      <c r="B784" s="18"/>
      <c r="C784" s="18"/>
      <c r="D784" s="18"/>
      <c r="E784" s="16"/>
      <c r="F784" s="17"/>
      <c r="G784" s="3"/>
      <c r="H784" s="3" t="str">
        <f t="shared" si="40"/>
        <v/>
      </c>
      <c r="I784" s="3" t="str">
        <f ca="1">IF(AND(F784&lt;&gt;"", J784&lt;&gt;""), NETWORKDAYS(TODAY(), J784-1, FESTIVOS!A$1:A$55), "")</f>
        <v/>
      </c>
      <c r="J784" s="4" t="str">
        <f>IF(AND(F784&lt;&gt;"", H784&lt;&gt;""), WORKDAY(F784, H784, FESTIVOS!A$1:A$55), "")</f>
        <v/>
      </c>
      <c r="K784" s="3"/>
      <c r="L784" s="3" t="str">
        <f t="shared" ca="1" si="41"/>
        <v/>
      </c>
      <c r="M784" s="3" t="str">
        <f t="shared" ca="1" si="42"/>
        <v/>
      </c>
      <c r="N784" s="3"/>
      <c r="O784" s="3"/>
      <c r="P784" s="4" t="str">
        <f>IF(OR(O784="", J784=""), "", NETWORKDAYS(J784, O784,#REF!))</f>
        <v/>
      </c>
    </row>
    <row r="785" spans="1:16" ht="15.75" x14ac:dyDescent="0.25">
      <c r="A785" s="3"/>
      <c r="B785" s="18"/>
      <c r="C785" s="18"/>
      <c r="D785" s="18"/>
      <c r="E785" s="16"/>
      <c r="F785" s="17"/>
      <c r="G785" s="3"/>
      <c r="H785" s="3" t="str">
        <f t="shared" si="40"/>
        <v/>
      </c>
      <c r="I785" s="3" t="str">
        <f ca="1">IF(AND(F785&lt;&gt;"", J785&lt;&gt;""), NETWORKDAYS(TODAY(), J785-1, FESTIVOS!A$1:A$55), "")</f>
        <v/>
      </c>
      <c r="J785" s="4" t="str">
        <f>IF(AND(F785&lt;&gt;"", H785&lt;&gt;""), WORKDAY(F785, H785, FESTIVOS!A$1:A$55), "")</f>
        <v/>
      </c>
      <c r="K785" s="3"/>
      <c r="L785" s="3" t="str">
        <f t="shared" ca="1" si="41"/>
        <v/>
      </c>
      <c r="M785" s="3" t="str">
        <f t="shared" ca="1" si="42"/>
        <v/>
      </c>
      <c r="N785" s="3"/>
      <c r="O785" s="3"/>
      <c r="P785" s="4" t="str">
        <f>IF(OR(O785="", J785=""), "", NETWORKDAYS(J785, O785,#REF!))</f>
        <v/>
      </c>
    </row>
    <row r="786" spans="1:16" ht="15.75" x14ac:dyDescent="0.25">
      <c r="A786" s="3"/>
      <c r="B786" s="18"/>
      <c r="C786" s="18"/>
      <c r="D786" s="18"/>
      <c r="E786" s="16"/>
      <c r="F786" s="17"/>
      <c r="G786" s="3"/>
      <c r="H786" s="3" t="str">
        <f t="shared" si="40"/>
        <v/>
      </c>
      <c r="I786" s="3" t="str">
        <f ca="1">IF(AND(F786&lt;&gt;"", J786&lt;&gt;""), NETWORKDAYS(TODAY(), J786-1, FESTIVOS!A$1:A$55), "")</f>
        <v/>
      </c>
      <c r="J786" s="4" t="str">
        <f>IF(AND(F786&lt;&gt;"", H786&lt;&gt;""), WORKDAY(F786, H786, FESTIVOS!A$1:A$55), "")</f>
        <v/>
      </c>
      <c r="K786" s="3"/>
      <c r="L786" s="3" t="str">
        <f t="shared" ca="1" si="41"/>
        <v/>
      </c>
      <c r="M786" s="3" t="str">
        <f t="shared" ca="1" si="42"/>
        <v/>
      </c>
      <c r="N786" s="3"/>
      <c r="O786" s="3"/>
      <c r="P786" s="4" t="str">
        <f>IF(OR(O786="", J786=""), "", NETWORKDAYS(J786, O786,#REF!))</f>
        <v/>
      </c>
    </row>
    <row r="787" spans="1:16" ht="15.75" x14ac:dyDescent="0.25">
      <c r="A787" s="3"/>
      <c r="B787" s="18"/>
      <c r="C787" s="18"/>
      <c r="D787" s="18"/>
      <c r="E787" s="16"/>
      <c r="F787" s="17"/>
      <c r="G787" s="3"/>
      <c r="H787" s="3" t="str">
        <f t="shared" si="40"/>
        <v/>
      </c>
      <c r="I787" s="3" t="str">
        <f ca="1">IF(AND(F787&lt;&gt;"", J787&lt;&gt;""), NETWORKDAYS(TODAY(), J787-1, FESTIVOS!A$1:A$55), "")</f>
        <v/>
      </c>
      <c r="J787" s="4" t="str">
        <f>IF(AND(F787&lt;&gt;"", H787&lt;&gt;""), WORKDAY(F787, H787, FESTIVOS!A$1:A$55), "")</f>
        <v/>
      </c>
      <c r="K787" s="3"/>
      <c r="L787" s="3" t="str">
        <f t="shared" ca="1" si="41"/>
        <v/>
      </c>
      <c r="M787" s="3" t="str">
        <f t="shared" ca="1" si="42"/>
        <v/>
      </c>
      <c r="N787" s="3"/>
      <c r="O787" s="3"/>
      <c r="P787" s="4" t="str">
        <f>IF(OR(O787="", J787=""), "", NETWORKDAYS(J787, O787,#REF!))</f>
        <v/>
      </c>
    </row>
    <row r="788" spans="1:16" ht="15.75" x14ac:dyDescent="0.25">
      <c r="A788" s="3"/>
      <c r="B788" s="18"/>
      <c r="C788" s="18"/>
      <c r="D788" s="18"/>
      <c r="E788" s="16"/>
      <c r="F788" s="17"/>
      <c r="G788" s="3"/>
      <c r="H788" s="3" t="str">
        <f t="shared" si="40"/>
        <v/>
      </c>
      <c r="I788" s="3" t="str">
        <f ca="1">IF(AND(F788&lt;&gt;"", J788&lt;&gt;""), NETWORKDAYS(TODAY(), J788-1, FESTIVOS!A$1:A$55), "")</f>
        <v/>
      </c>
      <c r="J788" s="4" t="str">
        <f>IF(AND(F788&lt;&gt;"", H788&lt;&gt;""), WORKDAY(F788, H788, FESTIVOS!A$1:A$55), "")</f>
        <v/>
      </c>
      <c r="K788" s="3"/>
      <c r="L788" s="3" t="str">
        <f t="shared" ca="1" si="41"/>
        <v/>
      </c>
      <c r="M788" s="3" t="str">
        <f t="shared" ca="1" si="42"/>
        <v/>
      </c>
      <c r="N788" s="3"/>
      <c r="O788" s="3"/>
      <c r="P788" s="4" t="str">
        <f>IF(OR(O788="", J788=""), "", NETWORKDAYS(J788, O788,#REF!))</f>
        <v/>
      </c>
    </row>
    <row r="789" spans="1:16" ht="15.75" x14ac:dyDescent="0.25">
      <c r="A789" s="3"/>
      <c r="B789" s="18"/>
      <c r="C789" s="18"/>
      <c r="D789" s="18"/>
      <c r="E789" s="16"/>
      <c r="F789" s="17"/>
      <c r="G789" s="3"/>
      <c r="H789" s="3" t="str">
        <f t="shared" si="40"/>
        <v/>
      </c>
      <c r="I789" s="3" t="str">
        <f ca="1">IF(AND(F789&lt;&gt;"", J789&lt;&gt;""), NETWORKDAYS(TODAY(), J789-1, FESTIVOS!A$1:A$55), "")</f>
        <v/>
      </c>
      <c r="J789" s="4" t="str">
        <f>IF(AND(F789&lt;&gt;"", H789&lt;&gt;""), WORKDAY(F789, H789, FESTIVOS!A$1:A$55), "")</f>
        <v/>
      </c>
      <c r="K789" s="3"/>
      <c r="L789" s="3" t="str">
        <f t="shared" ca="1" si="41"/>
        <v/>
      </c>
      <c r="M789" s="3" t="str">
        <f t="shared" ca="1" si="42"/>
        <v/>
      </c>
      <c r="N789" s="3"/>
      <c r="O789" s="3"/>
      <c r="P789" s="4" t="str">
        <f>IF(OR(O789="", J789=""), "", NETWORKDAYS(J789, O789,#REF!))</f>
        <v/>
      </c>
    </row>
    <row r="790" spans="1:16" ht="15.75" x14ac:dyDescent="0.25">
      <c r="A790" s="3"/>
      <c r="B790" s="18"/>
      <c r="C790" s="18"/>
      <c r="D790" s="18"/>
      <c r="E790" s="16"/>
      <c r="F790" s="17"/>
      <c r="G790" s="3"/>
      <c r="H790" s="3" t="str">
        <f t="shared" si="40"/>
        <v/>
      </c>
      <c r="I790" s="3" t="str">
        <f ca="1">IF(AND(F790&lt;&gt;"", J790&lt;&gt;""), NETWORKDAYS(TODAY(), J790-1, FESTIVOS!A$1:A$55), "")</f>
        <v/>
      </c>
      <c r="J790" s="4" t="str">
        <f>IF(AND(F790&lt;&gt;"", H790&lt;&gt;""), WORKDAY(F790, H790, FESTIVOS!A$1:A$55), "")</f>
        <v/>
      </c>
      <c r="K790" s="3"/>
      <c r="L790" s="3" t="str">
        <f t="shared" ca="1" si="41"/>
        <v/>
      </c>
      <c r="M790" s="3" t="str">
        <f t="shared" ca="1" si="42"/>
        <v/>
      </c>
      <c r="N790" s="3"/>
      <c r="O790" s="3"/>
      <c r="P790" s="4" t="str">
        <f>IF(OR(O790="", J790=""), "", NETWORKDAYS(J790, O790,#REF!))</f>
        <v/>
      </c>
    </row>
    <row r="791" spans="1:16" ht="15.75" x14ac:dyDescent="0.25">
      <c r="A791" s="3"/>
      <c r="B791" s="18"/>
      <c r="C791" s="18"/>
      <c r="D791" s="18"/>
      <c r="E791" s="16"/>
      <c r="F791" s="17"/>
      <c r="G791" s="3"/>
      <c r="H791" s="3" t="str">
        <f t="shared" si="40"/>
        <v/>
      </c>
      <c r="I791" s="3" t="str">
        <f ca="1">IF(AND(F791&lt;&gt;"", J791&lt;&gt;""), NETWORKDAYS(TODAY(), J791-1, FESTIVOS!A$1:A$55), "")</f>
        <v/>
      </c>
      <c r="J791" s="4" t="str">
        <f>IF(AND(F791&lt;&gt;"", H791&lt;&gt;""), WORKDAY(F791, H791, FESTIVOS!A$1:A$55), "")</f>
        <v/>
      </c>
      <c r="K791" s="3"/>
      <c r="L791" s="3" t="str">
        <f t="shared" ca="1" si="41"/>
        <v/>
      </c>
      <c r="M791" s="3" t="str">
        <f t="shared" ca="1" si="42"/>
        <v/>
      </c>
      <c r="N791" s="3"/>
      <c r="O791" s="3"/>
      <c r="P791" s="4" t="str">
        <f>IF(OR(O791="", J791=""), "", NETWORKDAYS(J791, O791,#REF!))</f>
        <v/>
      </c>
    </row>
    <row r="792" spans="1:16" ht="15.75" x14ac:dyDescent="0.25">
      <c r="A792" s="3"/>
      <c r="B792" s="18"/>
      <c r="C792" s="18"/>
      <c r="D792" s="18"/>
      <c r="E792" s="16"/>
      <c r="F792" s="17"/>
      <c r="G792" s="3"/>
      <c r="H792" s="3" t="str">
        <f t="shared" si="40"/>
        <v/>
      </c>
      <c r="I792" s="3" t="str">
        <f ca="1">IF(AND(F792&lt;&gt;"", J792&lt;&gt;""), NETWORKDAYS(TODAY(), J792-1, FESTIVOS!A$1:A$55), "")</f>
        <v/>
      </c>
      <c r="J792" s="4" t="str">
        <f>IF(AND(F792&lt;&gt;"", H792&lt;&gt;""), WORKDAY(F792, H792, FESTIVOS!A$1:A$55), "")</f>
        <v/>
      </c>
      <c r="K792" s="3"/>
      <c r="L792" s="3" t="str">
        <f t="shared" ca="1" si="41"/>
        <v/>
      </c>
      <c r="M792" s="3" t="str">
        <f t="shared" ca="1" si="42"/>
        <v/>
      </c>
      <c r="N792" s="3"/>
      <c r="O792" s="3"/>
      <c r="P792" s="4" t="str">
        <f>IF(OR(O792="", J792=""), "", NETWORKDAYS(J792, O792,#REF!))</f>
        <v/>
      </c>
    </row>
    <row r="793" spans="1:16" ht="15.75" x14ac:dyDescent="0.25">
      <c r="A793" s="3"/>
      <c r="B793" s="18"/>
      <c r="C793" s="18"/>
      <c r="D793" s="18"/>
      <c r="E793" s="16"/>
      <c r="F793" s="17"/>
      <c r="G793" s="3"/>
      <c r="H793" s="3" t="str">
        <f t="shared" si="40"/>
        <v/>
      </c>
      <c r="I793" s="3" t="str">
        <f ca="1">IF(AND(F793&lt;&gt;"", J793&lt;&gt;""), NETWORKDAYS(TODAY(), J793-1, FESTIVOS!A$1:A$55), "")</f>
        <v/>
      </c>
      <c r="J793" s="4" t="str">
        <f>IF(AND(F793&lt;&gt;"", H793&lt;&gt;""), WORKDAY(F793, H793, FESTIVOS!A$1:A$55), "")</f>
        <v/>
      </c>
      <c r="K793" s="3"/>
      <c r="L793" s="3" t="str">
        <f t="shared" ca="1" si="41"/>
        <v/>
      </c>
      <c r="M793" s="3" t="str">
        <f t="shared" ca="1" si="42"/>
        <v/>
      </c>
      <c r="N793" s="3"/>
      <c r="O793" s="3"/>
      <c r="P793" s="4" t="str">
        <f>IF(OR(O793="", J793=""), "", NETWORKDAYS(J793, O793,#REF!))</f>
        <v/>
      </c>
    </row>
    <row r="794" spans="1:16" ht="15.75" x14ac:dyDescent="0.25">
      <c r="A794" s="3"/>
      <c r="B794" s="18"/>
      <c r="C794" s="18"/>
      <c r="D794" s="18"/>
      <c r="E794" s="16"/>
      <c r="F794" s="17"/>
      <c r="G794" s="3"/>
      <c r="H794" s="3" t="str">
        <f t="shared" si="40"/>
        <v/>
      </c>
      <c r="I794" s="3" t="str">
        <f ca="1">IF(AND(F794&lt;&gt;"", J794&lt;&gt;""), NETWORKDAYS(TODAY(), J794-1, FESTIVOS!A$1:A$55), "")</f>
        <v/>
      </c>
      <c r="J794" s="4" t="str">
        <f>IF(AND(F794&lt;&gt;"", H794&lt;&gt;""), WORKDAY(F794, H794, FESTIVOS!A$1:A$55), "")</f>
        <v/>
      </c>
      <c r="K794" s="3"/>
      <c r="L794" s="3" t="str">
        <f t="shared" ca="1" si="41"/>
        <v/>
      </c>
      <c r="M794" s="3" t="str">
        <f t="shared" ca="1" si="42"/>
        <v/>
      </c>
      <c r="N794" s="3"/>
      <c r="O794" s="3"/>
      <c r="P794" s="4" t="str">
        <f>IF(OR(O794="", J794=""), "", NETWORKDAYS(J794, O794,#REF!))</f>
        <v/>
      </c>
    </row>
    <row r="795" spans="1:16" ht="15.75" x14ac:dyDescent="0.25">
      <c r="A795" s="3"/>
      <c r="B795" s="18"/>
      <c r="C795" s="18"/>
      <c r="D795" s="18"/>
      <c r="E795" s="16"/>
      <c r="F795" s="17"/>
      <c r="G795" s="3"/>
      <c r="H795" s="3" t="str">
        <f t="shared" si="40"/>
        <v/>
      </c>
      <c r="I795" s="3" t="str">
        <f ca="1">IF(AND(F795&lt;&gt;"", J795&lt;&gt;""), NETWORKDAYS(TODAY(), J795-1, FESTIVOS!A$1:A$55), "")</f>
        <v/>
      </c>
      <c r="J795" s="4" t="str">
        <f>IF(AND(F795&lt;&gt;"", H795&lt;&gt;""), WORKDAY(F795, H795, FESTIVOS!A$1:A$55), "")</f>
        <v/>
      </c>
      <c r="K795" s="3"/>
      <c r="L795" s="3" t="str">
        <f t="shared" ca="1" si="41"/>
        <v/>
      </c>
      <c r="M795" s="3" t="str">
        <f t="shared" ca="1" si="42"/>
        <v/>
      </c>
      <c r="N795" s="3"/>
      <c r="O795" s="3"/>
      <c r="P795" s="4" t="str">
        <f>IF(OR(O795="", J795=""), "", NETWORKDAYS(J795, O795,#REF!))</f>
        <v/>
      </c>
    </row>
    <row r="796" spans="1:16" ht="15.75" x14ac:dyDescent="0.25">
      <c r="A796" s="3"/>
      <c r="B796" s="18"/>
      <c r="C796" s="18"/>
      <c r="D796" s="18"/>
      <c r="E796" s="16"/>
      <c r="F796" s="17"/>
      <c r="G796" s="3"/>
      <c r="H796" s="3" t="str">
        <f t="shared" si="40"/>
        <v/>
      </c>
      <c r="I796" s="3" t="str">
        <f ca="1">IF(AND(F796&lt;&gt;"", J796&lt;&gt;""), NETWORKDAYS(TODAY(), J796-1, FESTIVOS!A$1:A$55), "")</f>
        <v/>
      </c>
      <c r="J796" s="4" t="str">
        <f>IF(AND(F796&lt;&gt;"", H796&lt;&gt;""), WORKDAY(F796, H796, FESTIVOS!A$1:A$55), "")</f>
        <v/>
      </c>
      <c r="K796" s="3"/>
      <c r="L796" s="3" t="str">
        <f t="shared" ca="1" si="41"/>
        <v/>
      </c>
      <c r="M796" s="3" t="str">
        <f t="shared" ca="1" si="42"/>
        <v/>
      </c>
      <c r="N796" s="3"/>
      <c r="O796" s="3"/>
      <c r="P796" s="4" t="str">
        <f>IF(OR(O796="", J796=""), "", NETWORKDAYS(J796, O796,#REF!))</f>
        <v/>
      </c>
    </row>
    <row r="797" spans="1:16" ht="15.75" x14ac:dyDescent="0.25">
      <c r="A797" s="3"/>
      <c r="B797" s="18"/>
      <c r="C797" s="18"/>
      <c r="D797" s="18"/>
      <c r="E797" s="16"/>
      <c r="F797" s="17"/>
      <c r="G797" s="3"/>
      <c r="H797" s="3" t="str">
        <f t="shared" si="40"/>
        <v/>
      </c>
      <c r="I797" s="3" t="str">
        <f ca="1">IF(AND(F797&lt;&gt;"", J797&lt;&gt;""), NETWORKDAYS(TODAY(), J797-1, FESTIVOS!A$1:A$55), "")</f>
        <v/>
      </c>
      <c r="J797" s="4" t="str">
        <f>IF(AND(F797&lt;&gt;"", H797&lt;&gt;""), WORKDAY(F797, H797, FESTIVOS!A$1:A$55), "")</f>
        <v/>
      </c>
      <c r="K797" s="3"/>
      <c r="L797" s="3" t="str">
        <f t="shared" ca="1" si="41"/>
        <v/>
      </c>
      <c r="M797" s="3" t="str">
        <f t="shared" ca="1" si="42"/>
        <v/>
      </c>
      <c r="N797" s="3"/>
      <c r="O797" s="3"/>
      <c r="P797" s="4" t="str">
        <f>IF(OR(O797="", J797=""), "", NETWORKDAYS(J797, O797,#REF!))</f>
        <v/>
      </c>
    </row>
    <row r="798" spans="1:16" ht="15.75" x14ac:dyDescent="0.25">
      <c r="A798" s="3"/>
      <c r="B798" s="18"/>
      <c r="C798" s="18"/>
      <c r="D798" s="18"/>
      <c r="E798" s="16"/>
      <c r="F798" s="17"/>
      <c r="G798" s="3"/>
      <c r="H798" s="3" t="str">
        <f t="shared" si="40"/>
        <v/>
      </c>
      <c r="I798" s="3" t="str">
        <f ca="1">IF(AND(F798&lt;&gt;"", J798&lt;&gt;""), NETWORKDAYS(TODAY(), J798-1, FESTIVOS!A$1:A$55), "")</f>
        <v/>
      </c>
      <c r="J798" s="4" t="str">
        <f>IF(AND(F798&lt;&gt;"", H798&lt;&gt;""), WORKDAY(F798, H798, FESTIVOS!A$1:A$55), "")</f>
        <v/>
      </c>
      <c r="K798" s="3"/>
      <c r="L798" s="3" t="str">
        <f t="shared" ca="1" si="41"/>
        <v/>
      </c>
      <c r="M798" s="3" t="str">
        <f t="shared" ca="1" si="42"/>
        <v/>
      </c>
      <c r="N798" s="3"/>
      <c r="O798" s="3"/>
      <c r="P798" s="4" t="str">
        <f>IF(OR(O798="", J798=""), "", NETWORKDAYS(J798, O798,#REF!))</f>
        <v/>
      </c>
    </row>
    <row r="799" spans="1:16" ht="15.75" x14ac:dyDescent="0.25">
      <c r="A799" s="3"/>
      <c r="B799" s="18"/>
      <c r="C799" s="18"/>
      <c r="D799" s="18"/>
      <c r="E799" s="16"/>
      <c r="F799" s="17"/>
      <c r="G799" s="3"/>
      <c r="H799" s="3" t="str">
        <f t="shared" si="40"/>
        <v/>
      </c>
      <c r="I799" s="3" t="str">
        <f ca="1">IF(AND(F799&lt;&gt;"", J799&lt;&gt;""), NETWORKDAYS(TODAY(), J799-1, FESTIVOS!A$1:A$55), "")</f>
        <v/>
      </c>
      <c r="J799" s="4" t="str">
        <f>IF(AND(F799&lt;&gt;"", H799&lt;&gt;""), WORKDAY(F799, H799, FESTIVOS!A$1:A$55), "")</f>
        <v/>
      </c>
      <c r="K799" s="3"/>
      <c r="L799" s="3" t="str">
        <f t="shared" ca="1" si="41"/>
        <v/>
      </c>
      <c r="M799" s="3" t="str">
        <f t="shared" ca="1" si="42"/>
        <v/>
      </c>
      <c r="N799" s="3"/>
      <c r="O799" s="3"/>
      <c r="P799" s="4" t="str">
        <f>IF(OR(O799="", J799=""), "", NETWORKDAYS(J799, O799,#REF!))</f>
        <v/>
      </c>
    </row>
    <row r="800" spans="1:16" ht="15.75" x14ac:dyDescent="0.25">
      <c r="A800" s="3"/>
      <c r="B800" s="18"/>
      <c r="C800" s="18"/>
      <c r="D800" s="18"/>
      <c r="E800" s="16"/>
      <c r="F800" s="17"/>
      <c r="G800" s="3"/>
      <c r="H800" s="3" t="str">
        <f t="shared" si="40"/>
        <v/>
      </c>
      <c r="I800" s="3" t="str">
        <f ca="1">IF(AND(F800&lt;&gt;"", J800&lt;&gt;""), NETWORKDAYS(TODAY(), J800-1, FESTIVOS!A$1:A$55), "")</f>
        <v/>
      </c>
      <c r="J800" s="4" t="str">
        <f>IF(AND(F800&lt;&gt;"", H800&lt;&gt;""), WORKDAY(F800, H800, FESTIVOS!A$1:A$55), "")</f>
        <v/>
      </c>
      <c r="K800" s="3"/>
      <c r="L800" s="3" t="str">
        <f t="shared" ca="1" si="41"/>
        <v/>
      </c>
      <c r="M800" s="3" t="str">
        <f t="shared" ca="1" si="42"/>
        <v/>
      </c>
      <c r="N800" s="3"/>
      <c r="O800" s="3"/>
      <c r="P800" s="4" t="str">
        <f>IF(OR(O800="", J800=""), "", NETWORKDAYS(J800, O800,#REF!))</f>
        <v/>
      </c>
    </row>
    <row r="801" spans="1:16" ht="15.75" x14ac:dyDescent="0.25">
      <c r="A801" s="3"/>
      <c r="B801" s="18"/>
      <c r="C801" s="18"/>
      <c r="D801" s="18"/>
      <c r="E801" s="16"/>
      <c r="F801" s="17"/>
      <c r="G801" s="3"/>
      <c r="H801" s="3" t="str">
        <f t="shared" si="40"/>
        <v/>
      </c>
      <c r="I801" s="3" t="str">
        <f ca="1">IF(AND(F801&lt;&gt;"", J801&lt;&gt;""), NETWORKDAYS(TODAY(), J801-1, FESTIVOS!A$1:A$55), "")</f>
        <v/>
      </c>
      <c r="J801" s="4" t="str">
        <f>IF(AND(F801&lt;&gt;"", H801&lt;&gt;""), WORKDAY(F801, H801, FESTIVOS!A$1:A$55), "")</f>
        <v/>
      </c>
      <c r="K801" s="3"/>
      <c r="L801" s="3" t="str">
        <f t="shared" ca="1" si="41"/>
        <v/>
      </c>
      <c r="M801" s="3" t="str">
        <f t="shared" ca="1" si="42"/>
        <v/>
      </c>
      <c r="N801" s="3"/>
      <c r="O801" s="3"/>
      <c r="P801" s="4" t="str">
        <f>IF(OR(O801="", J801=""), "", NETWORKDAYS(J801, O801,#REF!))</f>
        <v/>
      </c>
    </row>
    <row r="802" spans="1:16" ht="15.75" x14ac:dyDescent="0.25">
      <c r="A802" s="3"/>
      <c r="B802" s="18"/>
      <c r="C802" s="18"/>
      <c r="D802" s="18"/>
      <c r="E802" s="16"/>
      <c r="F802" s="17"/>
      <c r="G802" s="3"/>
      <c r="H802" s="3" t="str">
        <f t="shared" si="40"/>
        <v/>
      </c>
      <c r="I802" s="3" t="str">
        <f ca="1">IF(AND(F802&lt;&gt;"", J802&lt;&gt;""), NETWORKDAYS(TODAY(), J802-1, FESTIVOS!A$1:A$55), "")</f>
        <v/>
      </c>
      <c r="J802" s="4" t="str">
        <f>IF(AND(F802&lt;&gt;"", H802&lt;&gt;""), WORKDAY(F802, H802, FESTIVOS!A$1:A$55), "")</f>
        <v/>
      </c>
      <c r="K802" s="3"/>
      <c r="L802" s="3" t="str">
        <f t="shared" ca="1" si="41"/>
        <v/>
      </c>
      <c r="M802" s="3" t="str">
        <f t="shared" ca="1" si="42"/>
        <v/>
      </c>
      <c r="N802" s="3"/>
      <c r="O802" s="3"/>
      <c r="P802" s="4" t="str">
        <f>IF(OR(O802="", J802=""), "", NETWORKDAYS(J802, O802,#REF!))</f>
        <v/>
      </c>
    </row>
    <row r="803" spans="1:16" ht="15.75" x14ac:dyDescent="0.25">
      <c r="A803" s="3"/>
      <c r="B803" s="18"/>
      <c r="C803" s="18"/>
      <c r="D803" s="18"/>
      <c r="E803" s="16"/>
      <c r="F803" s="17"/>
      <c r="G803" s="3"/>
      <c r="H803" s="3" t="str">
        <f t="shared" si="40"/>
        <v/>
      </c>
      <c r="I803" s="3" t="str">
        <f ca="1">IF(AND(F803&lt;&gt;"", J803&lt;&gt;""), NETWORKDAYS(TODAY(), J803-1, FESTIVOS!A$1:A$55), "")</f>
        <v/>
      </c>
      <c r="J803" s="4" t="str">
        <f>IF(AND(F803&lt;&gt;"", H803&lt;&gt;""), WORKDAY(F803, H803, FESTIVOS!A$1:A$55), "")</f>
        <v/>
      </c>
      <c r="K803" s="3"/>
      <c r="L803" s="3" t="str">
        <f t="shared" ca="1" si="41"/>
        <v/>
      </c>
      <c r="M803" s="3" t="str">
        <f t="shared" ca="1" si="42"/>
        <v/>
      </c>
      <c r="N803" s="3"/>
      <c r="O803" s="3"/>
      <c r="P803" s="4" t="str">
        <f>IF(OR(O803="", J803=""), "", NETWORKDAYS(J803, O803,#REF!))</f>
        <v/>
      </c>
    </row>
    <row r="804" spans="1:16" ht="15.75" x14ac:dyDescent="0.25">
      <c r="A804" s="3"/>
      <c r="B804" s="18"/>
      <c r="C804" s="18"/>
      <c r="D804" s="18"/>
      <c r="E804" s="16"/>
      <c r="F804" s="17"/>
      <c r="G804" s="3"/>
      <c r="H804" s="3" t="str">
        <f t="shared" si="40"/>
        <v/>
      </c>
      <c r="I804" s="3" t="str">
        <f ca="1">IF(AND(F804&lt;&gt;"", J804&lt;&gt;""), NETWORKDAYS(TODAY(), J804-1, FESTIVOS!A$1:A$55), "")</f>
        <v/>
      </c>
      <c r="J804" s="4" t="str">
        <f>IF(AND(F804&lt;&gt;"", H804&lt;&gt;""), WORKDAY(F804, H804, FESTIVOS!A$1:A$55), "")</f>
        <v/>
      </c>
      <c r="K804" s="3"/>
      <c r="L804" s="3" t="str">
        <f t="shared" ca="1" si="41"/>
        <v/>
      </c>
      <c r="M804" s="3" t="str">
        <f t="shared" ca="1" si="42"/>
        <v/>
      </c>
      <c r="N804" s="3"/>
      <c r="O804" s="3"/>
      <c r="P804" s="4" t="str">
        <f>IF(OR(O804="", J804=""), "", NETWORKDAYS(J804, O804,#REF!))</f>
        <v/>
      </c>
    </row>
    <row r="805" spans="1:16" ht="15.75" x14ac:dyDescent="0.25">
      <c r="A805" s="3"/>
      <c r="B805" s="18"/>
      <c r="C805" s="18"/>
      <c r="D805" s="18"/>
      <c r="E805" s="16"/>
      <c r="F805" s="17"/>
      <c r="G805" s="3"/>
      <c r="H805" s="3" t="str">
        <f t="shared" si="40"/>
        <v/>
      </c>
      <c r="I805" s="3" t="str">
        <f ca="1">IF(AND(F805&lt;&gt;"", J805&lt;&gt;""), NETWORKDAYS(TODAY(), J805-1, FESTIVOS!A$1:A$55), "")</f>
        <v/>
      </c>
      <c r="J805" s="4" t="str">
        <f>IF(AND(F805&lt;&gt;"", H805&lt;&gt;""), WORKDAY(F805, H805, FESTIVOS!A$1:A$55), "")</f>
        <v/>
      </c>
      <c r="K805" s="3"/>
      <c r="L805" s="3" t="str">
        <f t="shared" ca="1" si="41"/>
        <v/>
      </c>
      <c r="M805" s="3" t="str">
        <f t="shared" ca="1" si="42"/>
        <v/>
      </c>
      <c r="N805" s="3"/>
      <c r="O805" s="3"/>
      <c r="P805" s="4" t="str">
        <f>IF(OR(O805="", J805=""), "", NETWORKDAYS(J805, O805,#REF!))</f>
        <v/>
      </c>
    </row>
    <row r="806" spans="1:16" ht="15.75" x14ac:dyDescent="0.25">
      <c r="A806" s="3"/>
      <c r="B806" s="18"/>
      <c r="C806" s="18"/>
      <c r="D806" s="18"/>
      <c r="E806" s="16"/>
      <c r="F806" s="17"/>
      <c r="G806" s="3"/>
      <c r="H806" s="3" t="str">
        <f t="shared" si="40"/>
        <v/>
      </c>
      <c r="I806" s="3" t="str">
        <f ca="1">IF(AND(F806&lt;&gt;"", J806&lt;&gt;""), NETWORKDAYS(TODAY(), J806-1, FESTIVOS!A$1:A$55), "")</f>
        <v/>
      </c>
      <c r="J806" s="4" t="str">
        <f>IF(AND(F806&lt;&gt;"", H806&lt;&gt;""), WORKDAY(F806, H806, FESTIVOS!A$1:A$55), "")</f>
        <v/>
      </c>
      <c r="K806" s="3"/>
      <c r="L806" s="3" t="str">
        <f t="shared" ca="1" si="41"/>
        <v/>
      </c>
      <c r="M806" s="3" t="str">
        <f t="shared" ca="1" si="42"/>
        <v/>
      </c>
      <c r="N806" s="3"/>
      <c r="O806" s="3"/>
      <c r="P806" s="4" t="str">
        <f>IF(OR(O806="", J806=""), "", NETWORKDAYS(J806, O806,#REF!))</f>
        <v/>
      </c>
    </row>
    <row r="807" spans="1:16" ht="15.75" x14ac:dyDescent="0.25">
      <c r="A807" s="3"/>
      <c r="B807" s="18"/>
      <c r="C807" s="18"/>
      <c r="D807" s="18"/>
      <c r="E807" s="16"/>
      <c r="F807" s="17"/>
      <c r="G807" s="3"/>
      <c r="H807" s="3" t="str">
        <f t="shared" si="40"/>
        <v/>
      </c>
      <c r="I807" s="3" t="str">
        <f ca="1">IF(AND(F807&lt;&gt;"", J807&lt;&gt;""), NETWORKDAYS(TODAY(), J807-1, FESTIVOS!A$1:A$55), "")</f>
        <v/>
      </c>
      <c r="J807" s="4" t="str">
        <f>IF(AND(F807&lt;&gt;"", H807&lt;&gt;""), WORKDAY(F807, H807, FESTIVOS!A$1:A$55), "")</f>
        <v/>
      </c>
      <c r="K807" s="3"/>
      <c r="L807" s="3" t="str">
        <f t="shared" ca="1" si="41"/>
        <v/>
      </c>
      <c r="M807" s="3" t="str">
        <f t="shared" ca="1" si="42"/>
        <v/>
      </c>
      <c r="N807" s="3"/>
      <c r="O807" s="3"/>
      <c r="P807" s="4" t="str">
        <f>IF(OR(O807="", J807=""), "", NETWORKDAYS(J807, O807,#REF!))</f>
        <v/>
      </c>
    </row>
    <row r="808" spans="1:16" ht="15.75" x14ac:dyDescent="0.25">
      <c r="A808" s="3"/>
      <c r="B808" s="18"/>
      <c r="C808" s="18"/>
      <c r="D808" s="18"/>
      <c r="E808" s="16"/>
      <c r="F808" s="17"/>
      <c r="G808" s="3"/>
      <c r="H808" s="3" t="str">
        <f t="shared" si="40"/>
        <v/>
      </c>
      <c r="I808" s="3" t="str">
        <f ca="1">IF(AND(F808&lt;&gt;"", J808&lt;&gt;""), NETWORKDAYS(TODAY(), J808-1, FESTIVOS!A$1:A$55), "")</f>
        <v/>
      </c>
      <c r="J808" s="4" t="str">
        <f>IF(AND(F808&lt;&gt;"", H808&lt;&gt;""), WORKDAY(F808, H808, FESTIVOS!A$1:A$55), "")</f>
        <v/>
      </c>
      <c r="K808" s="3"/>
      <c r="L808" s="3" t="str">
        <f t="shared" ca="1" si="41"/>
        <v/>
      </c>
      <c r="M808" s="3" t="str">
        <f t="shared" ca="1" si="42"/>
        <v/>
      </c>
      <c r="N808" s="3"/>
      <c r="O808" s="3"/>
      <c r="P808" s="4" t="str">
        <f>IF(OR(O808="", J808=""), "", NETWORKDAYS(J808, O808,#REF!))</f>
        <v/>
      </c>
    </row>
    <row r="809" spans="1:16" ht="15.75" x14ac:dyDescent="0.25">
      <c r="A809" s="3"/>
      <c r="B809" s="18"/>
      <c r="C809" s="18"/>
      <c r="D809" s="18"/>
      <c r="E809" s="16"/>
      <c r="F809" s="17"/>
      <c r="G809" s="3"/>
      <c r="H809" s="3" t="str">
        <f t="shared" si="40"/>
        <v/>
      </c>
      <c r="I809" s="3" t="str">
        <f ca="1">IF(AND(F809&lt;&gt;"", J809&lt;&gt;""), NETWORKDAYS(TODAY(), J809-1, FESTIVOS!A$1:A$55), "")</f>
        <v/>
      </c>
      <c r="J809" s="4" t="str">
        <f>IF(AND(F809&lt;&gt;"", H809&lt;&gt;""), WORKDAY(F809, H809, FESTIVOS!A$1:A$55), "")</f>
        <v/>
      </c>
      <c r="K809" s="3"/>
      <c r="L809" s="3" t="str">
        <f t="shared" ca="1" si="41"/>
        <v/>
      </c>
      <c r="M809" s="3" t="str">
        <f t="shared" ca="1" si="42"/>
        <v/>
      </c>
      <c r="N809" s="3"/>
      <c r="O809" s="3"/>
      <c r="P809" s="4" t="str">
        <f>IF(OR(O809="", J809=""), "", NETWORKDAYS(J809, O809,#REF!))</f>
        <v/>
      </c>
    </row>
    <row r="810" spans="1:16" ht="15.75" x14ac:dyDescent="0.25">
      <c r="A810" s="3"/>
      <c r="B810" s="18"/>
      <c r="C810" s="18"/>
      <c r="D810" s="18"/>
      <c r="E810" s="16"/>
      <c r="F810" s="17"/>
      <c r="G810" s="3"/>
      <c r="H810" s="3" t="str">
        <f t="shared" si="40"/>
        <v/>
      </c>
      <c r="I810" s="3" t="str">
        <f ca="1">IF(AND(F810&lt;&gt;"", J810&lt;&gt;""), NETWORKDAYS(TODAY(), J810-1, FESTIVOS!A$1:A$55), "")</f>
        <v/>
      </c>
      <c r="J810" s="4" t="str">
        <f>IF(AND(F810&lt;&gt;"", H810&lt;&gt;""), WORKDAY(F810, H810, FESTIVOS!A$1:A$55), "")</f>
        <v/>
      </c>
      <c r="K810" s="3"/>
      <c r="L810" s="3" t="str">
        <f t="shared" ca="1" si="41"/>
        <v/>
      </c>
      <c r="M810" s="3" t="str">
        <f t="shared" ca="1" si="42"/>
        <v/>
      </c>
      <c r="N810" s="3"/>
      <c r="O810" s="3"/>
      <c r="P810" s="4" t="str">
        <f>IF(OR(O810="", J810=""), "", NETWORKDAYS(J810, O810,#REF!))</f>
        <v/>
      </c>
    </row>
    <row r="811" spans="1:16" ht="15.75" x14ac:dyDescent="0.25">
      <c r="A811" s="3"/>
      <c r="B811" s="18"/>
      <c r="C811" s="18"/>
      <c r="D811" s="18"/>
      <c r="E811" s="16"/>
      <c r="F811" s="17"/>
      <c r="G811" s="3"/>
      <c r="H811" s="3" t="str">
        <f t="shared" si="40"/>
        <v/>
      </c>
      <c r="I811" s="3" t="str">
        <f ca="1">IF(AND(F811&lt;&gt;"", J811&lt;&gt;""), NETWORKDAYS(TODAY(), J811-1, FESTIVOS!A$1:A$55), "")</f>
        <v/>
      </c>
      <c r="J811" s="4" t="str">
        <f>IF(AND(F811&lt;&gt;"", H811&lt;&gt;""), WORKDAY(F811, H811, FESTIVOS!A$1:A$55), "")</f>
        <v/>
      </c>
      <c r="K811" s="3"/>
      <c r="L811" s="3" t="str">
        <f t="shared" ca="1" si="41"/>
        <v/>
      </c>
      <c r="M811" s="3" t="str">
        <f t="shared" ca="1" si="42"/>
        <v/>
      </c>
      <c r="N811" s="3"/>
      <c r="O811" s="3"/>
      <c r="P811" s="4" t="str">
        <f>IF(OR(O811="", J811=""), "", NETWORKDAYS(J811, O811,#REF!))</f>
        <v/>
      </c>
    </row>
    <row r="812" spans="1:16" ht="15.75" x14ac:dyDescent="0.25">
      <c r="A812" s="3"/>
      <c r="B812" s="18"/>
      <c r="C812" s="18"/>
      <c r="D812" s="18"/>
      <c r="E812" s="16"/>
      <c r="F812" s="17"/>
      <c r="G812" s="3"/>
      <c r="H812" s="3" t="str">
        <f t="shared" si="40"/>
        <v/>
      </c>
      <c r="I812" s="3" t="str">
        <f ca="1">IF(AND(F812&lt;&gt;"", J812&lt;&gt;""), NETWORKDAYS(TODAY(), J812-1, FESTIVOS!A$1:A$55), "")</f>
        <v/>
      </c>
      <c r="J812" s="4" t="str">
        <f>IF(AND(F812&lt;&gt;"", H812&lt;&gt;""), WORKDAY(F812, H812, FESTIVOS!A$1:A$55), "")</f>
        <v/>
      </c>
      <c r="K812" s="3"/>
      <c r="L812" s="3" t="str">
        <f t="shared" ca="1" si="41"/>
        <v/>
      </c>
      <c r="M812" s="3" t="str">
        <f t="shared" ca="1" si="42"/>
        <v/>
      </c>
      <c r="N812" s="3"/>
      <c r="O812" s="3"/>
      <c r="P812" s="4" t="str">
        <f>IF(OR(O812="", J812=""), "", NETWORKDAYS(J812, O812,#REF!))</f>
        <v/>
      </c>
    </row>
    <row r="813" spans="1:16" ht="15.75" x14ac:dyDescent="0.25">
      <c r="A813" s="3"/>
      <c r="B813" s="18"/>
      <c r="C813" s="18"/>
      <c r="D813" s="18"/>
      <c r="E813" s="16"/>
      <c r="F813" s="17"/>
      <c r="G813" s="3"/>
      <c r="H813" s="3" t="str">
        <f t="shared" si="40"/>
        <v/>
      </c>
      <c r="I813" s="3" t="str">
        <f ca="1">IF(AND(F813&lt;&gt;"", J813&lt;&gt;""), NETWORKDAYS(TODAY(), J813-1, FESTIVOS!A$1:A$55), "")</f>
        <v/>
      </c>
      <c r="J813" s="4" t="str">
        <f>IF(AND(F813&lt;&gt;"", H813&lt;&gt;""), WORKDAY(F813, H813, FESTIVOS!A$1:A$55), "")</f>
        <v/>
      </c>
      <c r="K813" s="3"/>
      <c r="L813" s="3" t="str">
        <f t="shared" ca="1" si="41"/>
        <v/>
      </c>
      <c r="M813" s="3" t="str">
        <f t="shared" ca="1" si="42"/>
        <v/>
      </c>
      <c r="N813" s="3"/>
      <c r="O813" s="3"/>
      <c r="P813" s="4" t="str">
        <f>IF(OR(O813="", J813=""), "", NETWORKDAYS(J813, O813,#REF!))</f>
        <v/>
      </c>
    </row>
    <row r="814" spans="1:16" ht="15.75" x14ac:dyDescent="0.25">
      <c r="A814" s="3"/>
      <c r="B814" s="18"/>
      <c r="C814" s="18"/>
      <c r="D814" s="18"/>
      <c r="E814" s="16"/>
      <c r="F814" s="17"/>
      <c r="G814" s="3"/>
      <c r="H814" s="3" t="str">
        <f t="shared" si="40"/>
        <v/>
      </c>
      <c r="I814" s="3" t="str">
        <f ca="1">IF(AND(F814&lt;&gt;"", J814&lt;&gt;""), NETWORKDAYS(TODAY(), J814-1, FESTIVOS!A$1:A$55), "")</f>
        <v/>
      </c>
      <c r="J814" s="4" t="str">
        <f>IF(AND(F814&lt;&gt;"", H814&lt;&gt;""), WORKDAY(F814, H814, FESTIVOS!A$1:A$55), "")</f>
        <v/>
      </c>
      <c r="K814" s="3"/>
      <c r="L814" s="3" t="str">
        <f t="shared" ca="1" si="41"/>
        <v/>
      </c>
      <c r="M814" s="3" t="str">
        <f t="shared" ca="1" si="42"/>
        <v/>
      </c>
      <c r="N814" s="3"/>
      <c r="O814" s="3"/>
      <c r="P814" s="4" t="str">
        <f>IF(OR(O814="", J814=""), "", NETWORKDAYS(J814, O814,#REF!))</f>
        <v/>
      </c>
    </row>
    <row r="815" spans="1:16" ht="15.75" x14ac:dyDescent="0.25">
      <c r="A815" s="3"/>
      <c r="B815" s="18"/>
      <c r="C815" s="18"/>
      <c r="D815" s="18"/>
      <c r="E815" s="16"/>
      <c r="F815" s="17"/>
      <c r="G815" s="3"/>
      <c r="H815" s="3" t="str">
        <f t="shared" si="40"/>
        <v/>
      </c>
      <c r="I815" s="3" t="str">
        <f ca="1">IF(AND(F815&lt;&gt;"", J815&lt;&gt;""), NETWORKDAYS(TODAY(), J815-1, FESTIVOS!A$1:A$55), "")</f>
        <v/>
      </c>
      <c r="J815" s="4" t="str">
        <f>IF(AND(F815&lt;&gt;"", H815&lt;&gt;""), WORKDAY(F815, H815, FESTIVOS!A$1:A$55), "")</f>
        <v/>
      </c>
      <c r="K815" s="3"/>
      <c r="L815" s="3" t="str">
        <f t="shared" ca="1" si="41"/>
        <v/>
      </c>
      <c r="M815" s="3" t="str">
        <f t="shared" ca="1" si="42"/>
        <v/>
      </c>
      <c r="N815" s="3"/>
      <c r="O815" s="3"/>
      <c r="P815" s="4" t="str">
        <f>IF(OR(O815="", J815=""), "", NETWORKDAYS(J815, O815,#REF!))</f>
        <v/>
      </c>
    </row>
    <row r="816" spans="1:16" ht="15.75" x14ac:dyDescent="0.25">
      <c r="A816" s="3"/>
      <c r="B816" s="18"/>
      <c r="C816" s="18"/>
      <c r="D816" s="18"/>
      <c r="E816" s="16"/>
      <c r="F816" s="17"/>
      <c r="G816" s="3"/>
      <c r="H816" s="3" t="str">
        <f t="shared" si="40"/>
        <v/>
      </c>
      <c r="I816" s="3" t="str">
        <f ca="1">IF(AND(F816&lt;&gt;"", J816&lt;&gt;""), NETWORKDAYS(TODAY(), J816-1, FESTIVOS!A$1:A$55), "")</f>
        <v/>
      </c>
      <c r="J816" s="4" t="str">
        <f>IF(AND(F816&lt;&gt;"", H816&lt;&gt;""), WORKDAY(F816, H816, FESTIVOS!A$1:A$55), "")</f>
        <v/>
      </c>
      <c r="K816" s="3"/>
      <c r="L816" s="3" t="str">
        <f t="shared" ca="1" si="41"/>
        <v/>
      </c>
      <c r="M816" s="3" t="str">
        <f t="shared" ca="1" si="42"/>
        <v/>
      </c>
      <c r="N816" s="3"/>
      <c r="O816" s="3"/>
      <c r="P816" s="4" t="str">
        <f>IF(OR(O816="", J816=""), "", NETWORKDAYS(J816, O816,#REF!))</f>
        <v/>
      </c>
    </row>
    <row r="817" spans="1:16" ht="15.75" x14ac:dyDescent="0.25">
      <c r="A817" s="3"/>
      <c r="B817" s="18"/>
      <c r="C817" s="18"/>
      <c r="D817" s="18"/>
      <c r="E817" s="16"/>
      <c r="F817" s="17"/>
      <c r="G817" s="3"/>
      <c r="H817" s="3" t="str">
        <f t="shared" si="40"/>
        <v/>
      </c>
      <c r="I817" s="3" t="str">
        <f ca="1">IF(AND(F817&lt;&gt;"", J817&lt;&gt;""), NETWORKDAYS(TODAY(), J817-1, FESTIVOS!A$1:A$55), "")</f>
        <v/>
      </c>
      <c r="J817" s="4" t="str">
        <f>IF(AND(F817&lt;&gt;"", H817&lt;&gt;""), WORKDAY(F817, H817, FESTIVOS!A$1:A$55), "")</f>
        <v/>
      </c>
      <c r="K817" s="3"/>
      <c r="L817" s="3" t="str">
        <f t="shared" ca="1" si="41"/>
        <v/>
      </c>
      <c r="M817" s="3" t="str">
        <f t="shared" ca="1" si="42"/>
        <v/>
      </c>
      <c r="N817" s="3"/>
      <c r="O817" s="3"/>
      <c r="P817" s="4" t="str">
        <f>IF(OR(O817="", J817=""), "", NETWORKDAYS(J817, O817,#REF!))</f>
        <v/>
      </c>
    </row>
    <row r="818" spans="1:16" ht="15.75" x14ac:dyDescent="0.25">
      <c r="A818" s="3"/>
      <c r="B818" s="18"/>
      <c r="C818" s="18"/>
      <c r="D818" s="18"/>
      <c r="E818" s="16"/>
      <c r="F818" s="17"/>
      <c r="G818" s="3"/>
      <c r="H818" s="3" t="str">
        <f t="shared" si="40"/>
        <v/>
      </c>
      <c r="I818" s="3" t="str">
        <f ca="1">IF(AND(F818&lt;&gt;"", J818&lt;&gt;""), NETWORKDAYS(TODAY(), J818-1, FESTIVOS!A$1:A$55), "")</f>
        <v/>
      </c>
      <c r="J818" s="4" t="str">
        <f>IF(AND(F818&lt;&gt;"", H818&lt;&gt;""), WORKDAY(F818, H818, FESTIVOS!A$1:A$55), "")</f>
        <v/>
      </c>
      <c r="K818" s="3"/>
      <c r="L818" s="3" t="str">
        <f t="shared" ca="1" si="41"/>
        <v/>
      </c>
      <c r="M818" s="3" t="str">
        <f t="shared" ca="1" si="42"/>
        <v/>
      </c>
      <c r="N818" s="3"/>
      <c r="O818" s="3"/>
      <c r="P818" s="4" t="str">
        <f>IF(OR(O818="", J818=""), "", NETWORKDAYS(J818, O818,#REF!))</f>
        <v/>
      </c>
    </row>
    <row r="819" spans="1:16" ht="15.75" x14ac:dyDescent="0.25">
      <c r="A819" s="3"/>
      <c r="B819" s="18"/>
      <c r="C819" s="18"/>
      <c r="D819" s="18"/>
      <c r="E819" s="16"/>
      <c r="F819" s="17"/>
      <c r="G819" s="3"/>
      <c r="H819" s="3" t="str">
        <f t="shared" si="40"/>
        <v/>
      </c>
      <c r="I819" s="3" t="str">
        <f ca="1">IF(AND(F819&lt;&gt;"", J819&lt;&gt;""), NETWORKDAYS(TODAY(), J819-1, FESTIVOS!A$1:A$55), "")</f>
        <v/>
      </c>
      <c r="J819" s="4" t="str">
        <f>IF(AND(F819&lt;&gt;"", H819&lt;&gt;""), WORKDAY(F819, H819, FESTIVOS!A$1:A$55), "")</f>
        <v/>
      </c>
      <c r="K819" s="3"/>
      <c r="L819" s="3" t="str">
        <f t="shared" ca="1" si="41"/>
        <v/>
      </c>
      <c r="M819" s="3" t="str">
        <f t="shared" ca="1" si="42"/>
        <v/>
      </c>
      <c r="N819" s="3"/>
      <c r="O819" s="3"/>
      <c r="P819" s="4" t="str">
        <f>IF(OR(O819="", J819=""), "", NETWORKDAYS(J819, O819,#REF!))</f>
        <v/>
      </c>
    </row>
    <row r="820" spans="1:16" ht="15.75" x14ac:dyDescent="0.25">
      <c r="A820" s="3"/>
      <c r="B820" s="18"/>
      <c r="C820" s="18"/>
      <c r="D820" s="18"/>
      <c r="E820" s="16"/>
      <c r="F820" s="17"/>
      <c r="G820" s="3"/>
      <c r="H820" s="3" t="str">
        <f t="shared" si="40"/>
        <v/>
      </c>
      <c r="I820" s="3" t="str">
        <f ca="1">IF(AND(F820&lt;&gt;"", J820&lt;&gt;""), NETWORKDAYS(TODAY(), J820-1, FESTIVOS!A$1:A$55), "")</f>
        <v/>
      </c>
      <c r="J820" s="4" t="str">
        <f>IF(AND(F820&lt;&gt;"", H820&lt;&gt;""), WORKDAY(F820, H820, FESTIVOS!A$1:A$55), "")</f>
        <v/>
      </c>
      <c r="K820" s="3"/>
      <c r="L820" s="3" t="str">
        <f t="shared" ca="1" si="41"/>
        <v/>
      </c>
      <c r="M820" s="3" t="str">
        <f t="shared" ca="1" si="42"/>
        <v/>
      </c>
      <c r="N820" s="3"/>
      <c r="O820" s="3"/>
      <c r="P820" s="4" t="str">
        <f>IF(OR(O820="", J820=""), "", NETWORKDAYS(J820, O820,#REF!))</f>
        <v/>
      </c>
    </row>
    <row r="821" spans="1:16" ht="15.75" x14ac:dyDescent="0.25">
      <c r="A821" s="3"/>
      <c r="B821" s="18"/>
      <c r="C821" s="18"/>
      <c r="D821" s="18"/>
      <c r="E821" s="16"/>
      <c r="F821" s="17"/>
      <c r="G821" s="3"/>
      <c r="H821" s="3" t="str">
        <f t="shared" si="40"/>
        <v/>
      </c>
      <c r="I821" s="3" t="str">
        <f ca="1">IF(AND(F821&lt;&gt;"", J821&lt;&gt;""), NETWORKDAYS(TODAY(), J821-1, FESTIVOS!A$1:A$55), "")</f>
        <v/>
      </c>
      <c r="J821" s="4" t="str">
        <f>IF(AND(F821&lt;&gt;"", H821&lt;&gt;""), WORKDAY(F821, H821, FESTIVOS!A$1:A$55), "")</f>
        <v/>
      </c>
      <c r="K821" s="3"/>
      <c r="L821" s="3" t="str">
        <f t="shared" ca="1" si="41"/>
        <v/>
      </c>
      <c r="M821" s="3" t="str">
        <f t="shared" ca="1" si="42"/>
        <v/>
      </c>
      <c r="N821" s="3"/>
      <c r="O821" s="3"/>
      <c r="P821" s="4" t="str">
        <f>IF(OR(O821="", J821=""), "", NETWORKDAYS(J821, O821,#REF!))</f>
        <v/>
      </c>
    </row>
    <row r="822" spans="1:16" ht="15.75" x14ac:dyDescent="0.25">
      <c r="A822" s="3"/>
      <c r="B822" s="18"/>
      <c r="C822" s="18"/>
      <c r="D822" s="18"/>
      <c r="E822" s="16"/>
      <c r="F822" s="17"/>
      <c r="G822" s="3"/>
      <c r="H822" s="3" t="str">
        <f t="shared" ref="H822:H885" si="43">IF(A822="INFORMACIÓN O DOCUMENTOS", 10, IF(A822="CONSULTA", 30, IF(A822="FACTURACIÓN Y COBROS", 15, IF(A822="VINCULACIÓN Y DESVINCULACIÓN", 15, IF(A822="NO ES DE NUESTRA COMPETENCIA", 5, IF(A822="OTRO", 15, ""))))))</f>
        <v/>
      </c>
      <c r="I822" s="3" t="str">
        <f ca="1">IF(AND(F822&lt;&gt;"", J822&lt;&gt;""), NETWORKDAYS(TODAY(), J822-1, FESTIVOS!A$1:A$55), "")</f>
        <v/>
      </c>
      <c r="J822" s="4" t="str">
        <f>IF(AND(F822&lt;&gt;"", H822&lt;&gt;""), WORKDAY(F822, H822, FESTIVOS!A$1:A$55), "")</f>
        <v/>
      </c>
      <c r="K822" s="3"/>
      <c r="L822" s="3" t="str">
        <f t="shared" ref="L822:L885" ca="1" si="44">IF(I822="", "", MAX(0, I822 - (TODAY() - TODAY())))</f>
        <v/>
      </c>
      <c r="M822" s="3" t="str">
        <f t="shared" ref="M822:M885" ca="1" si="45">IF(OR(I822="", H822=""), "", IF(I822&lt;0, "Vencido", IF(I822&gt;(H822/2), "Supere la mitad", "Bajo la mitad")))</f>
        <v/>
      </c>
      <c r="N822" s="3"/>
      <c r="O822" s="3"/>
      <c r="P822" s="4" t="str">
        <f>IF(OR(O822="", J822=""), "", NETWORKDAYS(J822, O822,#REF!))</f>
        <v/>
      </c>
    </row>
    <row r="823" spans="1:16" ht="15.75" x14ac:dyDescent="0.25">
      <c r="A823" s="3"/>
      <c r="B823" s="18"/>
      <c r="C823" s="18"/>
      <c r="D823" s="18"/>
      <c r="E823" s="16"/>
      <c r="F823" s="17"/>
      <c r="G823" s="3"/>
      <c r="H823" s="3" t="str">
        <f t="shared" si="43"/>
        <v/>
      </c>
      <c r="I823" s="3" t="str">
        <f ca="1">IF(AND(F823&lt;&gt;"", J823&lt;&gt;""), NETWORKDAYS(TODAY(), J823-1, FESTIVOS!A$1:A$55), "")</f>
        <v/>
      </c>
      <c r="J823" s="4" t="str">
        <f>IF(AND(F823&lt;&gt;"", H823&lt;&gt;""), WORKDAY(F823, H823, FESTIVOS!A$1:A$55), "")</f>
        <v/>
      </c>
      <c r="K823" s="3"/>
      <c r="L823" s="3" t="str">
        <f t="shared" ca="1" si="44"/>
        <v/>
      </c>
      <c r="M823" s="3" t="str">
        <f t="shared" ca="1" si="45"/>
        <v/>
      </c>
      <c r="N823" s="3"/>
      <c r="O823" s="3"/>
      <c r="P823" s="4" t="str">
        <f>IF(OR(O823="", J823=""), "", NETWORKDAYS(J823, O823,#REF!))</f>
        <v/>
      </c>
    </row>
    <row r="824" spans="1:16" ht="15.75" x14ac:dyDescent="0.25">
      <c r="A824" s="3"/>
      <c r="B824" s="18"/>
      <c r="C824" s="18"/>
      <c r="D824" s="18"/>
      <c r="E824" s="16"/>
      <c r="F824" s="17"/>
      <c r="G824" s="3"/>
      <c r="H824" s="3" t="str">
        <f t="shared" si="43"/>
        <v/>
      </c>
      <c r="I824" s="3" t="str">
        <f ca="1">IF(AND(F824&lt;&gt;"", J824&lt;&gt;""), NETWORKDAYS(TODAY(), J824-1, FESTIVOS!A$1:A$55), "")</f>
        <v/>
      </c>
      <c r="J824" s="4" t="str">
        <f>IF(AND(F824&lt;&gt;"", H824&lt;&gt;""), WORKDAY(F824, H824, FESTIVOS!A$1:A$55), "")</f>
        <v/>
      </c>
      <c r="K824" s="3"/>
      <c r="L824" s="3" t="str">
        <f t="shared" ca="1" si="44"/>
        <v/>
      </c>
      <c r="M824" s="3" t="str">
        <f t="shared" ca="1" si="45"/>
        <v/>
      </c>
      <c r="N824" s="3"/>
      <c r="O824" s="3"/>
      <c r="P824" s="4" t="str">
        <f>IF(OR(O824="", J824=""), "", NETWORKDAYS(J824, O824,#REF!))</f>
        <v/>
      </c>
    </row>
    <row r="825" spans="1:16" ht="15.75" x14ac:dyDescent="0.25">
      <c r="A825" s="3"/>
      <c r="B825" s="18"/>
      <c r="C825" s="18"/>
      <c r="D825" s="18"/>
      <c r="E825" s="16"/>
      <c r="F825" s="17"/>
      <c r="G825" s="3"/>
      <c r="H825" s="3" t="str">
        <f t="shared" si="43"/>
        <v/>
      </c>
      <c r="I825" s="3" t="str">
        <f ca="1">IF(AND(F825&lt;&gt;"", J825&lt;&gt;""), NETWORKDAYS(TODAY(), J825-1, FESTIVOS!A$1:A$55), "")</f>
        <v/>
      </c>
      <c r="J825" s="4" t="str">
        <f>IF(AND(F825&lt;&gt;"", H825&lt;&gt;""), WORKDAY(F825, H825, FESTIVOS!A$1:A$55), "")</f>
        <v/>
      </c>
      <c r="K825" s="3"/>
      <c r="L825" s="3" t="str">
        <f t="shared" ca="1" si="44"/>
        <v/>
      </c>
      <c r="M825" s="3" t="str">
        <f t="shared" ca="1" si="45"/>
        <v/>
      </c>
      <c r="N825" s="3"/>
      <c r="O825" s="3"/>
      <c r="P825" s="4" t="str">
        <f>IF(OR(O825="", J825=""), "", NETWORKDAYS(J825, O825,#REF!))</f>
        <v/>
      </c>
    </row>
    <row r="826" spans="1:16" ht="15.75" x14ac:dyDescent="0.25">
      <c r="A826" s="3"/>
      <c r="B826" s="18"/>
      <c r="C826" s="18"/>
      <c r="D826" s="18"/>
      <c r="E826" s="16"/>
      <c r="F826" s="17"/>
      <c r="G826" s="3"/>
      <c r="H826" s="3" t="str">
        <f t="shared" si="43"/>
        <v/>
      </c>
      <c r="I826" s="3" t="str">
        <f ca="1">IF(AND(F826&lt;&gt;"", J826&lt;&gt;""), NETWORKDAYS(TODAY(), J826-1, FESTIVOS!A$1:A$55), "")</f>
        <v/>
      </c>
      <c r="J826" s="4" t="str">
        <f>IF(AND(F826&lt;&gt;"", H826&lt;&gt;""), WORKDAY(F826, H826, FESTIVOS!A$1:A$55), "")</f>
        <v/>
      </c>
      <c r="K826" s="3"/>
      <c r="L826" s="3" t="str">
        <f t="shared" ca="1" si="44"/>
        <v/>
      </c>
      <c r="M826" s="3" t="str">
        <f t="shared" ca="1" si="45"/>
        <v/>
      </c>
      <c r="N826" s="3"/>
      <c r="O826" s="3"/>
      <c r="P826" s="4" t="str">
        <f>IF(OR(O826="", J826=""), "", NETWORKDAYS(J826, O826,#REF!))</f>
        <v/>
      </c>
    </row>
    <row r="827" spans="1:16" ht="15.75" x14ac:dyDescent="0.25">
      <c r="A827" s="3"/>
      <c r="B827" s="18"/>
      <c r="C827" s="18"/>
      <c r="D827" s="18"/>
      <c r="E827" s="16"/>
      <c r="F827" s="17"/>
      <c r="G827" s="3"/>
      <c r="H827" s="3" t="str">
        <f t="shared" si="43"/>
        <v/>
      </c>
      <c r="I827" s="3" t="str">
        <f ca="1">IF(AND(F827&lt;&gt;"", J827&lt;&gt;""), NETWORKDAYS(TODAY(), J827-1, FESTIVOS!A$1:A$55), "")</f>
        <v/>
      </c>
      <c r="J827" s="4" t="str">
        <f>IF(AND(F827&lt;&gt;"", H827&lt;&gt;""), WORKDAY(F827, H827, FESTIVOS!A$1:A$55), "")</f>
        <v/>
      </c>
      <c r="K827" s="3"/>
      <c r="L827" s="3" t="str">
        <f t="shared" ca="1" si="44"/>
        <v/>
      </c>
      <c r="M827" s="3" t="str">
        <f t="shared" ca="1" si="45"/>
        <v/>
      </c>
      <c r="N827" s="3"/>
      <c r="O827" s="3"/>
      <c r="P827" s="4" t="str">
        <f>IF(OR(O827="", J827=""), "", NETWORKDAYS(J827, O827,#REF!))</f>
        <v/>
      </c>
    </row>
    <row r="828" spans="1:16" ht="15.75" x14ac:dyDescent="0.25">
      <c r="A828" s="3"/>
      <c r="B828" s="18"/>
      <c r="C828" s="18"/>
      <c r="D828" s="18"/>
      <c r="E828" s="16"/>
      <c r="F828" s="17"/>
      <c r="G828" s="3"/>
      <c r="H828" s="3" t="str">
        <f t="shared" si="43"/>
        <v/>
      </c>
      <c r="I828" s="3" t="str">
        <f ca="1">IF(AND(F828&lt;&gt;"", J828&lt;&gt;""), NETWORKDAYS(TODAY(), J828-1, FESTIVOS!A$1:A$55), "")</f>
        <v/>
      </c>
      <c r="J828" s="4" t="str">
        <f>IF(AND(F828&lt;&gt;"", H828&lt;&gt;""), WORKDAY(F828, H828, FESTIVOS!A$1:A$55), "")</f>
        <v/>
      </c>
      <c r="K828" s="3"/>
      <c r="L828" s="3" t="str">
        <f t="shared" ca="1" si="44"/>
        <v/>
      </c>
      <c r="M828" s="3" t="str">
        <f t="shared" ca="1" si="45"/>
        <v/>
      </c>
      <c r="N828" s="3"/>
      <c r="O828" s="3"/>
      <c r="P828" s="4" t="str">
        <f>IF(OR(O828="", J828=""), "", NETWORKDAYS(J828, O828,#REF!))</f>
        <v/>
      </c>
    </row>
    <row r="829" spans="1:16" ht="15.75" x14ac:dyDescent="0.25">
      <c r="A829" s="3"/>
      <c r="B829" s="18"/>
      <c r="C829" s="18"/>
      <c r="D829" s="18"/>
      <c r="E829" s="16"/>
      <c r="F829" s="17"/>
      <c r="G829" s="3"/>
      <c r="H829" s="3" t="str">
        <f t="shared" si="43"/>
        <v/>
      </c>
      <c r="I829" s="3" t="str">
        <f ca="1">IF(AND(F829&lt;&gt;"", J829&lt;&gt;""), NETWORKDAYS(TODAY(), J829-1, FESTIVOS!A$1:A$55), "")</f>
        <v/>
      </c>
      <c r="J829" s="4" t="str">
        <f>IF(AND(F829&lt;&gt;"", H829&lt;&gt;""), WORKDAY(F829, H829, FESTIVOS!A$1:A$55), "")</f>
        <v/>
      </c>
      <c r="K829" s="3"/>
      <c r="L829" s="3" t="str">
        <f t="shared" ca="1" si="44"/>
        <v/>
      </c>
      <c r="M829" s="3" t="str">
        <f t="shared" ca="1" si="45"/>
        <v/>
      </c>
      <c r="N829" s="3"/>
      <c r="O829" s="3"/>
      <c r="P829" s="4" t="str">
        <f>IF(OR(O829="", J829=""), "", NETWORKDAYS(J829, O829,#REF!))</f>
        <v/>
      </c>
    </row>
    <row r="830" spans="1:16" ht="15.75" x14ac:dyDescent="0.25">
      <c r="A830" s="3"/>
      <c r="B830" s="18"/>
      <c r="C830" s="18"/>
      <c r="D830" s="18"/>
      <c r="E830" s="16"/>
      <c r="F830" s="17"/>
      <c r="G830" s="3"/>
      <c r="H830" s="3" t="str">
        <f t="shared" si="43"/>
        <v/>
      </c>
      <c r="I830" s="3" t="str">
        <f ca="1">IF(AND(F830&lt;&gt;"", J830&lt;&gt;""), NETWORKDAYS(TODAY(), J830-1, FESTIVOS!A$1:A$55), "")</f>
        <v/>
      </c>
      <c r="J830" s="4" t="str">
        <f>IF(AND(F830&lt;&gt;"", H830&lt;&gt;""), WORKDAY(F830, H830, FESTIVOS!A$1:A$55), "")</f>
        <v/>
      </c>
      <c r="K830" s="3"/>
      <c r="L830" s="3" t="str">
        <f t="shared" ca="1" si="44"/>
        <v/>
      </c>
      <c r="M830" s="3" t="str">
        <f t="shared" ca="1" si="45"/>
        <v/>
      </c>
      <c r="N830" s="3"/>
      <c r="O830" s="3"/>
      <c r="P830" s="4" t="str">
        <f>IF(OR(O830="", J830=""), "", NETWORKDAYS(J830, O830,#REF!))</f>
        <v/>
      </c>
    </row>
    <row r="831" spans="1:16" ht="15.75" x14ac:dyDescent="0.25">
      <c r="A831" s="3"/>
      <c r="B831" s="18"/>
      <c r="C831" s="18"/>
      <c r="D831" s="18"/>
      <c r="E831" s="16"/>
      <c r="F831" s="17"/>
      <c r="G831" s="3"/>
      <c r="H831" s="3" t="str">
        <f t="shared" si="43"/>
        <v/>
      </c>
      <c r="I831" s="3" t="str">
        <f ca="1">IF(AND(F831&lt;&gt;"", J831&lt;&gt;""), NETWORKDAYS(TODAY(), J831-1, FESTIVOS!A$1:A$55), "")</f>
        <v/>
      </c>
      <c r="J831" s="4" t="str">
        <f>IF(AND(F831&lt;&gt;"", H831&lt;&gt;""), WORKDAY(F831, H831, FESTIVOS!A$1:A$55), "")</f>
        <v/>
      </c>
      <c r="K831" s="3"/>
      <c r="L831" s="3" t="str">
        <f t="shared" ca="1" si="44"/>
        <v/>
      </c>
      <c r="M831" s="3" t="str">
        <f t="shared" ca="1" si="45"/>
        <v/>
      </c>
      <c r="N831" s="3"/>
      <c r="O831" s="3"/>
      <c r="P831" s="4" t="str">
        <f>IF(OR(O831="", J831=""), "", NETWORKDAYS(J831, O831,#REF!))</f>
        <v/>
      </c>
    </row>
    <row r="832" spans="1:16" ht="15.75" x14ac:dyDescent="0.25">
      <c r="A832" s="3"/>
      <c r="B832" s="18"/>
      <c r="C832" s="18"/>
      <c r="D832" s="18"/>
      <c r="E832" s="16"/>
      <c r="F832" s="17"/>
      <c r="G832" s="3"/>
      <c r="H832" s="3" t="str">
        <f t="shared" si="43"/>
        <v/>
      </c>
      <c r="I832" s="3" t="str">
        <f ca="1">IF(AND(F832&lt;&gt;"", J832&lt;&gt;""), NETWORKDAYS(TODAY(), J832-1, FESTIVOS!A$1:A$55), "")</f>
        <v/>
      </c>
      <c r="J832" s="4" t="str">
        <f>IF(AND(F832&lt;&gt;"", H832&lt;&gt;""), WORKDAY(F832, H832, FESTIVOS!A$1:A$55), "")</f>
        <v/>
      </c>
      <c r="K832" s="3"/>
      <c r="L832" s="3" t="str">
        <f t="shared" ca="1" si="44"/>
        <v/>
      </c>
      <c r="M832" s="3" t="str">
        <f t="shared" ca="1" si="45"/>
        <v/>
      </c>
      <c r="N832" s="3"/>
      <c r="O832" s="3"/>
      <c r="P832" s="4" t="str">
        <f>IF(OR(O832="", J832=""), "", NETWORKDAYS(J832, O832,#REF!))</f>
        <v/>
      </c>
    </row>
    <row r="833" spans="1:16" ht="15.75" x14ac:dyDescent="0.25">
      <c r="A833" s="3"/>
      <c r="B833" s="18"/>
      <c r="C833" s="18"/>
      <c r="D833" s="18"/>
      <c r="E833" s="16"/>
      <c r="F833" s="17"/>
      <c r="G833" s="3"/>
      <c r="H833" s="3" t="str">
        <f t="shared" si="43"/>
        <v/>
      </c>
      <c r="I833" s="3" t="str">
        <f ca="1">IF(AND(F833&lt;&gt;"", J833&lt;&gt;""), NETWORKDAYS(TODAY(), J833-1, FESTIVOS!A$1:A$55), "")</f>
        <v/>
      </c>
      <c r="J833" s="4" t="str">
        <f>IF(AND(F833&lt;&gt;"", H833&lt;&gt;""), WORKDAY(F833, H833, FESTIVOS!A$1:A$55), "")</f>
        <v/>
      </c>
      <c r="K833" s="3"/>
      <c r="L833" s="3" t="str">
        <f t="shared" ca="1" si="44"/>
        <v/>
      </c>
      <c r="M833" s="3" t="str">
        <f t="shared" ca="1" si="45"/>
        <v/>
      </c>
      <c r="N833" s="3"/>
      <c r="O833" s="3"/>
      <c r="P833" s="4" t="str">
        <f>IF(OR(O833="", J833=""), "", NETWORKDAYS(J833, O833,#REF!))</f>
        <v/>
      </c>
    </row>
    <row r="834" spans="1:16" ht="15.75" x14ac:dyDescent="0.25">
      <c r="A834" s="3"/>
      <c r="B834" s="18"/>
      <c r="C834" s="18"/>
      <c r="D834" s="18"/>
      <c r="E834" s="16"/>
      <c r="F834" s="17"/>
      <c r="G834" s="3"/>
      <c r="H834" s="3" t="str">
        <f t="shared" si="43"/>
        <v/>
      </c>
      <c r="I834" s="3" t="str">
        <f ca="1">IF(AND(F834&lt;&gt;"", J834&lt;&gt;""), NETWORKDAYS(TODAY(), J834-1, FESTIVOS!A$1:A$55), "")</f>
        <v/>
      </c>
      <c r="J834" s="4" t="str">
        <f>IF(AND(F834&lt;&gt;"", H834&lt;&gt;""), WORKDAY(F834, H834, FESTIVOS!A$1:A$55), "")</f>
        <v/>
      </c>
      <c r="K834" s="3"/>
      <c r="L834" s="3" t="str">
        <f t="shared" ca="1" si="44"/>
        <v/>
      </c>
      <c r="M834" s="3" t="str">
        <f t="shared" ca="1" si="45"/>
        <v/>
      </c>
      <c r="N834" s="3"/>
      <c r="O834" s="3"/>
      <c r="P834" s="4" t="str">
        <f>IF(OR(O834="", J834=""), "", NETWORKDAYS(J834, O834,#REF!))</f>
        <v/>
      </c>
    </row>
    <row r="835" spans="1:16" ht="15.75" x14ac:dyDescent="0.25">
      <c r="A835" s="3"/>
      <c r="B835" s="18"/>
      <c r="C835" s="18"/>
      <c r="D835" s="18"/>
      <c r="E835" s="16"/>
      <c r="F835" s="17"/>
      <c r="G835" s="3"/>
      <c r="H835" s="3" t="str">
        <f t="shared" si="43"/>
        <v/>
      </c>
      <c r="I835" s="3" t="str">
        <f ca="1">IF(AND(F835&lt;&gt;"", J835&lt;&gt;""), NETWORKDAYS(TODAY(), J835-1, FESTIVOS!A$1:A$55), "")</f>
        <v/>
      </c>
      <c r="J835" s="4" t="str">
        <f>IF(AND(F835&lt;&gt;"", H835&lt;&gt;""), WORKDAY(F835, H835, FESTIVOS!A$1:A$55), "")</f>
        <v/>
      </c>
      <c r="K835" s="3"/>
      <c r="L835" s="3" t="str">
        <f t="shared" ca="1" si="44"/>
        <v/>
      </c>
      <c r="M835" s="3" t="str">
        <f t="shared" ca="1" si="45"/>
        <v/>
      </c>
      <c r="N835" s="3"/>
      <c r="O835" s="3"/>
      <c r="P835" s="4" t="str">
        <f>IF(OR(O835="", J835=""), "", NETWORKDAYS(J835, O835,#REF!))</f>
        <v/>
      </c>
    </row>
    <row r="836" spans="1:16" ht="15.75" x14ac:dyDescent="0.25">
      <c r="A836" s="3"/>
      <c r="B836" s="18"/>
      <c r="C836" s="18"/>
      <c r="D836" s="18"/>
      <c r="E836" s="16"/>
      <c r="F836" s="17"/>
      <c r="G836" s="3"/>
      <c r="H836" s="3" t="str">
        <f t="shared" si="43"/>
        <v/>
      </c>
      <c r="I836" s="3" t="str">
        <f ca="1">IF(AND(F836&lt;&gt;"", J836&lt;&gt;""), NETWORKDAYS(TODAY(), J836-1, FESTIVOS!A$1:A$55), "")</f>
        <v/>
      </c>
      <c r="J836" s="4" t="str">
        <f>IF(AND(F836&lt;&gt;"", H836&lt;&gt;""), WORKDAY(F836, H836, FESTIVOS!A$1:A$55), "")</f>
        <v/>
      </c>
      <c r="K836" s="3"/>
      <c r="L836" s="3" t="str">
        <f t="shared" ca="1" si="44"/>
        <v/>
      </c>
      <c r="M836" s="3" t="str">
        <f t="shared" ca="1" si="45"/>
        <v/>
      </c>
      <c r="N836" s="3"/>
      <c r="O836" s="3"/>
      <c r="P836" s="4" t="str">
        <f>IF(OR(O836="", J836=""), "", NETWORKDAYS(J836, O836,#REF!))</f>
        <v/>
      </c>
    </row>
    <row r="837" spans="1:16" ht="15.75" x14ac:dyDescent="0.25">
      <c r="A837" s="3"/>
      <c r="B837" s="18"/>
      <c r="C837" s="18"/>
      <c r="D837" s="18"/>
      <c r="E837" s="16"/>
      <c r="F837" s="17"/>
      <c r="G837" s="3"/>
      <c r="H837" s="3" t="str">
        <f t="shared" si="43"/>
        <v/>
      </c>
      <c r="I837" s="3" t="str">
        <f ca="1">IF(AND(F837&lt;&gt;"", J837&lt;&gt;""), NETWORKDAYS(TODAY(), J837-1, FESTIVOS!A$1:A$55), "")</f>
        <v/>
      </c>
      <c r="J837" s="4" t="str">
        <f>IF(AND(F837&lt;&gt;"", H837&lt;&gt;""), WORKDAY(F837, H837, FESTIVOS!A$1:A$55), "")</f>
        <v/>
      </c>
      <c r="K837" s="3"/>
      <c r="L837" s="3" t="str">
        <f t="shared" ca="1" si="44"/>
        <v/>
      </c>
      <c r="M837" s="3" t="str">
        <f t="shared" ca="1" si="45"/>
        <v/>
      </c>
      <c r="N837" s="3"/>
      <c r="O837" s="3"/>
      <c r="P837" s="4" t="str">
        <f>IF(OR(O837="", J837=""), "", NETWORKDAYS(J837, O837,#REF!))</f>
        <v/>
      </c>
    </row>
    <row r="838" spans="1:16" ht="15.75" x14ac:dyDescent="0.25">
      <c r="A838" s="3"/>
      <c r="B838" s="18"/>
      <c r="C838" s="18"/>
      <c r="D838" s="18"/>
      <c r="E838" s="16"/>
      <c r="F838" s="17"/>
      <c r="G838" s="3"/>
      <c r="H838" s="3" t="str">
        <f t="shared" si="43"/>
        <v/>
      </c>
      <c r="I838" s="3" t="str">
        <f ca="1">IF(AND(F838&lt;&gt;"", J838&lt;&gt;""), NETWORKDAYS(TODAY(), J838-1, FESTIVOS!A$1:A$55), "")</f>
        <v/>
      </c>
      <c r="J838" s="4" t="str">
        <f>IF(AND(F838&lt;&gt;"", H838&lt;&gt;""), WORKDAY(F838, H838, FESTIVOS!A$1:A$55), "")</f>
        <v/>
      </c>
      <c r="K838" s="3"/>
      <c r="L838" s="3" t="str">
        <f t="shared" ca="1" si="44"/>
        <v/>
      </c>
      <c r="M838" s="3" t="str">
        <f t="shared" ca="1" si="45"/>
        <v/>
      </c>
      <c r="N838" s="3"/>
      <c r="O838" s="3"/>
      <c r="P838" s="4" t="str">
        <f>IF(OR(O838="", J838=""), "", NETWORKDAYS(J838, O838,#REF!))</f>
        <v/>
      </c>
    </row>
    <row r="839" spans="1:16" ht="15.75" x14ac:dyDescent="0.25">
      <c r="A839" s="3"/>
      <c r="B839" s="18"/>
      <c r="C839" s="18"/>
      <c r="D839" s="18"/>
      <c r="E839" s="16"/>
      <c r="F839" s="17"/>
      <c r="G839" s="3"/>
      <c r="H839" s="3" t="str">
        <f t="shared" si="43"/>
        <v/>
      </c>
      <c r="I839" s="3" t="str">
        <f ca="1">IF(AND(F839&lt;&gt;"", J839&lt;&gt;""), NETWORKDAYS(TODAY(), J839-1, FESTIVOS!A$1:A$55), "")</f>
        <v/>
      </c>
      <c r="J839" s="4" t="str">
        <f>IF(AND(F839&lt;&gt;"", H839&lt;&gt;""), WORKDAY(F839, H839, FESTIVOS!A$1:A$55), "")</f>
        <v/>
      </c>
      <c r="K839" s="3"/>
      <c r="L839" s="3" t="str">
        <f t="shared" ca="1" si="44"/>
        <v/>
      </c>
      <c r="M839" s="3" t="str">
        <f t="shared" ca="1" si="45"/>
        <v/>
      </c>
      <c r="N839" s="3"/>
      <c r="O839" s="3"/>
      <c r="P839" s="4" t="str">
        <f>IF(OR(O839="", J839=""), "", NETWORKDAYS(J839, O839,#REF!))</f>
        <v/>
      </c>
    </row>
    <row r="840" spans="1:16" ht="15.75" x14ac:dyDescent="0.25">
      <c r="A840" s="3"/>
      <c r="B840" s="18"/>
      <c r="C840" s="18"/>
      <c r="D840" s="18"/>
      <c r="E840" s="16"/>
      <c r="F840" s="17"/>
      <c r="G840" s="3"/>
      <c r="H840" s="3" t="str">
        <f t="shared" si="43"/>
        <v/>
      </c>
      <c r="I840" s="3" t="str">
        <f ca="1">IF(AND(F840&lt;&gt;"", J840&lt;&gt;""), NETWORKDAYS(TODAY(), J840-1, FESTIVOS!A$1:A$55), "")</f>
        <v/>
      </c>
      <c r="J840" s="4" t="str">
        <f>IF(AND(F840&lt;&gt;"", H840&lt;&gt;""), WORKDAY(F840, H840, FESTIVOS!A$1:A$55), "")</f>
        <v/>
      </c>
      <c r="K840" s="3"/>
      <c r="L840" s="3" t="str">
        <f t="shared" ca="1" si="44"/>
        <v/>
      </c>
      <c r="M840" s="3" t="str">
        <f t="shared" ca="1" si="45"/>
        <v/>
      </c>
      <c r="N840" s="3"/>
      <c r="O840" s="3"/>
      <c r="P840" s="4" t="str">
        <f>IF(OR(O840="", J840=""), "", NETWORKDAYS(J840, O840,#REF!))</f>
        <v/>
      </c>
    </row>
    <row r="841" spans="1:16" ht="15.75" x14ac:dyDescent="0.25">
      <c r="A841" s="3"/>
      <c r="B841" s="18"/>
      <c r="C841" s="18"/>
      <c r="D841" s="18"/>
      <c r="E841" s="16"/>
      <c r="F841" s="17"/>
      <c r="G841" s="3"/>
      <c r="H841" s="3" t="str">
        <f t="shared" si="43"/>
        <v/>
      </c>
      <c r="I841" s="3" t="str">
        <f ca="1">IF(AND(F841&lt;&gt;"", J841&lt;&gt;""), NETWORKDAYS(TODAY(), J841-1, FESTIVOS!A$1:A$55), "")</f>
        <v/>
      </c>
      <c r="J841" s="4" t="str">
        <f>IF(AND(F841&lt;&gt;"", H841&lt;&gt;""), WORKDAY(F841, H841, FESTIVOS!A$1:A$55), "")</f>
        <v/>
      </c>
      <c r="K841" s="3"/>
      <c r="L841" s="3" t="str">
        <f t="shared" ca="1" si="44"/>
        <v/>
      </c>
      <c r="M841" s="3" t="str">
        <f t="shared" ca="1" si="45"/>
        <v/>
      </c>
      <c r="N841" s="3"/>
      <c r="O841" s="3"/>
      <c r="P841" s="4" t="str">
        <f>IF(OR(O841="", J841=""), "", NETWORKDAYS(J841, O841,#REF!))</f>
        <v/>
      </c>
    </row>
    <row r="842" spans="1:16" ht="15.75" x14ac:dyDescent="0.25">
      <c r="A842" s="3"/>
      <c r="B842" s="18"/>
      <c r="C842" s="18"/>
      <c r="D842" s="18"/>
      <c r="E842" s="16"/>
      <c r="F842" s="17"/>
      <c r="G842" s="3"/>
      <c r="H842" s="3" t="str">
        <f t="shared" si="43"/>
        <v/>
      </c>
      <c r="I842" s="3" t="str">
        <f ca="1">IF(AND(F842&lt;&gt;"", J842&lt;&gt;""), NETWORKDAYS(TODAY(), J842-1, FESTIVOS!A$1:A$55), "")</f>
        <v/>
      </c>
      <c r="J842" s="4" t="str">
        <f>IF(AND(F842&lt;&gt;"", H842&lt;&gt;""), WORKDAY(F842, H842, FESTIVOS!A$1:A$55), "")</f>
        <v/>
      </c>
      <c r="K842" s="3"/>
      <c r="L842" s="3" t="str">
        <f t="shared" ca="1" si="44"/>
        <v/>
      </c>
      <c r="M842" s="3" t="str">
        <f t="shared" ca="1" si="45"/>
        <v/>
      </c>
      <c r="N842" s="3"/>
      <c r="O842" s="3"/>
      <c r="P842" s="4" t="str">
        <f>IF(OR(O842="", J842=""), "", NETWORKDAYS(J842, O842,#REF!))</f>
        <v/>
      </c>
    </row>
    <row r="843" spans="1:16" ht="15.75" x14ac:dyDescent="0.25">
      <c r="A843" s="3"/>
      <c r="B843" s="18"/>
      <c r="C843" s="18"/>
      <c r="D843" s="18"/>
      <c r="E843" s="16"/>
      <c r="F843" s="17"/>
      <c r="G843" s="3"/>
      <c r="H843" s="3" t="str">
        <f t="shared" si="43"/>
        <v/>
      </c>
      <c r="I843" s="3" t="str">
        <f ca="1">IF(AND(F843&lt;&gt;"", J843&lt;&gt;""), NETWORKDAYS(TODAY(), J843-1, FESTIVOS!A$1:A$55), "")</f>
        <v/>
      </c>
      <c r="J843" s="4" t="str">
        <f>IF(AND(F843&lt;&gt;"", H843&lt;&gt;""), WORKDAY(F843, H843, FESTIVOS!A$1:A$55), "")</f>
        <v/>
      </c>
      <c r="K843" s="3"/>
      <c r="L843" s="3" t="str">
        <f t="shared" ca="1" si="44"/>
        <v/>
      </c>
      <c r="M843" s="3" t="str">
        <f t="shared" ca="1" si="45"/>
        <v/>
      </c>
      <c r="N843" s="3"/>
      <c r="O843" s="3"/>
      <c r="P843" s="4" t="str">
        <f>IF(OR(O843="", J843=""), "", NETWORKDAYS(J843, O843,#REF!))</f>
        <v/>
      </c>
    </row>
    <row r="844" spans="1:16" ht="15.75" x14ac:dyDescent="0.25">
      <c r="A844" s="3"/>
      <c r="B844" s="18"/>
      <c r="C844" s="18"/>
      <c r="D844" s="18"/>
      <c r="E844" s="16"/>
      <c r="F844" s="17"/>
      <c r="G844" s="3"/>
      <c r="H844" s="3" t="str">
        <f t="shared" si="43"/>
        <v/>
      </c>
      <c r="I844" s="3" t="str">
        <f ca="1">IF(AND(F844&lt;&gt;"", J844&lt;&gt;""), NETWORKDAYS(TODAY(), J844-1, FESTIVOS!A$1:A$55), "")</f>
        <v/>
      </c>
      <c r="J844" s="4" t="str">
        <f>IF(AND(F844&lt;&gt;"", H844&lt;&gt;""), WORKDAY(F844, H844, FESTIVOS!A$1:A$55), "")</f>
        <v/>
      </c>
      <c r="K844" s="3"/>
      <c r="L844" s="3" t="str">
        <f t="shared" ca="1" si="44"/>
        <v/>
      </c>
      <c r="M844" s="3" t="str">
        <f t="shared" ca="1" si="45"/>
        <v/>
      </c>
      <c r="N844" s="3"/>
      <c r="O844" s="3"/>
      <c r="P844" s="4" t="str">
        <f>IF(OR(O844="", J844=""), "", NETWORKDAYS(J844, O844,#REF!))</f>
        <v/>
      </c>
    </row>
    <row r="845" spans="1:16" ht="15.75" x14ac:dyDescent="0.25">
      <c r="A845" s="3"/>
      <c r="B845" s="18"/>
      <c r="C845" s="18"/>
      <c r="D845" s="18"/>
      <c r="E845" s="16"/>
      <c r="F845" s="17"/>
      <c r="G845" s="3"/>
      <c r="H845" s="3" t="str">
        <f t="shared" si="43"/>
        <v/>
      </c>
      <c r="I845" s="3" t="str">
        <f ca="1">IF(AND(F845&lt;&gt;"", J845&lt;&gt;""), NETWORKDAYS(TODAY(), J845-1, FESTIVOS!A$1:A$55), "")</f>
        <v/>
      </c>
      <c r="J845" s="4" t="str">
        <f>IF(AND(F845&lt;&gt;"", H845&lt;&gt;""), WORKDAY(F845, H845, FESTIVOS!A$1:A$55), "")</f>
        <v/>
      </c>
      <c r="K845" s="3"/>
      <c r="L845" s="3" t="str">
        <f t="shared" ca="1" si="44"/>
        <v/>
      </c>
      <c r="M845" s="3" t="str">
        <f t="shared" ca="1" si="45"/>
        <v/>
      </c>
      <c r="N845" s="3"/>
      <c r="O845" s="3"/>
      <c r="P845" s="4" t="str">
        <f>IF(OR(O845="", J845=""), "", NETWORKDAYS(J845, O845,#REF!))</f>
        <v/>
      </c>
    </row>
    <row r="846" spans="1:16" ht="15.75" x14ac:dyDescent="0.25">
      <c r="A846" s="3"/>
      <c r="B846" s="18"/>
      <c r="C846" s="18"/>
      <c r="D846" s="18"/>
      <c r="E846" s="16"/>
      <c r="F846" s="17"/>
      <c r="G846" s="3"/>
      <c r="H846" s="3" t="str">
        <f t="shared" si="43"/>
        <v/>
      </c>
      <c r="I846" s="3" t="str">
        <f ca="1">IF(AND(F846&lt;&gt;"", J846&lt;&gt;""), NETWORKDAYS(TODAY(), J846-1, FESTIVOS!A$1:A$55), "")</f>
        <v/>
      </c>
      <c r="J846" s="4" t="str">
        <f>IF(AND(F846&lt;&gt;"", H846&lt;&gt;""), WORKDAY(F846, H846, FESTIVOS!A$1:A$55), "")</f>
        <v/>
      </c>
      <c r="K846" s="3"/>
      <c r="L846" s="3" t="str">
        <f t="shared" ca="1" si="44"/>
        <v/>
      </c>
      <c r="M846" s="3" t="str">
        <f t="shared" ca="1" si="45"/>
        <v/>
      </c>
      <c r="N846" s="3"/>
      <c r="O846" s="3"/>
      <c r="P846" s="4" t="str">
        <f>IF(OR(O846="", J846=""), "", NETWORKDAYS(J846, O846,#REF!))</f>
        <v/>
      </c>
    </row>
    <row r="847" spans="1:16" ht="15.75" x14ac:dyDescent="0.25">
      <c r="A847" s="3"/>
      <c r="B847" s="18"/>
      <c r="C847" s="18"/>
      <c r="D847" s="18"/>
      <c r="E847" s="16"/>
      <c r="F847" s="17"/>
      <c r="G847" s="3"/>
      <c r="H847" s="3" t="str">
        <f t="shared" si="43"/>
        <v/>
      </c>
      <c r="I847" s="3" t="str">
        <f ca="1">IF(AND(F847&lt;&gt;"", J847&lt;&gt;""), NETWORKDAYS(TODAY(), J847-1, FESTIVOS!A$1:A$55), "")</f>
        <v/>
      </c>
      <c r="J847" s="4" t="str">
        <f>IF(AND(F847&lt;&gt;"", H847&lt;&gt;""), WORKDAY(F847, H847, FESTIVOS!A$1:A$55), "")</f>
        <v/>
      </c>
      <c r="K847" s="3"/>
      <c r="L847" s="3" t="str">
        <f t="shared" ca="1" si="44"/>
        <v/>
      </c>
      <c r="M847" s="3" t="str">
        <f t="shared" ca="1" si="45"/>
        <v/>
      </c>
      <c r="N847" s="3"/>
      <c r="O847" s="3"/>
      <c r="P847" s="4" t="str">
        <f>IF(OR(O847="", J847=""), "", NETWORKDAYS(J847, O847,#REF!))</f>
        <v/>
      </c>
    </row>
    <row r="848" spans="1:16" ht="15.75" x14ac:dyDescent="0.25">
      <c r="A848" s="3"/>
      <c r="B848" s="18"/>
      <c r="C848" s="18"/>
      <c r="D848" s="18"/>
      <c r="E848" s="16"/>
      <c r="F848" s="17"/>
      <c r="G848" s="3"/>
      <c r="H848" s="3" t="str">
        <f t="shared" si="43"/>
        <v/>
      </c>
      <c r="I848" s="3" t="str">
        <f ca="1">IF(AND(F848&lt;&gt;"", J848&lt;&gt;""), NETWORKDAYS(TODAY(), J848-1, FESTIVOS!A$1:A$55), "")</f>
        <v/>
      </c>
      <c r="J848" s="4" t="str">
        <f>IF(AND(F848&lt;&gt;"", H848&lt;&gt;""), WORKDAY(F848, H848, FESTIVOS!A$1:A$55), "")</f>
        <v/>
      </c>
      <c r="K848" s="3"/>
      <c r="L848" s="3" t="str">
        <f t="shared" ca="1" si="44"/>
        <v/>
      </c>
      <c r="M848" s="3" t="str">
        <f t="shared" ca="1" si="45"/>
        <v/>
      </c>
      <c r="N848" s="3"/>
      <c r="O848" s="3"/>
      <c r="P848" s="4" t="str">
        <f>IF(OR(O848="", J848=""), "", NETWORKDAYS(J848, O848,#REF!))</f>
        <v/>
      </c>
    </row>
    <row r="849" spans="1:16" ht="15.75" x14ac:dyDescent="0.25">
      <c r="A849" s="3"/>
      <c r="B849" s="18"/>
      <c r="C849" s="18"/>
      <c r="D849" s="18"/>
      <c r="E849" s="16"/>
      <c r="F849" s="17"/>
      <c r="G849" s="3"/>
      <c r="H849" s="3" t="str">
        <f t="shared" si="43"/>
        <v/>
      </c>
      <c r="I849" s="3" t="str">
        <f ca="1">IF(AND(F849&lt;&gt;"", J849&lt;&gt;""), NETWORKDAYS(TODAY(), J849-1, FESTIVOS!A$1:A$55), "")</f>
        <v/>
      </c>
      <c r="J849" s="4" t="str">
        <f>IF(AND(F849&lt;&gt;"", H849&lt;&gt;""), WORKDAY(F849, H849, FESTIVOS!A$1:A$55), "")</f>
        <v/>
      </c>
      <c r="K849" s="3"/>
      <c r="L849" s="3" t="str">
        <f t="shared" ca="1" si="44"/>
        <v/>
      </c>
      <c r="M849" s="3" t="str">
        <f t="shared" ca="1" si="45"/>
        <v/>
      </c>
      <c r="N849" s="3"/>
      <c r="O849" s="3"/>
      <c r="P849" s="4" t="str">
        <f>IF(OR(O849="", J849=""), "", NETWORKDAYS(J849, O849,#REF!))</f>
        <v/>
      </c>
    </row>
    <row r="850" spans="1:16" ht="15.75" x14ac:dyDescent="0.25">
      <c r="A850" s="3"/>
      <c r="B850" s="18"/>
      <c r="C850" s="18"/>
      <c r="D850" s="18"/>
      <c r="E850" s="16"/>
      <c r="F850" s="17"/>
      <c r="G850" s="3"/>
      <c r="H850" s="3" t="str">
        <f t="shared" si="43"/>
        <v/>
      </c>
      <c r="I850" s="3" t="str">
        <f ca="1">IF(AND(F850&lt;&gt;"", J850&lt;&gt;""), NETWORKDAYS(TODAY(), J850-1, FESTIVOS!A$1:A$55), "")</f>
        <v/>
      </c>
      <c r="J850" s="4" t="str">
        <f>IF(AND(F850&lt;&gt;"", H850&lt;&gt;""), WORKDAY(F850, H850, FESTIVOS!A$1:A$55), "")</f>
        <v/>
      </c>
      <c r="K850" s="3"/>
      <c r="L850" s="3" t="str">
        <f t="shared" ca="1" si="44"/>
        <v/>
      </c>
      <c r="M850" s="3" t="str">
        <f t="shared" ca="1" si="45"/>
        <v/>
      </c>
      <c r="N850" s="3"/>
      <c r="O850" s="3"/>
      <c r="P850" s="4" t="str">
        <f>IF(OR(O850="", J850=""), "", NETWORKDAYS(J850, O850,#REF!))</f>
        <v/>
      </c>
    </row>
    <row r="851" spans="1:16" ht="15.75" x14ac:dyDescent="0.25">
      <c r="A851" s="3"/>
      <c r="B851" s="18"/>
      <c r="C851" s="18"/>
      <c r="D851" s="18"/>
      <c r="E851" s="16"/>
      <c r="F851" s="17"/>
      <c r="G851" s="3"/>
      <c r="H851" s="3" t="str">
        <f t="shared" si="43"/>
        <v/>
      </c>
      <c r="I851" s="3" t="str">
        <f ca="1">IF(AND(F851&lt;&gt;"", J851&lt;&gt;""), NETWORKDAYS(TODAY(), J851-1, FESTIVOS!A$1:A$55), "")</f>
        <v/>
      </c>
      <c r="J851" s="4" t="str">
        <f>IF(AND(F851&lt;&gt;"", H851&lt;&gt;""), WORKDAY(F851, H851, FESTIVOS!A$1:A$55), "")</f>
        <v/>
      </c>
      <c r="K851" s="3"/>
      <c r="L851" s="3" t="str">
        <f t="shared" ca="1" si="44"/>
        <v/>
      </c>
      <c r="M851" s="3" t="str">
        <f t="shared" ca="1" si="45"/>
        <v/>
      </c>
      <c r="N851" s="3"/>
      <c r="O851" s="3"/>
      <c r="P851" s="4" t="str">
        <f>IF(OR(O851="", J851=""), "", NETWORKDAYS(J851, O851,#REF!))</f>
        <v/>
      </c>
    </row>
    <row r="852" spans="1:16" ht="15.75" x14ac:dyDescent="0.25">
      <c r="A852" s="3"/>
      <c r="B852" s="18"/>
      <c r="C852" s="18"/>
      <c r="D852" s="18"/>
      <c r="E852" s="16"/>
      <c r="F852" s="17"/>
      <c r="G852" s="3"/>
      <c r="H852" s="3" t="str">
        <f t="shared" si="43"/>
        <v/>
      </c>
      <c r="I852" s="3" t="str">
        <f ca="1">IF(AND(F852&lt;&gt;"", J852&lt;&gt;""), NETWORKDAYS(TODAY(), J852-1, FESTIVOS!A$1:A$55), "")</f>
        <v/>
      </c>
      <c r="J852" s="4" t="str">
        <f>IF(AND(F852&lt;&gt;"", H852&lt;&gt;""), WORKDAY(F852, H852, FESTIVOS!A$1:A$55), "")</f>
        <v/>
      </c>
      <c r="K852" s="3"/>
      <c r="L852" s="3" t="str">
        <f t="shared" ca="1" si="44"/>
        <v/>
      </c>
      <c r="M852" s="3" t="str">
        <f t="shared" ca="1" si="45"/>
        <v/>
      </c>
      <c r="N852" s="3"/>
      <c r="O852" s="3"/>
      <c r="P852" s="4" t="str">
        <f>IF(OR(O852="", J852=""), "", NETWORKDAYS(J852, O852,#REF!))</f>
        <v/>
      </c>
    </row>
    <row r="853" spans="1:16" ht="15.75" x14ac:dyDescent="0.25">
      <c r="A853" s="3"/>
      <c r="B853" s="18"/>
      <c r="C853" s="18"/>
      <c r="D853" s="18"/>
      <c r="E853" s="16"/>
      <c r="F853" s="17"/>
      <c r="G853" s="3"/>
      <c r="H853" s="3" t="str">
        <f t="shared" si="43"/>
        <v/>
      </c>
      <c r="I853" s="3" t="str">
        <f ca="1">IF(AND(F853&lt;&gt;"", J853&lt;&gt;""), NETWORKDAYS(TODAY(), J853-1, FESTIVOS!A$1:A$55), "")</f>
        <v/>
      </c>
      <c r="J853" s="4" t="str">
        <f>IF(AND(F853&lt;&gt;"", H853&lt;&gt;""), WORKDAY(F853, H853, FESTIVOS!A$1:A$55), "")</f>
        <v/>
      </c>
      <c r="K853" s="3"/>
      <c r="L853" s="3" t="str">
        <f t="shared" ca="1" si="44"/>
        <v/>
      </c>
      <c r="M853" s="3" t="str">
        <f t="shared" ca="1" si="45"/>
        <v/>
      </c>
      <c r="N853" s="3"/>
      <c r="O853" s="3"/>
      <c r="P853" s="4" t="str">
        <f>IF(OR(O853="", J853=""), "", NETWORKDAYS(J853, O853,#REF!))</f>
        <v/>
      </c>
    </row>
    <row r="854" spans="1:16" ht="15.75" x14ac:dyDescent="0.25">
      <c r="A854" s="3"/>
      <c r="B854" s="18"/>
      <c r="C854" s="18"/>
      <c r="D854" s="18"/>
      <c r="E854" s="16"/>
      <c r="F854" s="17"/>
      <c r="G854" s="3"/>
      <c r="H854" s="3" t="str">
        <f t="shared" si="43"/>
        <v/>
      </c>
      <c r="I854" s="3" t="str">
        <f ca="1">IF(AND(F854&lt;&gt;"", J854&lt;&gt;""), NETWORKDAYS(TODAY(), J854-1, FESTIVOS!A$1:A$55), "")</f>
        <v/>
      </c>
      <c r="J854" s="4" t="str">
        <f>IF(AND(F854&lt;&gt;"", H854&lt;&gt;""), WORKDAY(F854, H854, FESTIVOS!A$1:A$55), "")</f>
        <v/>
      </c>
      <c r="K854" s="3"/>
      <c r="L854" s="3" t="str">
        <f t="shared" ca="1" si="44"/>
        <v/>
      </c>
      <c r="M854" s="3" t="str">
        <f t="shared" ca="1" si="45"/>
        <v/>
      </c>
      <c r="N854" s="3"/>
      <c r="O854" s="3"/>
      <c r="P854" s="4" t="str">
        <f>IF(OR(O854="", J854=""), "", NETWORKDAYS(J854, O854,#REF!))</f>
        <v/>
      </c>
    </row>
    <row r="855" spans="1:16" ht="15.75" x14ac:dyDescent="0.25">
      <c r="A855" s="3"/>
      <c r="B855" s="18"/>
      <c r="C855" s="18"/>
      <c r="D855" s="18"/>
      <c r="E855" s="16"/>
      <c r="F855" s="17"/>
      <c r="G855" s="3"/>
      <c r="H855" s="3" t="str">
        <f t="shared" si="43"/>
        <v/>
      </c>
      <c r="I855" s="3" t="str">
        <f ca="1">IF(AND(F855&lt;&gt;"", J855&lt;&gt;""), NETWORKDAYS(TODAY(), J855-1, FESTIVOS!A$1:A$55), "")</f>
        <v/>
      </c>
      <c r="J855" s="4" t="str">
        <f>IF(AND(F855&lt;&gt;"", H855&lt;&gt;""), WORKDAY(F855, H855, FESTIVOS!A$1:A$55), "")</f>
        <v/>
      </c>
      <c r="K855" s="3"/>
      <c r="L855" s="3" t="str">
        <f t="shared" ca="1" si="44"/>
        <v/>
      </c>
      <c r="M855" s="3" t="str">
        <f t="shared" ca="1" si="45"/>
        <v/>
      </c>
      <c r="N855" s="3"/>
      <c r="O855" s="3"/>
      <c r="P855" s="4" t="str">
        <f>IF(OR(O855="", J855=""), "", NETWORKDAYS(J855, O855,#REF!))</f>
        <v/>
      </c>
    </row>
    <row r="856" spans="1:16" ht="15.75" x14ac:dyDescent="0.25">
      <c r="A856" s="3"/>
      <c r="B856" s="18"/>
      <c r="C856" s="18"/>
      <c r="D856" s="18"/>
      <c r="E856" s="16"/>
      <c r="F856" s="17"/>
      <c r="G856" s="3"/>
      <c r="H856" s="3" t="str">
        <f t="shared" si="43"/>
        <v/>
      </c>
      <c r="I856" s="3" t="str">
        <f ca="1">IF(AND(F856&lt;&gt;"", J856&lt;&gt;""), NETWORKDAYS(TODAY(), J856-1, FESTIVOS!A$1:A$55), "")</f>
        <v/>
      </c>
      <c r="J856" s="4" t="str">
        <f>IF(AND(F856&lt;&gt;"", H856&lt;&gt;""), WORKDAY(F856, H856, FESTIVOS!A$1:A$55), "")</f>
        <v/>
      </c>
      <c r="K856" s="3"/>
      <c r="L856" s="3" t="str">
        <f t="shared" ca="1" si="44"/>
        <v/>
      </c>
      <c r="M856" s="3" t="str">
        <f t="shared" ca="1" si="45"/>
        <v/>
      </c>
      <c r="N856" s="3"/>
      <c r="O856" s="3"/>
      <c r="P856" s="4" t="str">
        <f>IF(OR(O856="", J856=""), "", NETWORKDAYS(J856, O856,#REF!))</f>
        <v/>
      </c>
    </row>
    <row r="857" spans="1:16" ht="15.75" x14ac:dyDescent="0.25">
      <c r="A857" s="3"/>
      <c r="B857" s="18"/>
      <c r="C857" s="18"/>
      <c r="D857" s="18"/>
      <c r="E857" s="16"/>
      <c r="F857" s="17"/>
      <c r="G857" s="3"/>
      <c r="H857" s="3" t="str">
        <f t="shared" si="43"/>
        <v/>
      </c>
      <c r="I857" s="3" t="str">
        <f ca="1">IF(AND(F857&lt;&gt;"", J857&lt;&gt;""), NETWORKDAYS(TODAY(), J857-1, FESTIVOS!A$1:A$55), "")</f>
        <v/>
      </c>
      <c r="J857" s="4" t="str">
        <f>IF(AND(F857&lt;&gt;"", H857&lt;&gt;""), WORKDAY(F857, H857, FESTIVOS!A$1:A$55), "")</f>
        <v/>
      </c>
      <c r="K857" s="3"/>
      <c r="L857" s="3" t="str">
        <f t="shared" ca="1" si="44"/>
        <v/>
      </c>
      <c r="M857" s="3" t="str">
        <f t="shared" ca="1" si="45"/>
        <v/>
      </c>
      <c r="N857" s="3"/>
      <c r="O857" s="3"/>
      <c r="P857" s="4" t="str">
        <f>IF(OR(O857="", J857=""), "", NETWORKDAYS(J857, O857,#REF!))</f>
        <v/>
      </c>
    </row>
    <row r="858" spans="1:16" ht="15.75" x14ac:dyDescent="0.25">
      <c r="A858" s="3"/>
      <c r="B858" s="18"/>
      <c r="C858" s="18"/>
      <c r="D858" s="18"/>
      <c r="E858" s="16"/>
      <c r="F858" s="17"/>
      <c r="G858" s="3"/>
      <c r="H858" s="3" t="str">
        <f t="shared" si="43"/>
        <v/>
      </c>
      <c r="I858" s="3" t="str">
        <f ca="1">IF(AND(F858&lt;&gt;"", J858&lt;&gt;""), NETWORKDAYS(TODAY(), J858-1, FESTIVOS!A$1:A$55), "")</f>
        <v/>
      </c>
      <c r="J858" s="4" t="str">
        <f>IF(AND(F858&lt;&gt;"", H858&lt;&gt;""), WORKDAY(F858, H858, FESTIVOS!A$1:A$55), "")</f>
        <v/>
      </c>
      <c r="K858" s="3"/>
      <c r="L858" s="3" t="str">
        <f t="shared" ca="1" si="44"/>
        <v/>
      </c>
      <c r="M858" s="3" t="str">
        <f t="shared" ca="1" si="45"/>
        <v/>
      </c>
      <c r="N858" s="3"/>
      <c r="O858" s="3"/>
      <c r="P858" s="4" t="str">
        <f>IF(OR(O858="", J858=""), "", NETWORKDAYS(J858, O858,#REF!))</f>
        <v/>
      </c>
    </row>
    <row r="859" spans="1:16" ht="15.75" x14ac:dyDescent="0.25">
      <c r="A859" s="3"/>
      <c r="B859" s="18"/>
      <c r="C859" s="18"/>
      <c r="D859" s="18"/>
      <c r="E859" s="16"/>
      <c r="F859" s="17"/>
      <c r="G859" s="3"/>
      <c r="H859" s="3" t="str">
        <f t="shared" si="43"/>
        <v/>
      </c>
      <c r="I859" s="3" t="str">
        <f ca="1">IF(AND(F859&lt;&gt;"", J859&lt;&gt;""), NETWORKDAYS(TODAY(), J859-1, FESTIVOS!A$1:A$55), "")</f>
        <v/>
      </c>
      <c r="J859" s="4" t="str">
        <f>IF(AND(F859&lt;&gt;"", H859&lt;&gt;""), WORKDAY(F859, H859, FESTIVOS!A$1:A$55), "")</f>
        <v/>
      </c>
      <c r="K859" s="3"/>
      <c r="L859" s="3" t="str">
        <f t="shared" ca="1" si="44"/>
        <v/>
      </c>
      <c r="M859" s="3" t="str">
        <f t="shared" ca="1" si="45"/>
        <v/>
      </c>
      <c r="N859" s="3"/>
      <c r="O859" s="3"/>
      <c r="P859" s="4" t="str">
        <f>IF(OR(O859="", J859=""), "", NETWORKDAYS(J859, O859,#REF!))</f>
        <v/>
      </c>
    </row>
    <row r="860" spans="1:16" ht="15.75" x14ac:dyDescent="0.25">
      <c r="A860" s="3"/>
      <c r="B860" s="18"/>
      <c r="C860" s="18"/>
      <c r="D860" s="18"/>
      <c r="E860" s="16"/>
      <c r="F860" s="17"/>
      <c r="G860" s="3"/>
      <c r="H860" s="3" t="str">
        <f t="shared" si="43"/>
        <v/>
      </c>
      <c r="I860" s="3" t="str">
        <f ca="1">IF(AND(F860&lt;&gt;"", J860&lt;&gt;""), NETWORKDAYS(TODAY(), J860-1, FESTIVOS!A$1:A$55), "")</f>
        <v/>
      </c>
      <c r="J860" s="4" t="str">
        <f>IF(AND(F860&lt;&gt;"", H860&lt;&gt;""), WORKDAY(F860, H860, FESTIVOS!A$1:A$55), "")</f>
        <v/>
      </c>
      <c r="K860" s="3"/>
      <c r="L860" s="3" t="str">
        <f t="shared" ca="1" si="44"/>
        <v/>
      </c>
      <c r="M860" s="3" t="str">
        <f t="shared" ca="1" si="45"/>
        <v/>
      </c>
      <c r="N860" s="3"/>
      <c r="O860" s="3"/>
      <c r="P860" s="4" t="str">
        <f>IF(OR(O860="", J860=""), "", NETWORKDAYS(J860, O860,#REF!))</f>
        <v/>
      </c>
    </row>
    <row r="861" spans="1:16" ht="15.75" x14ac:dyDescent="0.25">
      <c r="A861" s="3"/>
      <c r="B861" s="18"/>
      <c r="C861" s="18"/>
      <c r="D861" s="18"/>
      <c r="E861" s="16"/>
      <c r="F861" s="17"/>
      <c r="G861" s="3"/>
      <c r="H861" s="3" t="str">
        <f t="shared" si="43"/>
        <v/>
      </c>
      <c r="I861" s="3" t="str">
        <f ca="1">IF(AND(F861&lt;&gt;"", J861&lt;&gt;""), NETWORKDAYS(TODAY(), J861-1, FESTIVOS!A$1:A$55), "")</f>
        <v/>
      </c>
      <c r="J861" s="4" t="str">
        <f>IF(AND(F861&lt;&gt;"", H861&lt;&gt;""), WORKDAY(F861, H861, FESTIVOS!A$1:A$55), "")</f>
        <v/>
      </c>
      <c r="K861" s="3"/>
      <c r="L861" s="3" t="str">
        <f t="shared" ca="1" si="44"/>
        <v/>
      </c>
      <c r="M861" s="3" t="str">
        <f t="shared" ca="1" si="45"/>
        <v/>
      </c>
      <c r="N861" s="3"/>
      <c r="O861" s="3"/>
      <c r="P861" s="4" t="str">
        <f>IF(OR(O861="", J861=""), "", NETWORKDAYS(J861, O861,#REF!))</f>
        <v/>
      </c>
    </row>
    <row r="862" spans="1:16" ht="15.75" x14ac:dyDescent="0.25">
      <c r="A862" s="3"/>
      <c r="B862" s="18"/>
      <c r="C862" s="18"/>
      <c r="D862" s="18"/>
      <c r="E862" s="16"/>
      <c r="F862" s="17"/>
      <c r="G862" s="3"/>
      <c r="H862" s="3" t="str">
        <f t="shared" si="43"/>
        <v/>
      </c>
      <c r="I862" s="3" t="str">
        <f ca="1">IF(AND(F862&lt;&gt;"", J862&lt;&gt;""), NETWORKDAYS(TODAY(), J862-1, FESTIVOS!A$1:A$55), "")</f>
        <v/>
      </c>
      <c r="J862" s="4" t="str">
        <f>IF(AND(F862&lt;&gt;"", H862&lt;&gt;""), WORKDAY(F862, H862, FESTIVOS!A$1:A$55), "")</f>
        <v/>
      </c>
      <c r="K862" s="3"/>
      <c r="L862" s="3" t="str">
        <f t="shared" ca="1" si="44"/>
        <v/>
      </c>
      <c r="M862" s="3" t="str">
        <f t="shared" ca="1" si="45"/>
        <v/>
      </c>
      <c r="N862" s="3"/>
      <c r="O862" s="3"/>
      <c r="P862" s="4" t="str">
        <f>IF(OR(O862="", J862=""), "", NETWORKDAYS(J862, O862,#REF!))</f>
        <v/>
      </c>
    </row>
    <row r="863" spans="1:16" ht="15.75" x14ac:dyDescent="0.25">
      <c r="A863" s="3"/>
      <c r="B863" s="18"/>
      <c r="C863" s="18"/>
      <c r="D863" s="18"/>
      <c r="E863" s="16"/>
      <c r="F863" s="17"/>
      <c r="G863" s="3"/>
      <c r="H863" s="3" t="str">
        <f t="shared" si="43"/>
        <v/>
      </c>
      <c r="I863" s="3" t="str">
        <f ca="1">IF(AND(F863&lt;&gt;"", J863&lt;&gt;""), NETWORKDAYS(TODAY(), J863-1, FESTIVOS!A$1:A$55), "")</f>
        <v/>
      </c>
      <c r="J863" s="4" t="str">
        <f>IF(AND(F863&lt;&gt;"", H863&lt;&gt;""), WORKDAY(F863, H863, FESTIVOS!A$1:A$55), "")</f>
        <v/>
      </c>
      <c r="K863" s="3"/>
      <c r="L863" s="3" t="str">
        <f t="shared" ca="1" si="44"/>
        <v/>
      </c>
      <c r="M863" s="3" t="str">
        <f t="shared" ca="1" si="45"/>
        <v/>
      </c>
      <c r="N863" s="3"/>
      <c r="O863" s="3"/>
      <c r="P863" s="4" t="str">
        <f>IF(OR(O863="", J863=""), "", NETWORKDAYS(J863, O863,#REF!))</f>
        <v/>
      </c>
    </row>
    <row r="864" spans="1:16" ht="15.75" x14ac:dyDescent="0.25">
      <c r="A864" s="3"/>
      <c r="B864" s="18"/>
      <c r="C864" s="18"/>
      <c r="D864" s="18"/>
      <c r="E864" s="16"/>
      <c r="F864" s="17"/>
      <c r="G864" s="3"/>
      <c r="H864" s="3" t="str">
        <f t="shared" si="43"/>
        <v/>
      </c>
      <c r="I864" s="3" t="str">
        <f ca="1">IF(AND(F864&lt;&gt;"", J864&lt;&gt;""), NETWORKDAYS(TODAY(), J864-1, FESTIVOS!A$1:A$55), "")</f>
        <v/>
      </c>
      <c r="J864" s="4" t="str">
        <f>IF(AND(F864&lt;&gt;"", H864&lt;&gt;""), WORKDAY(F864, H864, FESTIVOS!A$1:A$55), "")</f>
        <v/>
      </c>
      <c r="K864" s="3"/>
      <c r="L864" s="3" t="str">
        <f t="shared" ca="1" si="44"/>
        <v/>
      </c>
      <c r="M864" s="3" t="str">
        <f t="shared" ca="1" si="45"/>
        <v/>
      </c>
      <c r="N864" s="3"/>
      <c r="O864" s="3"/>
      <c r="P864" s="4" t="str">
        <f>IF(OR(O864="", J864=""), "", NETWORKDAYS(J864, O864,#REF!))</f>
        <v/>
      </c>
    </row>
    <row r="865" spans="1:16" ht="15.75" x14ac:dyDescent="0.25">
      <c r="A865" s="3"/>
      <c r="B865" s="18"/>
      <c r="C865" s="18"/>
      <c r="D865" s="18"/>
      <c r="E865" s="16"/>
      <c r="F865" s="17"/>
      <c r="G865" s="3"/>
      <c r="H865" s="3" t="str">
        <f t="shared" si="43"/>
        <v/>
      </c>
      <c r="I865" s="3" t="str">
        <f ca="1">IF(AND(F865&lt;&gt;"", J865&lt;&gt;""), NETWORKDAYS(TODAY(), J865-1, FESTIVOS!A$1:A$55), "")</f>
        <v/>
      </c>
      <c r="J865" s="4" t="str">
        <f>IF(AND(F865&lt;&gt;"", H865&lt;&gt;""), WORKDAY(F865, H865, FESTIVOS!A$1:A$55), "")</f>
        <v/>
      </c>
      <c r="K865" s="3"/>
      <c r="L865" s="3" t="str">
        <f t="shared" ca="1" si="44"/>
        <v/>
      </c>
      <c r="M865" s="3" t="str">
        <f t="shared" ca="1" si="45"/>
        <v/>
      </c>
      <c r="N865" s="3"/>
      <c r="O865" s="3"/>
      <c r="P865" s="4" t="str">
        <f>IF(OR(O865="", J865=""), "", NETWORKDAYS(J865, O865,#REF!))</f>
        <v/>
      </c>
    </row>
    <row r="866" spans="1:16" ht="15.75" x14ac:dyDescent="0.25">
      <c r="A866" s="3"/>
      <c r="B866" s="18"/>
      <c r="C866" s="18"/>
      <c r="D866" s="18"/>
      <c r="E866" s="16"/>
      <c r="F866" s="17"/>
      <c r="G866" s="3"/>
      <c r="H866" s="3" t="str">
        <f t="shared" si="43"/>
        <v/>
      </c>
      <c r="I866" s="3" t="str">
        <f ca="1">IF(AND(F866&lt;&gt;"", J866&lt;&gt;""), NETWORKDAYS(TODAY(), J866-1, FESTIVOS!A$1:A$55), "")</f>
        <v/>
      </c>
      <c r="J866" s="4" t="str">
        <f>IF(AND(F866&lt;&gt;"", H866&lt;&gt;""), WORKDAY(F866, H866, FESTIVOS!A$1:A$55), "")</f>
        <v/>
      </c>
      <c r="K866" s="3"/>
      <c r="L866" s="3" t="str">
        <f t="shared" ca="1" si="44"/>
        <v/>
      </c>
      <c r="M866" s="3" t="str">
        <f t="shared" ca="1" si="45"/>
        <v/>
      </c>
      <c r="N866" s="3"/>
      <c r="O866" s="3"/>
      <c r="P866" s="4" t="str">
        <f>IF(OR(O866="", J866=""), "", NETWORKDAYS(J866, O866,#REF!))</f>
        <v/>
      </c>
    </row>
    <row r="867" spans="1:16" ht="15.75" x14ac:dyDescent="0.25">
      <c r="A867" s="3"/>
      <c r="B867" s="18"/>
      <c r="C867" s="18"/>
      <c r="D867" s="18"/>
      <c r="E867" s="16"/>
      <c r="F867" s="17"/>
      <c r="G867" s="3"/>
      <c r="H867" s="3" t="str">
        <f t="shared" si="43"/>
        <v/>
      </c>
      <c r="I867" s="3" t="str">
        <f ca="1">IF(AND(F867&lt;&gt;"", J867&lt;&gt;""), NETWORKDAYS(TODAY(), J867-1, FESTIVOS!A$1:A$55), "")</f>
        <v/>
      </c>
      <c r="J867" s="4" t="str">
        <f>IF(AND(F867&lt;&gt;"", H867&lt;&gt;""), WORKDAY(F867, H867, FESTIVOS!A$1:A$55), "")</f>
        <v/>
      </c>
      <c r="K867" s="3"/>
      <c r="L867" s="3" t="str">
        <f t="shared" ca="1" si="44"/>
        <v/>
      </c>
      <c r="M867" s="3" t="str">
        <f t="shared" ca="1" si="45"/>
        <v/>
      </c>
      <c r="N867" s="3"/>
      <c r="O867" s="3"/>
      <c r="P867" s="4" t="str">
        <f>IF(OR(O867="", J867=""), "", NETWORKDAYS(J867, O867,#REF!))</f>
        <v/>
      </c>
    </row>
    <row r="868" spans="1:16" ht="15.75" x14ac:dyDescent="0.25">
      <c r="A868" s="3"/>
      <c r="B868" s="18"/>
      <c r="C868" s="18"/>
      <c r="D868" s="18"/>
      <c r="E868" s="16"/>
      <c r="F868" s="17"/>
      <c r="G868" s="3"/>
      <c r="H868" s="3" t="str">
        <f t="shared" si="43"/>
        <v/>
      </c>
      <c r="I868" s="3" t="str">
        <f ca="1">IF(AND(F868&lt;&gt;"", J868&lt;&gt;""), NETWORKDAYS(TODAY(), J868-1, FESTIVOS!A$1:A$55), "")</f>
        <v/>
      </c>
      <c r="J868" s="4" t="str">
        <f>IF(AND(F868&lt;&gt;"", H868&lt;&gt;""), WORKDAY(F868, H868, FESTIVOS!A$1:A$55), "")</f>
        <v/>
      </c>
      <c r="K868" s="3"/>
      <c r="L868" s="3" t="str">
        <f t="shared" ca="1" si="44"/>
        <v/>
      </c>
      <c r="M868" s="3" t="str">
        <f t="shared" ca="1" si="45"/>
        <v/>
      </c>
      <c r="N868" s="3"/>
      <c r="O868" s="3"/>
      <c r="P868" s="4" t="str">
        <f>IF(OR(O868="", J868=""), "", NETWORKDAYS(J868, O868,#REF!))</f>
        <v/>
      </c>
    </row>
    <row r="869" spans="1:16" ht="15.75" x14ac:dyDescent="0.25">
      <c r="A869" s="3"/>
      <c r="B869" s="18"/>
      <c r="C869" s="18"/>
      <c r="D869" s="18"/>
      <c r="E869" s="16"/>
      <c r="F869" s="17"/>
      <c r="G869" s="3"/>
      <c r="H869" s="3" t="str">
        <f t="shared" si="43"/>
        <v/>
      </c>
      <c r="I869" s="3" t="str">
        <f ca="1">IF(AND(F869&lt;&gt;"", J869&lt;&gt;""), NETWORKDAYS(TODAY(), J869-1, FESTIVOS!A$1:A$55), "")</f>
        <v/>
      </c>
      <c r="J869" s="4" t="str">
        <f>IF(AND(F869&lt;&gt;"", H869&lt;&gt;""), WORKDAY(F869, H869, FESTIVOS!A$1:A$55), "")</f>
        <v/>
      </c>
      <c r="K869" s="3"/>
      <c r="L869" s="3" t="str">
        <f t="shared" ca="1" si="44"/>
        <v/>
      </c>
      <c r="M869" s="3" t="str">
        <f t="shared" ca="1" si="45"/>
        <v/>
      </c>
      <c r="N869" s="3"/>
      <c r="O869" s="3"/>
      <c r="P869" s="4" t="str">
        <f>IF(OR(O869="", J869=""), "", NETWORKDAYS(J869, O869,#REF!))</f>
        <v/>
      </c>
    </row>
    <row r="870" spans="1:16" ht="15.75" x14ac:dyDescent="0.25">
      <c r="A870" s="3"/>
      <c r="B870" s="18"/>
      <c r="C870" s="18"/>
      <c r="D870" s="18"/>
      <c r="E870" s="16"/>
      <c r="F870" s="17"/>
      <c r="G870" s="3"/>
      <c r="H870" s="3" t="str">
        <f t="shared" si="43"/>
        <v/>
      </c>
      <c r="I870" s="3" t="str">
        <f ca="1">IF(AND(F870&lt;&gt;"", J870&lt;&gt;""), NETWORKDAYS(TODAY(), J870-1, FESTIVOS!A$1:A$55), "")</f>
        <v/>
      </c>
      <c r="J870" s="4" t="str">
        <f>IF(AND(F870&lt;&gt;"", H870&lt;&gt;""), WORKDAY(F870, H870, FESTIVOS!A$1:A$55), "")</f>
        <v/>
      </c>
      <c r="K870" s="3"/>
      <c r="L870" s="3" t="str">
        <f t="shared" ca="1" si="44"/>
        <v/>
      </c>
      <c r="M870" s="3" t="str">
        <f t="shared" ca="1" si="45"/>
        <v/>
      </c>
      <c r="N870" s="3"/>
      <c r="O870" s="3"/>
      <c r="P870" s="4" t="str">
        <f>IF(OR(O870="", J870=""), "", NETWORKDAYS(J870, O870,#REF!))</f>
        <v/>
      </c>
    </row>
    <row r="871" spans="1:16" ht="15.75" x14ac:dyDescent="0.25">
      <c r="A871" s="3"/>
      <c r="B871" s="18"/>
      <c r="C871" s="18"/>
      <c r="D871" s="18"/>
      <c r="E871" s="16"/>
      <c r="F871" s="17"/>
      <c r="G871" s="3"/>
      <c r="H871" s="3" t="str">
        <f t="shared" si="43"/>
        <v/>
      </c>
      <c r="I871" s="3" t="str">
        <f ca="1">IF(AND(F871&lt;&gt;"", J871&lt;&gt;""), NETWORKDAYS(TODAY(), J871-1, FESTIVOS!A$1:A$55), "")</f>
        <v/>
      </c>
      <c r="J871" s="4" t="str">
        <f>IF(AND(F871&lt;&gt;"", H871&lt;&gt;""), WORKDAY(F871, H871, FESTIVOS!A$1:A$55), "")</f>
        <v/>
      </c>
      <c r="K871" s="3"/>
      <c r="L871" s="3" t="str">
        <f t="shared" ca="1" si="44"/>
        <v/>
      </c>
      <c r="M871" s="3" t="str">
        <f t="shared" ca="1" si="45"/>
        <v/>
      </c>
      <c r="N871" s="3"/>
      <c r="O871" s="3"/>
      <c r="P871" s="4" t="str">
        <f>IF(OR(O871="", J871=""), "", NETWORKDAYS(J871, O871,#REF!))</f>
        <v/>
      </c>
    </row>
    <row r="872" spans="1:16" ht="15.75" x14ac:dyDescent="0.25">
      <c r="A872" s="3"/>
      <c r="B872" s="18"/>
      <c r="C872" s="18"/>
      <c r="D872" s="18"/>
      <c r="E872" s="16"/>
      <c r="F872" s="17"/>
      <c r="G872" s="3"/>
      <c r="H872" s="3" t="str">
        <f t="shared" si="43"/>
        <v/>
      </c>
      <c r="I872" s="3" t="str">
        <f ca="1">IF(AND(F872&lt;&gt;"", J872&lt;&gt;""), NETWORKDAYS(TODAY(), J872-1, FESTIVOS!A$1:A$55), "")</f>
        <v/>
      </c>
      <c r="J872" s="4" t="str">
        <f>IF(AND(F872&lt;&gt;"", H872&lt;&gt;""), WORKDAY(F872, H872, FESTIVOS!A$1:A$55), "")</f>
        <v/>
      </c>
      <c r="K872" s="3"/>
      <c r="L872" s="3" t="str">
        <f t="shared" ca="1" si="44"/>
        <v/>
      </c>
      <c r="M872" s="3" t="str">
        <f t="shared" ca="1" si="45"/>
        <v/>
      </c>
      <c r="N872" s="3"/>
      <c r="O872" s="3"/>
      <c r="P872" s="4" t="str">
        <f>IF(OR(O872="", J872=""), "", NETWORKDAYS(J872, O872,#REF!))</f>
        <v/>
      </c>
    </row>
    <row r="873" spans="1:16" ht="15.75" x14ac:dyDescent="0.25">
      <c r="A873" s="3"/>
      <c r="B873" s="18"/>
      <c r="C873" s="18"/>
      <c r="D873" s="18"/>
      <c r="E873" s="16"/>
      <c r="F873" s="17"/>
      <c r="G873" s="3"/>
      <c r="H873" s="3" t="str">
        <f t="shared" si="43"/>
        <v/>
      </c>
      <c r="I873" s="3" t="str">
        <f ca="1">IF(AND(F873&lt;&gt;"", J873&lt;&gt;""), NETWORKDAYS(TODAY(), J873-1, FESTIVOS!A$1:A$55), "")</f>
        <v/>
      </c>
      <c r="J873" s="4" t="str">
        <f>IF(AND(F873&lt;&gt;"", H873&lt;&gt;""), WORKDAY(F873, H873, FESTIVOS!A$1:A$55), "")</f>
        <v/>
      </c>
      <c r="K873" s="3"/>
      <c r="L873" s="3" t="str">
        <f t="shared" ca="1" si="44"/>
        <v/>
      </c>
      <c r="M873" s="3" t="str">
        <f t="shared" ca="1" si="45"/>
        <v/>
      </c>
      <c r="N873" s="3"/>
      <c r="O873" s="3"/>
      <c r="P873" s="4" t="str">
        <f>IF(OR(O873="", J873=""), "", NETWORKDAYS(J873, O873,#REF!))</f>
        <v/>
      </c>
    </row>
    <row r="874" spans="1:16" ht="15.75" x14ac:dyDescent="0.25">
      <c r="A874" s="3"/>
      <c r="B874" s="18"/>
      <c r="C874" s="18"/>
      <c r="D874" s="18"/>
      <c r="E874" s="16"/>
      <c r="F874" s="17"/>
      <c r="G874" s="3"/>
      <c r="H874" s="3" t="str">
        <f t="shared" si="43"/>
        <v/>
      </c>
      <c r="I874" s="3" t="str">
        <f ca="1">IF(AND(F874&lt;&gt;"", J874&lt;&gt;""), NETWORKDAYS(TODAY(), J874-1, FESTIVOS!A$1:A$55), "")</f>
        <v/>
      </c>
      <c r="J874" s="4" t="str">
        <f>IF(AND(F874&lt;&gt;"", H874&lt;&gt;""), WORKDAY(F874, H874, FESTIVOS!A$1:A$55), "")</f>
        <v/>
      </c>
      <c r="K874" s="3"/>
      <c r="L874" s="3" t="str">
        <f t="shared" ca="1" si="44"/>
        <v/>
      </c>
      <c r="M874" s="3" t="str">
        <f t="shared" ca="1" si="45"/>
        <v/>
      </c>
      <c r="N874" s="3"/>
      <c r="O874" s="3"/>
      <c r="P874" s="4" t="str">
        <f>IF(OR(O874="", J874=""), "", NETWORKDAYS(J874, O874,#REF!))</f>
        <v/>
      </c>
    </row>
    <row r="875" spans="1:16" ht="15.75" x14ac:dyDescent="0.25">
      <c r="A875" s="3"/>
      <c r="B875" s="18"/>
      <c r="C875" s="18"/>
      <c r="D875" s="18"/>
      <c r="E875" s="16"/>
      <c r="F875" s="17"/>
      <c r="G875" s="3"/>
      <c r="H875" s="3" t="str">
        <f t="shared" si="43"/>
        <v/>
      </c>
      <c r="I875" s="3" t="str">
        <f ca="1">IF(AND(F875&lt;&gt;"", J875&lt;&gt;""), NETWORKDAYS(TODAY(), J875-1, FESTIVOS!A$1:A$55), "")</f>
        <v/>
      </c>
      <c r="J875" s="4" t="str">
        <f>IF(AND(F875&lt;&gt;"", H875&lt;&gt;""), WORKDAY(F875, H875, FESTIVOS!A$1:A$55), "")</f>
        <v/>
      </c>
      <c r="K875" s="3"/>
      <c r="L875" s="3" t="str">
        <f t="shared" ca="1" si="44"/>
        <v/>
      </c>
      <c r="M875" s="3" t="str">
        <f t="shared" ca="1" si="45"/>
        <v/>
      </c>
      <c r="N875" s="3"/>
      <c r="O875" s="3"/>
      <c r="P875" s="4" t="str">
        <f>IF(OR(O875="", J875=""), "", NETWORKDAYS(J875, O875,#REF!))</f>
        <v/>
      </c>
    </row>
    <row r="876" spans="1:16" ht="15.75" x14ac:dyDescent="0.25">
      <c r="A876" s="3"/>
      <c r="B876" s="18"/>
      <c r="C876" s="18"/>
      <c r="D876" s="18"/>
      <c r="E876" s="16"/>
      <c r="F876" s="17"/>
      <c r="G876" s="3"/>
      <c r="H876" s="3" t="str">
        <f t="shared" si="43"/>
        <v/>
      </c>
      <c r="I876" s="3" t="str">
        <f ca="1">IF(AND(F876&lt;&gt;"", J876&lt;&gt;""), NETWORKDAYS(TODAY(), J876-1, FESTIVOS!A$1:A$55), "")</f>
        <v/>
      </c>
      <c r="J876" s="4" t="str">
        <f>IF(AND(F876&lt;&gt;"", H876&lt;&gt;""), WORKDAY(F876, H876, FESTIVOS!A$1:A$55), "")</f>
        <v/>
      </c>
      <c r="K876" s="3"/>
      <c r="L876" s="3" t="str">
        <f t="shared" ca="1" si="44"/>
        <v/>
      </c>
      <c r="M876" s="3" t="str">
        <f t="shared" ca="1" si="45"/>
        <v/>
      </c>
      <c r="N876" s="3"/>
      <c r="O876" s="3"/>
      <c r="P876" s="4" t="str">
        <f>IF(OR(O876="", J876=""), "", NETWORKDAYS(J876, O876,#REF!))</f>
        <v/>
      </c>
    </row>
    <row r="877" spans="1:16" ht="15.75" x14ac:dyDescent="0.25">
      <c r="A877" s="3"/>
      <c r="B877" s="18"/>
      <c r="C877" s="18"/>
      <c r="D877" s="18"/>
      <c r="E877" s="16"/>
      <c r="F877" s="17"/>
      <c r="G877" s="3"/>
      <c r="H877" s="3" t="str">
        <f t="shared" si="43"/>
        <v/>
      </c>
      <c r="I877" s="3" t="str">
        <f ca="1">IF(AND(F877&lt;&gt;"", J877&lt;&gt;""), NETWORKDAYS(TODAY(), J877-1, FESTIVOS!A$1:A$55), "")</f>
        <v/>
      </c>
      <c r="J877" s="4" t="str">
        <f>IF(AND(F877&lt;&gt;"", H877&lt;&gt;""), WORKDAY(F877, H877, FESTIVOS!A$1:A$55), "")</f>
        <v/>
      </c>
      <c r="K877" s="3"/>
      <c r="L877" s="3" t="str">
        <f t="shared" ca="1" si="44"/>
        <v/>
      </c>
      <c r="M877" s="3" t="str">
        <f t="shared" ca="1" si="45"/>
        <v/>
      </c>
      <c r="N877" s="3"/>
      <c r="O877" s="3"/>
      <c r="P877" s="4" t="str">
        <f>IF(OR(O877="", J877=""), "", NETWORKDAYS(J877, O877,#REF!))</f>
        <v/>
      </c>
    </row>
    <row r="878" spans="1:16" ht="15.75" x14ac:dyDescent="0.25">
      <c r="A878" s="3"/>
      <c r="B878" s="18"/>
      <c r="C878" s="18"/>
      <c r="D878" s="18"/>
      <c r="E878" s="16"/>
      <c r="F878" s="17"/>
      <c r="G878" s="3"/>
      <c r="H878" s="3" t="str">
        <f t="shared" si="43"/>
        <v/>
      </c>
      <c r="I878" s="3" t="str">
        <f ca="1">IF(AND(F878&lt;&gt;"", J878&lt;&gt;""), NETWORKDAYS(TODAY(), J878-1, FESTIVOS!A$1:A$55), "")</f>
        <v/>
      </c>
      <c r="J878" s="4" t="str">
        <f>IF(AND(F878&lt;&gt;"", H878&lt;&gt;""), WORKDAY(F878, H878, FESTIVOS!A$1:A$55), "")</f>
        <v/>
      </c>
      <c r="K878" s="3"/>
      <c r="L878" s="3" t="str">
        <f t="shared" ca="1" si="44"/>
        <v/>
      </c>
      <c r="M878" s="3" t="str">
        <f t="shared" ca="1" si="45"/>
        <v/>
      </c>
      <c r="N878" s="3"/>
      <c r="O878" s="3"/>
      <c r="P878" s="4" t="str">
        <f>IF(OR(O878="", J878=""), "", NETWORKDAYS(J878, O878,#REF!))</f>
        <v/>
      </c>
    </row>
    <row r="879" spans="1:16" ht="15.75" x14ac:dyDescent="0.25">
      <c r="A879" s="3"/>
      <c r="B879" s="18"/>
      <c r="C879" s="18"/>
      <c r="D879" s="18"/>
      <c r="E879" s="16"/>
      <c r="F879" s="17"/>
      <c r="G879" s="3"/>
      <c r="H879" s="3" t="str">
        <f t="shared" si="43"/>
        <v/>
      </c>
      <c r="I879" s="3" t="str">
        <f ca="1">IF(AND(F879&lt;&gt;"", J879&lt;&gt;""), NETWORKDAYS(TODAY(), J879-1, FESTIVOS!A$1:A$55), "")</f>
        <v/>
      </c>
      <c r="J879" s="4" t="str">
        <f>IF(AND(F879&lt;&gt;"", H879&lt;&gt;""), WORKDAY(F879, H879, FESTIVOS!A$1:A$55), "")</f>
        <v/>
      </c>
      <c r="K879" s="3"/>
      <c r="L879" s="3" t="str">
        <f t="shared" ca="1" si="44"/>
        <v/>
      </c>
      <c r="M879" s="3" t="str">
        <f t="shared" ca="1" si="45"/>
        <v/>
      </c>
      <c r="N879" s="3"/>
      <c r="O879" s="3"/>
      <c r="P879" s="4" t="str">
        <f>IF(OR(O879="", J879=""), "", NETWORKDAYS(J879, O879,#REF!))</f>
        <v/>
      </c>
    </row>
    <row r="880" spans="1:16" ht="15.75" x14ac:dyDescent="0.25">
      <c r="A880" s="3"/>
      <c r="B880" s="18"/>
      <c r="C880" s="18"/>
      <c r="D880" s="18"/>
      <c r="E880" s="16"/>
      <c r="F880" s="17"/>
      <c r="G880" s="3"/>
      <c r="H880" s="3" t="str">
        <f t="shared" si="43"/>
        <v/>
      </c>
      <c r="I880" s="3" t="str">
        <f ca="1">IF(AND(F880&lt;&gt;"", J880&lt;&gt;""), NETWORKDAYS(TODAY(), J880-1, FESTIVOS!A$1:A$55), "")</f>
        <v/>
      </c>
      <c r="J880" s="4" t="str">
        <f>IF(AND(F880&lt;&gt;"", H880&lt;&gt;""), WORKDAY(F880, H880, FESTIVOS!A$1:A$55), "")</f>
        <v/>
      </c>
      <c r="K880" s="3"/>
      <c r="L880" s="3" t="str">
        <f t="shared" ca="1" si="44"/>
        <v/>
      </c>
      <c r="M880" s="3" t="str">
        <f t="shared" ca="1" si="45"/>
        <v/>
      </c>
      <c r="N880" s="3"/>
      <c r="O880" s="3"/>
      <c r="P880" s="4" t="str">
        <f>IF(OR(O880="", J880=""), "", NETWORKDAYS(J880, O880,#REF!))</f>
        <v/>
      </c>
    </row>
    <row r="881" spans="1:16" ht="15.75" x14ac:dyDescent="0.25">
      <c r="A881" s="3"/>
      <c r="B881" s="18"/>
      <c r="C881" s="18"/>
      <c r="D881" s="18"/>
      <c r="E881" s="16"/>
      <c r="F881" s="17"/>
      <c r="G881" s="3"/>
      <c r="H881" s="3" t="str">
        <f t="shared" si="43"/>
        <v/>
      </c>
      <c r="I881" s="3" t="str">
        <f ca="1">IF(AND(F881&lt;&gt;"", J881&lt;&gt;""), NETWORKDAYS(TODAY(), J881-1, FESTIVOS!A$1:A$55), "")</f>
        <v/>
      </c>
      <c r="J881" s="4" t="str">
        <f>IF(AND(F881&lt;&gt;"", H881&lt;&gt;""), WORKDAY(F881, H881, FESTIVOS!A$1:A$55), "")</f>
        <v/>
      </c>
      <c r="K881" s="3"/>
      <c r="L881" s="3" t="str">
        <f t="shared" ca="1" si="44"/>
        <v/>
      </c>
      <c r="M881" s="3" t="str">
        <f t="shared" ca="1" si="45"/>
        <v/>
      </c>
      <c r="N881" s="3"/>
      <c r="O881" s="3"/>
      <c r="P881" s="4" t="str">
        <f>IF(OR(O881="", J881=""), "", NETWORKDAYS(J881, O881,#REF!))</f>
        <v/>
      </c>
    </row>
    <row r="882" spans="1:16" ht="15.75" x14ac:dyDescent="0.25">
      <c r="A882" s="3"/>
      <c r="B882" s="18"/>
      <c r="C882" s="18"/>
      <c r="D882" s="18"/>
      <c r="E882" s="16"/>
      <c r="F882" s="17"/>
      <c r="G882" s="3"/>
      <c r="H882" s="3" t="str">
        <f t="shared" si="43"/>
        <v/>
      </c>
      <c r="I882" s="3" t="str">
        <f ca="1">IF(AND(F882&lt;&gt;"", J882&lt;&gt;""), NETWORKDAYS(TODAY(), J882-1, FESTIVOS!A$1:A$55), "")</f>
        <v/>
      </c>
      <c r="J882" s="4" t="str">
        <f>IF(AND(F882&lt;&gt;"", H882&lt;&gt;""), WORKDAY(F882, H882, FESTIVOS!A$1:A$55), "")</f>
        <v/>
      </c>
      <c r="K882" s="3"/>
      <c r="L882" s="3" t="str">
        <f t="shared" ca="1" si="44"/>
        <v/>
      </c>
      <c r="M882" s="3" t="str">
        <f t="shared" ca="1" si="45"/>
        <v/>
      </c>
      <c r="N882" s="3"/>
      <c r="O882" s="3"/>
      <c r="P882" s="4" t="str">
        <f>IF(OR(O882="", J882=""), "", NETWORKDAYS(J882, O882,#REF!))</f>
        <v/>
      </c>
    </row>
    <row r="883" spans="1:16" ht="15.75" x14ac:dyDescent="0.25">
      <c r="A883" s="3"/>
      <c r="B883" s="18"/>
      <c r="C883" s="18"/>
      <c r="D883" s="18"/>
      <c r="E883" s="16"/>
      <c r="F883" s="17"/>
      <c r="G883" s="3"/>
      <c r="H883" s="3" t="str">
        <f t="shared" si="43"/>
        <v/>
      </c>
      <c r="I883" s="3" t="str">
        <f ca="1">IF(AND(F883&lt;&gt;"", J883&lt;&gt;""), NETWORKDAYS(TODAY(), J883-1, FESTIVOS!A$1:A$55), "")</f>
        <v/>
      </c>
      <c r="J883" s="4" t="str">
        <f>IF(AND(F883&lt;&gt;"", H883&lt;&gt;""), WORKDAY(F883, H883, FESTIVOS!A$1:A$55), "")</f>
        <v/>
      </c>
      <c r="K883" s="3"/>
      <c r="L883" s="3" t="str">
        <f t="shared" ca="1" si="44"/>
        <v/>
      </c>
      <c r="M883" s="3" t="str">
        <f t="shared" ca="1" si="45"/>
        <v/>
      </c>
      <c r="N883" s="3"/>
      <c r="O883" s="3"/>
      <c r="P883" s="4" t="str">
        <f>IF(OR(O883="", J883=""), "", NETWORKDAYS(J883, O883,#REF!))</f>
        <v/>
      </c>
    </row>
    <row r="884" spans="1:16" ht="15.75" x14ac:dyDescent="0.25">
      <c r="A884" s="3"/>
      <c r="B884" s="18"/>
      <c r="C884" s="18"/>
      <c r="D884" s="18"/>
      <c r="E884" s="16"/>
      <c r="F884" s="17"/>
      <c r="G884" s="3"/>
      <c r="H884" s="3" t="str">
        <f t="shared" si="43"/>
        <v/>
      </c>
      <c r="I884" s="3" t="str">
        <f ca="1">IF(AND(F884&lt;&gt;"", J884&lt;&gt;""), NETWORKDAYS(TODAY(), J884-1, FESTIVOS!A$1:A$55), "")</f>
        <v/>
      </c>
      <c r="J884" s="4" t="str">
        <f>IF(AND(F884&lt;&gt;"", H884&lt;&gt;""), WORKDAY(F884, H884, FESTIVOS!A$1:A$55), "")</f>
        <v/>
      </c>
      <c r="K884" s="3"/>
      <c r="L884" s="3" t="str">
        <f t="shared" ca="1" si="44"/>
        <v/>
      </c>
      <c r="M884" s="3" t="str">
        <f t="shared" ca="1" si="45"/>
        <v/>
      </c>
      <c r="N884" s="3"/>
      <c r="O884" s="3"/>
      <c r="P884" s="4" t="str">
        <f>IF(OR(O884="", J884=""), "", NETWORKDAYS(J884, O884,#REF!))</f>
        <v/>
      </c>
    </row>
    <row r="885" spans="1:16" ht="15.75" x14ac:dyDescent="0.25">
      <c r="A885" s="3"/>
      <c r="B885" s="18"/>
      <c r="C885" s="18"/>
      <c r="D885" s="18"/>
      <c r="E885" s="16"/>
      <c r="F885" s="17"/>
      <c r="G885" s="3"/>
      <c r="H885" s="3" t="str">
        <f t="shared" si="43"/>
        <v/>
      </c>
      <c r="I885" s="3" t="str">
        <f ca="1">IF(AND(F885&lt;&gt;"", J885&lt;&gt;""), NETWORKDAYS(TODAY(), J885-1, FESTIVOS!A$1:A$55), "")</f>
        <v/>
      </c>
      <c r="J885" s="4" t="str">
        <f>IF(AND(F885&lt;&gt;"", H885&lt;&gt;""), WORKDAY(F885, H885, FESTIVOS!A$1:A$55), "")</f>
        <v/>
      </c>
      <c r="K885" s="3"/>
      <c r="L885" s="3" t="str">
        <f t="shared" ca="1" si="44"/>
        <v/>
      </c>
      <c r="M885" s="3" t="str">
        <f t="shared" ca="1" si="45"/>
        <v/>
      </c>
      <c r="N885" s="3"/>
      <c r="O885" s="3"/>
      <c r="P885" s="4" t="str">
        <f>IF(OR(O885="", J885=""), "", NETWORKDAYS(J885, O885,#REF!))</f>
        <v/>
      </c>
    </row>
    <row r="886" spans="1:16" ht="15.75" x14ac:dyDescent="0.25">
      <c r="A886" s="3"/>
      <c r="B886" s="18"/>
      <c r="C886" s="18"/>
      <c r="D886" s="18"/>
      <c r="E886" s="16"/>
      <c r="F886" s="17"/>
      <c r="G886" s="3"/>
      <c r="H886" s="3" t="str">
        <f t="shared" ref="H886:H949" si="46">IF(A886="INFORMACIÓN O DOCUMENTOS", 10, IF(A886="CONSULTA", 30, IF(A886="FACTURACIÓN Y COBROS", 15, IF(A886="VINCULACIÓN Y DESVINCULACIÓN", 15, IF(A886="NO ES DE NUESTRA COMPETENCIA", 5, IF(A886="OTRO", 15, ""))))))</f>
        <v/>
      </c>
      <c r="I886" s="3" t="str">
        <f ca="1">IF(AND(F886&lt;&gt;"", J886&lt;&gt;""), NETWORKDAYS(TODAY(), J886-1, FESTIVOS!A$1:A$55), "")</f>
        <v/>
      </c>
      <c r="J886" s="4" t="str">
        <f>IF(AND(F886&lt;&gt;"", H886&lt;&gt;""), WORKDAY(F886, H886, FESTIVOS!A$1:A$55), "")</f>
        <v/>
      </c>
      <c r="K886" s="3"/>
      <c r="L886" s="3" t="str">
        <f t="shared" ref="L886:L949" ca="1" si="47">IF(I886="", "", MAX(0, I886 - (TODAY() - TODAY())))</f>
        <v/>
      </c>
      <c r="M886" s="3" t="str">
        <f t="shared" ref="M886:M949" ca="1" si="48">IF(OR(I886="", H886=""), "", IF(I886&lt;0, "Vencido", IF(I886&gt;(H886/2), "Supere la mitad", "Bajo la mitad")))</f>
        <v/>
      </c>
      <c r="N886" s="3"/>
      <c r="O886" s="3"/>
      <c r="P886" s="4" t="str">
        <f>IF(OR(O886="", J886=""), "", NETWORKDAYS(J886, O886,#REF!))</f>
        <v/>
      </c>
    </row>
    <row r="887" spans="1:16" ht="15.75" x14ac:dyDescent="0.25">
      <c r="A887" s="3"/>
      <c r="B887" s="18"/>
      <c r="C887" s="18"/>
      <c r="D887" s="18"/>
      <c r="E887" s="16"/>
      <c r="F887" s="17"/>
      <c r="G887" s="3"/>
      <c r="H887" s="3" t="str">
        <f t="shared" si="46"/>
        <v/>
      </c>
      <c r="I887" s="3" t="str">
        <f ca="1">IF(AND(F887&lt;&gt;"", J887&lt;&gt;""), NETWORKDAYS(TODAY(), J887-1, FESTIVOS!A$1:A$55), "")</f>
        <v/>
      </c>
      <c r="J887" s="4" t="str">
        <f>IF(AND(F887&lt;&gt;"", H887&lt;&gt;""), WORKDAY(F887, H887, FESTIVOS!A$1:A$55), "")</f>
        <v/>
      </c>
      <c r="K887" s="3"/>
      <c r="L887" s="3" t="str">
        <f t="shared" ca="1" si="47"/>
        <v/>
      </c>
      <c r="M887" s="3" t="str">
        <f t="shared" ca="1" si="48"/>
        <v/>
      </c>
      <c r="N887" s="3"/>
      <c r="O887" s="3"/>
      <c r="P887" s="4" t="str">
        <f>IF(OR(O887="", J887=""), "", NETWORKDAYS(J887, O887,#REF!))</f>
        <v/>
      </c>
    </row>
    <row r="888" spans="1:16" ht="15.75" x14ac:dyDescent="0.25">
      <c r="A888" s="3"/>
      <c r="B888" s="18"/>
      <c r="C888" s="18"/>
      <c r="D888" s="18"/>
      <c r="E888" s="16"/>
      <c r="F888" s="17"/>
      <c r="G888" s="3"/>
      <c r="H888" s="3" t="str">
        <f t="shared" si="46"/>
        <v/>
      </c>
      <c r="I888" s="3" t="str">
        <f ca="1">IF(AND(F888&lt;&gt;"", J888&lt;&gt;""), NETWORKDAYS(TODAY(), J888-1, FESTIVOS!A$1:A$55), "")</f>
        <v/>
      </c>
      <c r="J888" s="4" t="str">
        <f>IF(AND(F888&lt;&gt;"", H888&lt;&gt;""), WORKDAY(F888, H888, FESTIVOS!A$1:A$55), "")</f>
        <v/>
      </c>
      <c r="K888" s="3"/>
      <c r="L888" s="3" t="str">
        <f t="shared" ca="1" si="47"/>
        <v/>
      </c>
      <c r="M888" s="3" t="str">
        <f t="shared" ca="1" si="48"/>
        <v/>
      </c>
      <c r="N888" s="3"/>
      <c r="O888" s="3"/>
      <c r="P888" s="4" t="str">
        <f>IF(OR(O888="", J888=""), "", NETWORKDAYS(J888, O888,#REF!))</f>
        <v/>
      </c>
    </row>
    <row r="889" spans="1:16" ht="15.75" x14ac:dyDescent="0.25">
      <c r="A889" s="3"/>
      <c r="B889" s="18"/>
      <c r="C889" s="18"/>
      <c r="D889" s="18"/>
      <c r="E889" s="16"/>
      <c r="F889" s="17"/>
      <c r="G889" s="3"/>
      <c r="H889" s="3" t="str">
        <f t="shared" si="46"/>
        <v/>
      </c>
      <c r="I889" s="3" t="str">
        <f ca="1">IF(AND(F889&lt;&gt;"", J889&lt;&gt;""), NETWORKDAYS(TODAY(), J889-1, FESTIVOS!A$1:A$55), "")</f>
        <v/>
      </c>
      <c r="J889" s="4" t="str">
        <f>IF(AND(F889&lt;&gt;"", H889&lt;&gt;""), WORKDAY(F889, H889, FESTIVOS!A$1:A$55), "")</f>
        <v/>
      </c>
      <c r="K889" s="3"/>
      <c r="L889" s="3" t="str">
        <f t="shared" ca="1" si="47"/>
        <v/>
      </c>
      <c r="M889" s="3" t="str">
        <f t="shared" ca="1" si="48"/>
        <v/>
      </c>
      <c r="N889" s="3"/>
      <c r="O889" s="3"/>
      <c r="P889" s="4" t="str">
        <f>IF(OR(O889="", J889=""), "", NETWORKDAYS(J889, O889,#REF!))</f>
        <v/>
      </c>
    </row>
    <row r="890" spans="1:16" ht="15.75" x14ac:dyDescent="0.25">
      <c r="A890" s="3"/>
      <c r="B890" s="18"/>
      <c r="C890" s="18"/>
      <c r="D890" s="18"/>
      <c r="E890" s="16"/>
      <c r="F890" s="17"/>
      <c r="G890" s="3"/>
      <c r="H890" s="3" t="str">
        <f t="shared" si="46"/>
        <v/>
      </c>
      <c r="I890" s="3" t="str">
        <f ca="1">IF(AND(F890&lt;&gt;"", J890&lt;&gt;""), NETWORKDAYS(TODAY(), J890-1, FESTIVOS!A$1:A$55), "")</f>
        <v/>
      </c>
      <c r="J890" s="4" t="str">
        <f>IF(AND(F890&lt;&gt;"", H890&lt;&gt;""), WORKDAY(F890, H890, FESTIVOS!A$1:A$55), "")</f>
        <v/>
      </c>
      <c r="K890" s="3"/>
      <c r="L890" s="3" t="str">
        <f t="shared" ca="1" si="47"/>
        <v/>
      </c>
      <c r="M890" s="3" t="str">
        <f t="shared" ca="1" si="48"/>
        <v/>
      </c>
      <c r="N890" s="3"/>
      <c r="O890" s="3"/>
      <c r="P890" s="4" t="str">
        <f>IF(OR(O890="", J890=""), "", NETWORKDAYS(J890, O890,#REF!))</f>
        <v/>
      </c>
    </row>
    <row r="891" spans="1:16" ht="15.75" x14ac:dyDescent="0.25">
      <c r="A891" s="3"/>
      <c r="B891" s="18"/>
      <c r="C891" s="18"/>
      <c r="D891" s="18"/>
      <c r="E891" s="16"/>
      <c r="F891" s="17"/>
      <c r="G891" s="3"/>
      <c r="H891" s="3" t="str">
        <f t="shared" si="46"/>
        <v/>
      </c>
      <c r="I891" s="3" t="str">
        <f ca="1">IF(AND(F891&lt;&gt;"", J891&lt;&gt;""), NETWORKDAYS(TODAY(), J891-1, FESTIVOS!A$1:A$55), "")</f>
        <v/>
      </c>
      <c r="J891" s="4" t="str">
        <f>IF(AND(F891&lt;&gt;"", H891&lt;&gt;""), WORKDAY(F891, H891, FESTIVOS!A$1:A$55), "")</f>
        <v/>
      </c>
      <c r="K891" s="3"/>
      <c r="L891" s="3" t="str">
        <f t="shared" ca="1" si="47"/>
        <v/>
      </c>
      <c r="M891" s="3" t="str">
        <f t="shared" ca="1" si="48"/>
        <v/>
      </c>
      <c r="N891" s="3"/>
      <c r="O891" s="3"/>
      <c r="P891" s="4" t="str">
        <f>IF(OR(O891="", J891=""), "", NETWORKDAYS(J891, O891,#REF!))</f>
        <v/>
      </c>
    </row>
    <row r="892" spans="1:16" ht="15.75" x14ac:dyDescent="0.25">
      <c r="A892" s="3"/>
      <c r="B892" s="18"/>
      <c r="C892" s="18"/>
      <c r="D892" s="18"/>
      <c r="E892" s="16"/>
      <c r="F892" s="17"/>
      <c r="G892" s="3"/>
      <c r="H892" s="3" t="str">
        <f t="shared" si="46"/>
        <v/>
      </c>
      <c r="I892" s="3" t="str">
        <f ca="1">IF(AND(F892&lt;&gt;"", J892&lt;&gt;""), NETWORKDAYS(TODAY(), J892-1, FESTIVOS!A$1:A$55), "")</f>
        <v/>
      </c>
      <c r="J892" s="4" t="str">
        <f>IF(AND(F892&lt;&gt;"", H892&lt;&gt;""), WORKDAY(F892, H892, FESTIVOS!A$1:A$55), "")</f>
        <v/>
      </c>
      <c r="K892" s="3"/>
      <c r="L892" s="3" t="str">
        <f t="shared" ca="1" si="47"/>
        <v/>
      </c>
      <c r="M892" s="3" t="str">
        <f t="shared" ca="1" si="48"/>
        <v/>
      </c>
      <c r="N892" s="3"/>
      <c r="O892" s="3"/>
      <c r="P892" s="4" t="str">
        <f>IF(OR(O892="", J892=""), "", NETWORKDAYS(J892, O892,#REF!))</f>
        <v/>
      </c>
    </row>
    <row r="893" spans="1:16" ht="15.75" x14ac:dyDescent="0.25">
      <c r="A893" s="3"/>
      <c r="B893" s="18"/>
      <c r="C893" s="18"/>
      <c r="D893" s="18"/>
      <c r="E893" s="16"/>
      <c r="F893" s="17"/>
      <c r="G893" s="3"/>
      <c r="H893" s="3" t="str">
        <f t="shared" si="46"/>
        <v/>
      </c>
      <c r="I893" s="3" t="str">
        <f ca="1">IF(AND(F893&lt;&gt;"", J893&lt;&gt;""), NETWORKDAYS(TODAY(), J893-1, FESTIVOS!A$1:A$55), "")</f>
        <v/>
      </c>
      <c r="J893" s="4" t="str">
        <f>IF(AND(F893&lt;&gt;"", H893&lt;&gt;""), WORKDAY(F893, H893, FESTIVOS!A$1:A$55), "")</f>
        <v/>
      </c>
      <c r="K893" s="3"/>
      <c r="L893" s="3" t="str">
        <f t="shared" ca="1" si="47"/>
        <v/>
      </c>
      <c r="M893" s="3" t="str">
        <f t="shared" ca="1" si="48"/>
        <v/>
      </c>
      <c r="N893" s="3"/>
      <c r="O893" s="3"/>
      <c r="P893" s="4" t="str">
        <f>IF(OR(O893="", J893=""), "", NETWORKDAYS(J893, O893,#REF!))</f>
        <v/>
      </c>
    </row>
    <row r="894" spans="1:16" ht="15.75" x14ac:dyDescent="0.25">
      <c r="A894" s="3"/>
      <c r="B894" s="18"/>
      <c r="C894" s="18"/>
      <c r="D894" s="18"/>
      <c r="E894" s="16"/>
      <c r="F894" s="17"/>
      <c r="G894" s="3"/>
      <c r="H894" s="3" t="str">
        <f t="shared" si="46"/>
        <v/>
      </c>
      <c r="I894" s="3" t="str">
        <f ca="1">IF(AND(F894&lt;&gt;"", J894&lt;&gt;""), NETWORKDAYS(TODAY(), J894-1, FESTIVOS!A$1:A$55), "")</f>
        <v/>
      </c>
      <c r="J894" s="4" t="str">
        <f>IF(AND(F894&lt;&gt;"", H894&lt;&gt;""), WORKDAY(F894, H894, FESTIVOS!A$1:A$55), "")</f>
        <v/>
      </c>
      <c r="K894" s="3"/>
      <c r="L894" s="3" t="str">
        <f t="shared" ca="1" si="47"/>
        <v/>
      </c>
      <c r="M894" s="3" t="str">
        <f t="shared" ca="1" si="48"/>
        <v/>
      </c>
      <c r="N894" s="3"/>
      <c r="O894" s="3"/>
      <c r="P894" s="4" t="str">
        <f>IF(OR(O894="", J894=""), "", NETWORKDAYS(J894, O894,#REF!))</f>
        <v/>
      </c>
    </row>
    <row r="895" spans="1:16" ht="15.75" x14ac:dyDescent="0.25">
      <c r="A895" s="3"/>
      <c r="B895" s="18"/>
      <c r="C895" s="18"/>
      <c r="D895" s="18"/>
      <c r="E895" s="16"/>
      <c r="F895" s="17"/>
      <c r="G895" s="3"/>
      <c r="H895" s="3" t="str">
        <f t="shared" si="46"/>
        <v/>
      </c>
      <c r="I895" s="3" t="str">
        <f ca="1">IF(AND(F895&lt;&gt;"", J895&lt;&gt;""), NETWORKDAYS(TODAY(), J895-1, FESTIVOS!A$1:A$55), "")</f>
        <v/>
      </c>
      <c r="J895" s="4" t="str">
        <f>IF(AND(F895&lt;&gt;"", H895&lt;&gt;""), WORKDAY(F895, H895, FESTIVOS!A$1:A$55), "")</f>
        <v/>
      </c>
      <c r="K895" s="3"/>
      <c r="L895" s="3" t="str">
        <f t="shared" ca="1" si="47"/>
        <v/>
      </c>
      <c r="M895" s="3" t="str">
        <f t="shared" ca="1" si="48"/>
        <v/>
      </c>
      <c r="N895" s="3"/>
      <c r="O895" s="3"/>
      <c r="P895" s="4" t="str">
        <f>IF(OR(O895="", J895=""), "", NETWORKDAYS(J895, O895,#REF!))</f>
        <v/>
      </c>
    </row>
    <row r="896" spans="1:16" ht="15.75" x14ac:dyDescent="0.25">
      <c r="A896" s="3"/>
      <c r="B896" s="18"/>
      <c r="C896" s="18"/>
      <c r="D896" s="18"/>
      <c r="E896" s="16"/>
      <c r="F896" s="17"/>
      <c r="G896" s="3"/>
      <c r="H896" s="3" t="str">
        <f t="shared" si="46"/>
        <v/>
      </c>
      <c r="I896" s="3" t="str">
        <f ca="1">IF(AND(F896&lt;&gt;"", J896&lt;&gt;""), NETWORKDAYS(TODAY(), J896-1, FESTIVOS!A$1:A$55), "")</f>
        <v/>
      </c>
      <c r="J896" s="4" t="str">
        <f>IF(AND(F896&lt;&gt;"", H896&lt;&gt;""), WORKDAY(F896, H896, FESTIVOS!A$1:A$55), "")</f>
        <v/>
      </c>
      <c r="K896" s="3"/>
      <c r="L896" s="3" t="str">
        <f t="shared" ca="1" si="47"/>
        <v/>
      </c>
      <c r="M896" s="3" t="str">
        <f t="shared" ca="1" si="48"/>
        <v/>
      </c>
      <c r="N896" s="3"/>
      <c r="O896" s="3"/>
      <c r="P896" s="4" t="str">
        <f>IF(OR(O896="", J896=""), "", NETWORKDAYS(J896, O896,#REF!))</f>
        <v/>
      </c>
    </row>
    <row r="897" spans="1:16" ht="15.75" x14ac:dyDescent="0.25">
      <c r="A897" s="3"/>
      <c r="B897" s="18"/>
      <c r="C897" s="18"/>
      <c r="D897" s="18"/>
      <c r="E897" s="16"/>
      <c r="F897" s="17"/>
      <c r="G897" s="3"/>
      <c r="H897" s="3" t="str">
        <f t="shared" si="46"/>
        <v/>
      </c>
      <c r="I897" s="3" t="str">
        <f ca="1">IF(AND(F897&lt;&gt;"", J897&lt;&gt;""), NETWORKDAYS(TODAY(), J897-1, FESTIVOS!A$1:A$55), "")</f>
        <v/>
      </c>
      <c r="J897" s="4" t="str">
        <f>IF(AND(F897&lt;&gt;"", H897&lt;&gt;""), WORKDAY(F897, H897, FESTIVOS!A$1:A$55), "")</f>
        <v/>
      </c>
      <c r="K897" s="3"/>
      <c r="L897" s="3" t="str">
        <f t="shared" ca="1" si="47"/>
        <v/>
      </c>
      <c r="M897" s="3" t="str">
        <f t="shared" ca="1" si="48"/>
        <v/>
      </c>
      <c r="N897" s="3"/>
      <c r="O897" s="3"/>
      <c r="P897" s="4" t="str">
        <f>IF(OR(O897="", J897=""), "", NETWORKDAYS(J897, O897,#REF!))</f>
        <v/>
      </c>
    </row>
    <row r="898" spans="1:16" ht="15.75" x14ac:dyDescent="0.25">
      <c r="A898" s="3"/>
      <c r="B898" s="18"/>
      <c r="C898" s="18"/>
      <c r="D898" s="18"/>
      <c r="E898" s="16"/>
      <c r="F898" s="17"/>
      <c r="G898" s="3"/>
      <c r="H898" s="3" t="str">
        <f t="shared" si="46"/>
        <v/>
      </c>
      <c r="I898" s="3" t="str">
        <f ca="1">IF(AND(F898&lt;&gt;"", J898&lt;&gt;""), NETWORKDAYS(TODAY(), J898-1, FESTIVOS!A$1:A$55), "")</f>
        <v/>
      </c>
      <c r="J898" s="4" t="str">
        <f>IF(AND(F898&lt;&gt;"", H898&lt;&gt;""), WORKDAY(F898, H898, FESTIVOS!A$1:A$55), "")</f>
        <v/>
      </c>
      <c r="K898" s="3"/>
      <c r="L898" s="3" t="str">
        <f t="shared" ca="1" si="47"/>
        <v/>
      </c>
      <c r="M898" s="3" t="str">
        <f t="shared" ca="1" si="48"/>
        <v/>
      </c>
      <c r="N898" s="3"/>
      <c r="O898" s="3"/>
      <c r="P898" s="4" t="str">
        <f>IF(OR(O898="", J898=""), "", NETWORKDAYS(J898, O898,#REF!))</f>
        <v/>
      </c>
    </row>
    <row r="899" spans="1:16" ht="15.75" x14ac:dyDescent="0.25">
      <c r="A899" s="3"/>
      <c r="B899" s="18"/>
      <c r="C899" s="18"/>
      <c r="D899" s="18"/>
      <c r="E899" s="16"/>
      <c r="F899" s="17"/>
      <c r="G899" s="3"/>
      <c r="H899" s="3" t="str">
        <f t="shared" si="46"/>
        <v/>
      </c>
      <c r="I899" s="3" t="str">
        <f ca="1">IF(AND(F899&lt;&gt;"", J899&lt;&gt;""), NETWORKDAYS(TODAY(), J899-1, FESTIVOS!A$1:A$55), "")</f>
        <v/>
      </c>
      <c r="J899" s="4" t="str">
        <f>IF(AND(F899&lt;&gt;"", H899&lt;&gt;""), WORKDAY(F899, H899, FESTIVOS!A$1:A$55), "")</f>
        <v/>
      </c>
      <c r="K899" s="3"/>
      <c r="L899" s="3" t="str">
        <f t="shared" ca="1" si="47"/>
        <v/>
      </c>
      <c r="M899" s="3" t="str">
        <f t="shared" ca="1" si="48"/>
        <v/>
      </c>
      <c r="N899" s="3"/>
      <c r="O899" s="3"/>
      <c r="P899" s="4" t="str">
        <f>IF(OR(O899="", J899=""), "", NETWORKDAYS(J899, O899,#REF!))</f>
        <v/>
      </c>
    </row>
    <row r="900" spans="1:16" ht="15.75" x14ac:dyDescent="0.25">
      <c r="A900" s="3"/>
      <c r="B900" s="18"/>
      <c r="C900" s="18"/>
      <c r="D900" s="18"/>
      <c r="E900" s="16"/>
      <c r="F900" s="17"/>
      <c r="G900" s="3"/>
      <c r="H900" s="3" t="str">
        <f t="shared" si="46"/>
        <v/>
      </c>
      <c r="I900" s="3" t="str">
        <f ca="1">IF(AND(F900&lt;&gt;"", J900&lt;&gt;""), NETWORKDAYS(TODAY(), J900-1, FESTIVOS!A$1:A$55), "")</f>
        <v/>
      </c>
      <c r="J900" s="4" t="str">
        <f>IF(AND(F900&lt;&gt;"", H900&lt;&gt;""), WORKDAY(F900, H900, FESTIVOS!A$1:A$55), "")</f>
        <v/>
      </c>
      <c r="K900" s="3"/>
      <c r="L900" s="3" t="str">
        <f t="shared" ca="1" si="47"/>
        <v/>
      </c>
      <c r="M900" s="3" t="str">
        <f t="shared" ca="1" si="48"/>
        <v/>
      </c>
      <c r="N900" s="3"/>
      <c r="O900" s="3"/>
      <c r="P900" s="4" t="str">
        <f>IF(OR(O900="", J900=""), "", NETWORKDAYS(J900, O900,#REF!))</f>
        <v/>
      </c>
    </row>
    <row r="901" spans="1:16" ht="15.75" x14ac:dyDescent="0.25">
      <c r="A901" s="3"/>
      <c r="B901" s="18"/>
      <c r="C901" s="18"/>
      <c r="D901" s="18"/>
      <c r="E901" s="16"/>
      <c r="F901" s="17"/>
      <c r="G901" s="3"/>
      <c r="H901" s="3" t="str">
        <f t="shared" si="46"/>
        <v/>
      </c>
      <c r="I901" s="3" t="str">
        <f ca="1">IF(AND(F901&lt;&gt;"", J901&lt;&gt;""), NETWORKDAYS(TODAY(), J901-1, FESTIVOS!A$1:A$55), "")</f>
        <v/>
      </c>
      <c r="J901" s="4" t="str">
        <f>IF(AND(F901&lt;&gt;"", H901&lt;&gt;""), WORKDAY(F901, H901, FESTIVOS!A$1:A$55), "")</f>
        <v/>
      </c>
      <c r="K901" s="3"/>
      <c r="L901" s="3" t="str">
        <f t="shared" ca="1" si="47"/>
        <v/>
      </c>
      <c r="M901" s="3" t="str">
        <f t="shared" ca="1" si="48"/>
        <v/>
      </c>
      <c r="N901" s="3"/>
      <c r="O901" s="3"/>
      <c r="P901" s="4" t="str">
        <f>IF(OR(O901="", J901=""), "", NETWORKDAYS(J901, O901,#REF!))</f>
        <v/>
      </c>
    </row>
    <row r="902" spans="1:16" ht="15.75" x14ac:dyDescent="0.25">
      <c r="A902" s="3"/>
      <c r="B902" s="18"/>
      <c r="C902" s="18"/>
      <c r="D902" s="18"/>
      <c r="E902" s="16"/>
      <c r="F902" s="17"/>
      <c r="G902" s="3"/>
      <c r="H902" s="3" t="str">
        <f t="shared" si="46"/>
        <v/>
      </c>
      <c r="I902" s="3" t="str">
        <f ca="1">IF(AND(F902&lt;&gt;"", J902&lt;&gt;""), NETWORKDAYS(TODAY(), J902-1, FESTIVOS!A$1:A$55), "")</f>
        <v/>
      </c>
      <c r="J902" s="4" t="str">
        <f>IF(AND(F902&lt;&gt;"", H902&lt;&gt;""), WORKDAY(F902, H902, FESTIVOS!A$1:A$55), "")</f>
        <v/>
      </c>
      <c r="K902" s="3"/>
      <c r="L902" s="3" t="str">
        <f t="shared" ca="1" si="47"/>
        <v/>
      </c>
      <c r="M902" s="3" t="str">
        <f t="shared" ca="1" si="48"/>
        <v/>
      </c>
      <c r="N902" s="3"/>
      <c r="O902" s="3"/>
      <c r="P902" s="4" t="str">
        <f>IF(OR(O902="", J902=""), "", NETWORKDAYS(J902, O902,#REF!))</f>
        <v/>
      </c>
    </row>
    <row r="903" spans="1:16" ht="15.75" x14ac:dyDescent="0.25">
      <c r="A903" s="3"/>
      <c r="B903" s="18"/>
      <c r="C903" s="18"/>
      <c r="D903" s="18"/>
      <c r="E903" s="16"/>
      <c r="F903" s="17"/>
      <c r="G903" s="3"/>
      <c r="H903" s="3" t="str">
        <f t="shared" si="46"/>
        <v/>
      </c>
      <c r="I903" s="3" t="str">
        <f ca="1">IF(AND(F903&lt;&gt;"", J903&lt;&gt;""), NETWORKDAYS(TODAY(), J903-1, FESTIVOS!A$1:A$55), "")</f>
        <v/>
      </c>
      <c r="J903" s="4" t="str">
        <f>IF(AND(F903&lt;&gt;"", H903&lt;&gt;""), WORKDAY(F903, H903, FESTIVOS!A$1:A$55), "")</f>
        <v/>
      </c>
      <c r="K903" s="3"/>
      <c r="L903" s="3" t="str">
        <f t="shared" ca="1" si="47"/>
        <v/>
      </c>
      <c r="M903" s="3" t="str">
        <f t="shared" ca="1" si="48"/>
        <v/>
      </c>
      <c r="N903" s="3"/>
      <c r="O903" s="3"/>
      <c r="P903" s="4" t="str">
        <f>IF(OR(O903="", J903=""), "", NETWORKDAYS(J903, O903,#REF!))</f>
        <v/>
      </c>
    </row>
    <row r="904" spans="1:16" ht="15.75" x14ac:dyDescent="0.25">
      <c r="A904" s="3"/>
      <c r="B904" s="18"/>
      <c r="C904" s="18"/>
      <c r="D904" s="18"/>
      <c r="E904" s="16"/>
      <c r="F904" s="17"/>
      <c r="G904" s="3"/>
      <c r="H904" s="3" t="str">
        <f t="shared" si="46"/>
        <v/>
      </c>
      <c r="I904" s="3" t="str">
        <f ca="1">IF(AND(F904&lt;&gt;"", J904&lt;&gt;""), NETWORKDAYS(TODAY(), J904-1, FESTIVOS!A$1:A$55), "")</f>
        <v/>
      </c>
      <c r="J904" s="4" t="str">
        <f>IF(AND(F904&lt;&gt;"", H904&lt;&gt;""), WORKDAY(F904, H904, FESTIVOS!A$1:A$55), "")</f>
        <v/>
      </c>
      <c r="K904" s="3"/>
      <c r="L904" s="3" t="str">
        <f t="shared" ca="1" si="47"/>
        <v/>
      </c>
      <c r="M904" s="3" t="str">
        <f t="shared" ca="1" si="48"/>
        <v/>
      </c>
      <c r="N904" s="3"/>
      <c r="O904" s="3"/>
      <c r="P904" s="4" t="str">
        <f>IF(OR(O904="", J904=""), "", NETWORKDAYS(J904, O904,#REF!))</f>
        <v/>
      </c>
    </row>
    <row r="905" spans="1:16" ht="15.75" x14ac:dyDescent="0.25">
      <c r="A905" s="3"/>
      <c r="B905" s="18"/>
      <c r="C905" s="18"/>
      <c r="D905" s="18"/>
      <c r="E905" s="16"/>
      <c r="F905" s="17"/>
      <c r="G905" s="3"/>
      <c r="H905" s="3" t="str">
        <f t="shared" si="46"/>
        <v/>
      </c>
      <c r="I905" s="3" t="str">
        <f ca="1">IF(AND(F905&lt;&gt;"", J905&lt;&gt;""), NETWORKDAYS(TODAY(), J905-1, FESTIVOS!A$1:A$55), "")</f>
        <v/>
      </c>
      <c r="J905" s="4" t="str">
        <f>IF(AND(F905&lt;&gt;"", H905&lt;&gt;""), WORKDAY(F905, H905, FESTIVOS!A$1:A$55), "")</f>
        <v/>
      </c>
      <c r="K905" s="3"/>
      <c r="L905" s="3" t="str">
        <f t="shared" ca="1" si="47"/>
        <v/>
      </c>
      <c r="M905" s="3" t="str">
        <f t="shared" ca="1" si="48"/>
        <v/>
      </c>
      <c r="N905" s="3"/>
      <c r="O905" s="3"/>
      <c r="P905" s="4" t="str">
        <f>IF(OR(O905="", J905=""), "", NETWORKDAYS(J905, O905,#REF!))</f>
        <v/>
      </c>
    </row>
    <row r="906" spans="1:16" ht="15.75" x14ac:dyDescent="0.25">
      <c r="A906" s="3"/>
      <c r="B906" s="18"/>
      <c r="C906" s="18"/>
      <c r="D906" s="18"/>
      <c r="E906" s="16"/>
      <c r="F906" s="17"/>
      <c r="G906" s="3"/>
      <c r="H906" s="3" t="str">
        <f t="shared" si="46"/>
        <v/>
      </c>
      <c r="I906" s="3" t="str">
        <f ca="1">IF(AND(F906&lt;&gt;"", J906&lt;&gt;""), NETWORKDAYS(TODAY(), J906-1, FESTIVOS!A$1:A$55), "")</f>
        <v/>
      </c>
      <c r="J906" s="4" t="str">
        <f>IF(AND(F906&lt;&gt;"", H906&lt;&gt;""), WORKDAY(F906, H906, FESTIVOS!A$1:A$55), "")</f>
        <v/>
      </c>
      <c r="K906" s="3"/>
      <c r="L906" s="3" t="str">
        <f t="shared" ca="1" si="47"/>
        <v/>
      </c>
      <c r="M906" s="3" t="str">
        <f t="shared" ca="1" si="48"/>
        <v/>
      </c>
      <c r="N906" s="3"/>
      <c r="O906" s="3"/>
      <c r="P906" s="4" t="str">
        <f>IF(OR(O906="", J906=""), "", NETWORKDAYS(J906, O906,#REF!))</f>
        <v/>
      </c>
    </row>
    <row r="907" spans="1:16" ht="15.75" x14ac:dyDescent="0.25">
      <c r="A907" s="3"/>
      <c r="B907" s="18"/>
      <c r="C907" s="18"/>
      <c r="D907" s="18"/>
      <c r="E907" s="16"/>
      <c r="F907" s="17"/>
      <c r="G907" s="3"/>
      <c r="H907" s="3" t="str">
        <f t="shared" si="46"/>
        <v/>
      </c>
      <c r="I907" s="3" t="str">
        <f ca="1">IF(AND(F907&lt;&gt;"", J907&lt;&gt;""), NETWORKDAYS(TODAY(), J907-1, FESTIVOS!A$1:A$55), "")</f>
        <v/>
      </c>
      <c r="J907" s="4" t="str">
        <f>IF(AND(F907&lt;&gt;"", H907&lt;&gt;""), WORKDAY(F907, H907, FESTIVOS!A$1:A$55), "")</f>
        <v/>
      </c>
      <c r="K907" s="3"/>
      <c r="L907" s="3" t="str">
        <f t="shared" ca="1" si="47"/>
        <v/>
      </c>
      <c r="M907" s="3" t="str">
        <f t="shared" ca="1" si="48"/>
        <v/>
      </c>
      <c r="N907" s="3"/>
      <c r="O907" s="3"/>
      <c r="P907" s="4" t="str">
        <f>IF(OR(O907="", J907=""), "", NETWORKDAYS(J907, O907,#REF!))</f>
        <v/>
      </c>
    </row>
    <row r="908" spans="1:16" ht="15.75" x14ac:dyDescent="0.25">
      <c r="A908" s="3"/>
      <c r="B908" s="18"/>
      <c r="C908" s="18"/>
      <c r="D908" s="18"/>
      <c r="E908" s="16"/>
      <c r="F908" s="17"/>
      <c r="G908" s="3"/>
      <c r="H908" s="3" t="str">
        <f t="shared" si="46"/>
        <v/>
      </c>
      <c r="I908" s="3" t="str">
        <f ca="1">IF(AND(F908&lt;&gt;"", J908&lt;&gt;""), NETWORKDAYS(TODAY(), J908-1, FESTIVOS!A$1:A$55), "")</f>
        <v/>
      </c>
      <c r="J908" s="4" t="str">
        <f>IF(AND(F908&lt;&gt;"", H908&lt;&gt;""), WORKDAY(F908, H908, FESTIVOS!A$1:A$55), "")</f>
        <v/>
      </c>
      <c r="K908" s="3"/>
      <c r="L908" s="3" t="str">
        <f t="shared" ca="1" si="47"/>
        <v/>
      </c>
      <c r="M908" s="3" t="str">
        <f t="shared" ca="1" si="48"/>
        <v/>
      </c>
      <c r="N908" s="3"/>
      <c r="O908" s="3"/>
      <c r="P908" s="4" t="str">
        <f>IF(OR(O908="", J908=""), "", NETWORKDAYS(J908, O908,#REF!))</f>
        <v/>
      </c>
    </row>
    <row r="909" spans="1:16" ht="15.75" x14ac:dyDescent="0.25">
      <c r="A909" s="3"/>
      <c r="B909" s="18"/>
      <c r="C909" s="18"/>
      <c r="D909" s="18"/>
      <c r="E909" s="16"/>
      <c r="F909" s="17"/>
      <c r="G909" s="3"/>
      <c r="H909" s="3" t="str">
        <f t="shared" si="46"/>
        <v/>
      </c>
      <c r="I909" s="3" t="str">
        <f ca="1">IF(AND(F909&lt;&gt;"", J909&lt;&gt;""), NETWORKDAYS(TODAY(), J909-1, FESTIVOS!A$1:A$55), "")</f>
        <v/>
      </c>
      <c r="J909" s="4" t="str">
        <f>IF(AND(F909&lt;&gt;"", H909&lt;&gt;""), WORKDAY(F909, H909, FESTIVOS!A$1:A$55), "")</f>
        <v/>
      </c>
      <c r="K909" s="3"/>
      <c r="L909" s="3" t="str">
        <f t="shared" ca="1" si="47"/>
        <v/>
      </c>
      <c r="M909" s="3" t="str">
        <f t="shared" ca="1" si="48"/>
        <v/>
      </c>
      <c r="N909" s="3"/>
      <c r="O909" s="3"/>
      <c r="P909" s="4" t="str">
        <f>IF(OR(O909="", J909=""), "", NETWORKDAYS(J909, O909,#REF!))</f>
        <v/>
      </c>
    </row>
    <row r="910" spans="1:16" ht="15.75" x14ac:dyDescent="0.25">
      <c r="A910" s="3"/>
      <c r="B910" s="18"/>
      <c r="C910" s="18"/>
      <c r="D910" s="18"/>
      <c r="E910" s="16"/>
      <c r="F910" s="17"/>
      <c r="G910" s="3"/>
      <c r="H910" s="3" t="str">
        <f t="shared" si="46"/>
        <v/>
      </c>
      <c r="I910" s="3" t="str">
        <f ca="1">IF(AND(F910&lt;&gt;"", J910&lt;&gt;""), NETWORKDAYS(TODAY(), J910-1, FESTIVOS!A$1:A$55), "")</f>
        <v/>
      </c>
      <c r="J910" s="4" t="str">
        <f>IF(AND(F910&lt;&gt;"", H910&lt;&gt;""), WORKDAY(F910, H910, FESTIVOS!A$1:A$55), "")</f>
        <v/>
      </c>
      <c r="K910" s="3"/>
      <c r="L910" s="3" t="str">
        <f t="shared" ca="1" si="47"/>
        <v/>
      </c>
      <c r="M910" s="3" t="str">
        <f t="shared" ca="1" si="48"/>
        <v/>
      </c>
      <c r="N910" s="3"/>
      <c r="O910" s="3"/>
      <c r="P910" s="4" t="str">
        <f>IF(OR(O910="", J910=""), "", NETWORKDAYS(J910, O910,#REF!))</f>
        <v/>
      </c>
    </row>
    <row r="911" spans="1:16" ht="15.75" x14ac:dyDescent="0.25">
      <c r="A911" s="3"/>
      <c r="B911" s="18"/>
      <c r="C911" s="18"/>
      <c r="D911" s="18"/>
      <c r="E911" s="16"/>
      <c r="F911" s="17"/>
      <c r="G911" s="3"/>
      <c r="H911" s="3" t="str">
        <f t="shared" si="46"/>
        <v/>
      </c>
      <c r="I911" s="3" t="str">
        <f ca="1">IF(AND(F911&lt;&gt;"", J911&lt;&gt;""), NETWORKDAYS(TODAY(), J911-1, FESTIVOS!A$1:A$55), "")</f>
        <v/>
      </c>
      <c r="J911" s="4" t="str">
        <f>IF(AND(F911&lt;&gt;"", H911&lt;&gt;""), WORKDAY(F911, H911, FESTIVOS!A$1:A$55), "")</f>
        <v/>
      </c>
      <c r="K911" s="3"/>
      <c r="L911" s="3" t="str">
        <f t="shared" ca="1" si="47"/>
        <v/>
      </c>
      <c r="M911" s="3" t="str">
        <f t="shared" ca="1" si="48"/>
        <v/>
      </c>
      <c r="N911" s="3"/>
      <c r="O911" s="3"/>
      <c r="P911" s="4" t="str">
        <f>IF(OR(O911="", J911=""), "", NETWORKDAYS(J911, O911,#REF!))</f>
        <v/>
      </c>
    </row>
    <row r="912" spans="1:16" ht="15.75" x14ac:dyDescent="0.25">
      <c r="A912" s="3"/>
      <c r="B912" s="18"/>
      <c r="C912" s="18"/>
      <c r="D912" s="18"/>
      <c r="E912" s="16"/>
      <c r="F912" s="17"/>
      <c r="G912" s="3"/>
      <c r="H912" s="3" t="str">
        <f t="shared" si="46"/>
        <v/>
      </c>
      <c r="I912" s="3" t="str">
        <f ca="1">IF(AND(F912&lt;&gt;"", J912&lt;&gt;""), NETWORKDAYS(TODAY(), J912-1, FESTIVOS!A$1:A$55), "")</f>
        <v/>
      </c>
      <c r="J912" s="4" t="str">
        <f>IF(AND(F912&lt;&gt;"", H912&lt;&gt;""), WORKDAY(F912, H912, FESTIVOS!A$1:A$55), "")</f>
        <v/>
      </c>
      <c r="K912" s="3"/>
      <c r="L912" s="3" t="str">
        <f t="shared" ca="1" si="47"/>
        <v/>
      </c>
      <c r="M912" s="3" t="str">
        <f t="shared" ca="1" si="48"/>
        <v/>
      </c>
      <c r="N912" s="3"/>
      <c r="O912" s="3"/>
      <c r="P912" s="4" t="str">
        <f>IF(OR(O912="", J912=""), "", NETWORKDAYS(J912, O912,#REF!))</f>
        <v/>
      </c>
    </row>
    <row r="913" spans="1:16" ht="15.75" x14ac:dyDescent="0.25">
      <c r="A913" s="3"/>
      <c r="B913" s="18"/>
      <c r="C913" s="18"/>
      <c r="D913" s="18"/>
      <c r="E913" s="16"/>
      <c r="F913" s="17"/>
      <c r="G913" s="3"/>
      <c r="H913" s="3" t="str">
        <f t="shared" si="46"/>
        <v/>
      </c>
      <c r="I913" s="3" t="str">
        <f ca="1">IF(AND(F913&lt;&gt;"", J913&lt;&gt;""), NETWORKDAYS(TODAY(), J913-1, FESTIVOS!A$1:A$55), "")</f>
        <v/>
      </c>
      <c r="J913" s="4" t="str">
        <f>IF(AND(F913&lt;&gt;"", H913&lt;&gt;""), WORKDAY(F913, H913, FESTIVOS!A$1:A$55), "")</f>
        <v/>
      </c>
      <c r="K913" s="3"/>
      <c r="L913" s="3" t="str">
        <f t="shared" ca="1" si="47"/>
        <v/>
      </c>
      <c r="M913" s="3" t="str">
        <f t="shared" ca="1" si="48"/>
        <v/>
      </c>
      <c r="N913" s="3"/>
      <c r="O913" s="3"/>
      <c r="P913" s="4" t="str">
        <f>IF(OR(O913="", J913=""), "", NETWORKDAYS(J913, O913,#REF!))</f>
        <v/>
      </c>
    </row>
    <row r="914" spans="1:16" ht="15.75" x14ac:dyDescent="0.25">
      <c r="A914" s="3"/>
      <c r="B914" s="18"/>
      <c r="C914" s="18"/>
      <c r="D914" s="18"/>
      <c r="E914" s="16"/>
      <c r="F914" s="17"/>
      <c r="G914" s="3"/>
      <c r="H914" s="3" t="str">
        <f t="shared" si="46"/>
        <v/>
      </c>
      <c r="I914" s="3" t="str">
        <f ca="1">IF(AND(F914&lt;&gt;"", J914&lt;&gt;""), NETWORKDAYS(TODAY(), J914-1, FESTIVOS!A$1:A$55), "")</f>
        <v/>
      </c>
      <c r="J914" s="4" t="str">
        <f>IF(AND(F914&lt;&gt;"", H914&lt;&gt;""), WORKDAY(F914, H914, FESTIVOS!A$1:A$55), "")</f>
        <v/>
      </c>
      <c r="K914" s="3"/>
      <c r="L914" s="3" t="str">
        <f t="shared" ca="1" si="47"/>
        <v/>
      </c>
      <c r="M914" s="3" t="str">
        <f t="shared" ca="1" si="48"/>
        <v/>
      </c>
      <c r="N914" s="3"/>
      <c r="O914" s="3"/>
      <c r="P914" s="4" t="str">
        <f>IF(OR(O914="", J914=""), "", NETWORKDAYS(J914, O914,#REF!))</f>
        <v/>
      </c>
    </row>
    <row r="915" spans="1:16" ht="15.75" x14ac:dyDescent="0.25">
      <c r="A915" s="3"/>
      <c r="B915" s="18"/>
      <c r="C915" s="18"/>
      <c r="D915" s="18"/>
      <c r="E915" s="16"/>
      <c r="F915" s="17"/>
      <c r="G915" s="3"/>
      <c r="H915" s="3" t="str">
        <f t="shared" si="46"/>
        <v/>
      </c>
      <c r="I915" s="3" t="str">
        <f ca="1">IF(AND(F915&lt;&gt;"", J915&lt;&gt;""), NETWORKDAYS(TODAY(), J915-1, FESTIVOS!A$1:A$55), "")</f>
        <v/>
      </c>
      <c r="J915" s="4" t="str">
        <f>IF(AND(F915&lt;&gt;"", H915&lt;&gt;""), WORKDAY(F915, H915, FESTIVOS!A$1:A$55), "")</f>
        <v/>
      </c>
      <c r="K915" s="3"/>
      <c r="L915" s="3" t="str">
        <f t="shared" ca="1" si="47"/>
        <v/>
      </c>
      <c r="M915" s="3" t="str">
        <f t="shared" ca="1" si="48"/>
        <v/>
      </c>
      <c r="N915" s="3"/>
      <c r="O915" s="3"/>
      <c r="P915" s="4" t="str">
        <f>IF(OR(O915="", J915=""), "", NETWORKDAYS(J915, O915,#REF!))</f>
        <v/>
      </c>
    </row>
    <row r="916" spans="1:16" ht="15.75" x14ac:dyDescent="0.25">
      <c r="A916" s="3"/>
      <c r="B916" s="18"/>
      <c r="C916" s="18"/>
      <c r="D916" s="18"/>
      <c r="E916" s="16"/>
      <c r="F916" s="17"/>
      <c r="G916" s="3"/>
      <c r="H916" s="3" t="str">
        <f t="shared" si="46"/>
        <v/>
      </c>
      <c r="I916" s="3" t="str">
        <f ca="1">IF(AND(F916&lt;&gt;"", J916&lt;&gt;""), NETWORKDAYS(TODAY(), J916-1, FESTIVOS!A$1:A$55), "")</f>
        <v/>
      </c>
      <c r="J916" s="4" t="str">
        <f>IF(AND(F916&lt;&gt;"", H916&lt;&gt;""), WORKDAY(F916, H916, FESTIVOS!A$1:A$55), "")</f>
        <v/>
      </c>
      <c r="K916" s="3"/>
      <c r="L916" s="3" t="str">
        <f t="shared" ca="1" si="47"/>
        <v/>
      </c>
      <c r="M916" s="3" t="str">
        <f t="shared" ca="1" si="48"/>
        <v/>
      </c>
      <c r="N916" s="3"/>
      <c r="O916" s="3"/>
      <c r="P916" s="4" t="str">
        <f>IF(OR(O916="", J916=""), "", NETWORKDAYS(J916, O916,#REF!))</f>
        <v/>
      </c>
    </row>
    <row r="917" spans="1:16" ht="15.75" x14ac:dyDescent="0.25">
      <c r="A917" s="3"/>
      <c r="B917" s="18"/>
      <c r="C917" s="18"/>
      <c r="D917" s="18"/>
      <c r="E917" s="16"/>
      <c r="F917" s="17"/>
      <c r="G917" s="3"/>
      <c r="H917" s="3" t="str">
        <f t="shared" si="46"/>
        <v/>
      </c>
      <c r="I917" s="3" t="str">
        <f ca="1">IF(AND(F917&lt;&gt;"", J917&lt;&gt;""), NETWORKDAYS(TODAY(), J917-1, FESTIVOS!A$1:A$55), "")</f>
        <v/>
      </c>
      <c r="J917" s="4" t="str">
        <f>IF(AND(F917&lt;&gt;"", H917&lt;&gt;""), WORKDAY(F917, H917, FESTIVOS!A$1:A$55), "")</f>
        <v/>
      </c>
      <c r="K917" s="3"/>
      <c r="L917" s="3" t="str">
        <f t="shared" ca="1" si="47"/>
        <v/>
      </c>
      <c r="M917" s="3" t="str">
        <f t="shared" ca="1" si="48"/>
        <v/>
      </c>
      <c r="N917" s="3"/>
      <c r="O917" s="3"/>
      <c r="P917" s="4" t="str">
        <f>IF(OR(O917="", J917=""), "", NETWORKDAYS(J917, O917,#REF!))</f>
        <v/>
      </c>
    </row>
    <row r="918" spans="1:16" ht="15.75" x14ac:dyDescent="0.25">
      <c r="A918" s="3"/>
      <c r="B918" s="18"/>
      <c r="C918" s="18"/>
      <c r="D918" s="18"/>
      <c r="E918" s="16"/>
      <c r="F918" s="17"/>
      <c r="G918" s="3"/>
      <c r="H918" s="3" t="str">
        <f t="shared" si="46"/>
        <v/>
      </c>
      <c r="I918" s="3" t="str">
        <f ca="1">IF(AND(F918&lt;&gt;"", J918&lt;&gt;""), NETWORKDAYS(TODAY(), J918-1, FESTIVOS!A$1:A$55), "")</f>
        <v/>
      </c>
      <c r="J918" s="4" t="str">
        <f>IF(AND(F918&lt;&gt;"", H918&lt;&gt;""), WORKDAY(F918, H918, FESTIVOS!A$1:A$55), "")</f>
        <v/>
      </c>
      <c r="K918" s="3"/>
      <c r="L918" s="3" t="str">
        <f t="shared" ca="1" si="47"/>
        <v/>
      </c>
      <c r="M918" s="3" t="str">
        <f t="shared" ca="1" si="48"/>
        <v/>
      </c>
      <c r="N918" s="3"/>
      <c r="O918" s="3"/>
      <c r="P918" s="4" t="str">
        <f>IF(OR(O918="", J918=""), "", NETWORKDAYS(J918, O918,#REF!))</f>
        <v/>
      </c>
    </row>
    <row r="919" spans="1:16" ht="15.75" x14ac:dyDescent="0.25">
      <c r="A919" s="3"/>
      <c r="B919" s="18"/>
      <c r="C919" s="18"/>
      <c r="D919" s="18"/>
      <c r="E919" s="16"/>
      <c r="F919" s="17"/>
      <c r="G919" s="3"/>
      <c r="H919" s="3" t="str">
        <f t="shared" si="46"/>
        <v/>
      </c>
      <c r="I919" s="3" t="str">
        <f ca="1">IF(AND(F919&lt;&gt;"", J919&lt;&gt;""), NETWORKDAYS(TODAY(), J919-1, FESTIVOS!A$1:A$55), "")</f>
        <v/>
      </c>
      <c r="J919" s="4" t="str">
        <f>IF(AND(F919&lt;&gt;"", H919&lt;&gt;""), WORKDAY(F919, H919, FESTIVOS!A$1:A$55), "")</f>
        <v/>
      </c>
      <c r="K919" s="3"/>
      <c r="L919" s="3" t="str">
        <f t="shared" ca="1" si="47"/>
        <v/>
      </c>
      <c r="M919" s="3" t="str">
        <f t="shared" ca="1" si="48"/>
        <v/>
      </c>
      <c r="N919" s="3"/>
      <c r="O919" s="3"/>
      <c r="P919" s="4" t="str">
        <f>IF(OR(O919="", J919=""), "", NETWORKDAYS(J919, O919,#REF!))</f>
        <v/>
      </c>
    </row>
    <row r="920" spans="1:16" ht="15.75" x14ac:dyDescent="0.25">
      <c r="A920" s="3"/>
      <c r="B920" s="18"/>
      <c r="C920" s="18"/>
      <c r="D920" s="18"/>
      <c r="E920" s="16"/>
      <c r="F920" s="17"/>
      <c r="G920" s="3"/>
      <c r="H920" s="3" t="str">
        <f t="shared" si="46"/>
        <v/>
      </c>
      <c r="I920" s="3" t="str">
        <f ca="1">IF(AND(F920&lt;&gt;"", J920&lt;&gt;""), NETWORKDAYS(TODAY(), J920-1, FESTIVOS!A$1:A$55), "")</f>
        <v/>
      </c>
      <c r="J920" s="4" t="str">
        <f>IF(AND(F920&lt;&gt;"", H920&lt;&gt;""), WORKDAY(F920, H920, FESTIVOS!A$1:A$55), "")</f>
        <v/>
      </c>
      <c r="K920" s="3"/>
      <c r="L920" s="3" t="str">
        <f t="shared" ca="1" si="47"/>
        <v/>
      </c>
      <c r="M920" s="3" t="str">
        <f t="shared" ca="1" si="48"/>
        <v/>
      </c>
      <c r="N920" s="3"/>
      <c r="O920" s="3"/>
      <c r="P920" s="4" t="str">
        <f>IF(OR(O920="", J920=""), "", NETWORKDAYS(J920, O920,#REF!))</f>
        <v/>
      </c>
    </row>
    <row r="921" spans="1:16" ht="15.75" x14ac:dyDescent="0.25">
      <c r="A921" s="3"/>
      <c r="B921" s="18"/>
      <c r="C921" s="18"/>
      <c r="D921" s="18"/>
      <c r="E921" s="16"/>
      <c r="F921" s="17"/>
      <c r="G921" s="3"/>
      <c r="H921" s="3" t="str">
        <f t="shared" si="46"/>
        <v/>
      </c>
      <c r="I921" s="3" t="str">
        <f ca="1">IF(AND(F921&lt;&gt;"", J921&lt;&gt;""), NETWORKDAYS(TODAY(), J921-1, FESTIVOS!A$1:A$55), "")</f>
        <v/>
      </c>
      <c r="J921" s="4" t="str">
        <f>IF(AND(F921&lt;&gt;"", H921&lt;&gt;""), WORKDAY(F921, H921, FESTIVOS!A$1:A$55), "")</f>
        <v/>
      </c>
      <c r="K921" s="3"/>
      <c r="L921" s="3" t="str">
        <f t="shared" ca="1" si="47"/>
        <v/>
      </c>
      <c r="M921" s="3" t="str">
        <f t="shared" ca="1" si="48"/>
        <v/>
      </c>
      <c r="N921" s="3"/>
      <c r="O921" s="3"/>
      <c r="P921" s="4" t="str">
        <f>IF(OR(O921="", J921=""), "", NETWORKDAYS(J921, O921,#REF!))</f>
        <v/>
      </c>
    </row>
    <row r="922" spans="1:16" ht="15.75" x14ac:dyDescent="0.25">
      <c r="A922" s="3"/>
      <c r="B922" s="18"/>
      <c r="C922" s="18"/>
      <c r="D922" s="18"/>
      <c r="E922" s="16"/>
      <c r="F922" s="17"/>
      <c r="G922" s="3"/>
      <c r="H922" s="3" t="str">
        <f t="shared" si="46"/>
        <v/>
      </c>
      <c r="I922" s="3" t="str">
        <f ca="1">IF(AND(F922&lt;&gt;"", J922&lt;&gt;""), NETWORKDAYS(TODAY(), J922-1, FESTIVOS!A$1:A$55), "")</f>
        <v/>
      </c>
      <c r="J922" s="4" t="str">
        <f>IF(AND(F922&lt;&gt;"", H922&lt;&gt;""), WORKDAY(F922, H922, FESTIVOS!A$1:A$55), "")</f>
        <v/>
      </c>
      <c r="K922" s="3"/>
      <c r="L922" s="3" t="str">
        <f t="shared" ca="1" si="47"/>
        <v/>
      </c>
      <c r="M922" s="3" t="str">
        <f t="shared" ca="1" si="48"/>
        <v/>
      </c>
      <c r="N922" s="3"/>
      <c r="O922" s="3"/>
      <c r="P922" s="4" t="str">
        <f>IF(OR(O922="", J922=""), "", NETWORKDAYS(J922, O922,#REF!))</f>
        <v/>
      </c>
    </row>
    <row r="923" spans="1:16" ht="15.75" x14ac:dyDescent="0.25">
      <c r="A923" s="3"/>
      <c r="B923" s="18"/>
      <c r="C923" s="18"/>
      <c r="D923" s="18"/>
      <c r="E923" s="16"/>
      <c r="F923" s="17"/>
      <c r="G923" s="3"/>
      <c r="H923" s="3" t="str">
        <f t="shared" si="46"/>
        <v/>
      </c>
      <c r="I923" s="3" t="str">
        <f ca="1">IF(AND(F923&lt;&gt;"", J923&lt;&gt;""), NETWORKDAYS(TODAY(), J923-1, FESTIVOS!A$1:A$55), "")</f>
        <v/>
      </c>
      <c r="J923" s="4" t="str">
        <f>IF(AND(F923&lt;&gt;"", H923&lt;&gt;""), WORKDAY(F923, H923, FESTIVOS!A$1:A$55), "")</f>
        <v/>
      </c>
      <c r="K923" s="3"/>
      <c r="L923" s="3" t="str">
        <f t="shared" ca="1" si="47"/>
        <v/>
      </c>
      <c r="M923" s="3" t="str">
        <f t="shared" ca="1" si="48"/>
        <v/>
      </c>
      <c r="N923" s="3"/>
      <c r="O923" s="3"/>
      <c r="P923" s="4" t="str">
        <f>IF(OR(O923="", J923=""), "", NETWORKDAYS(J923, O923,#REF!))</f>
        <v/>
      </c>
    </row>
    <row r="924" spans="1:16" ht="15.75" x14ac:dyDescent="0.25">
      <c r="A924" s="3"/>
      <c r="B924" s="18"/>
      <c r="C924" s="18"/>
      <c r="D924" s="18"/>
      <c r="E924" s="16"/>
      <c r="F924" s="17"/>
      <c r="G924" s="3"/>
      <c r="H924" s="3" t="str">
        <f t="shared" si="46"/>
        <v/>
      </c>
      <c r="I924" s="3" t="str">
        <f ca="1">IF(AND(F924&lt;&gt;"", J924&lt;&gt;""), NETWORKDAYS(TODAY(), J924-1, FESTIVOS!A$1:A$55), "")</f>
        <v/>
      </c>
      <c r="J924" s="4" t="str">
        <f>IF(AND(F924&lt;&gt;"", H924&lt;&gt;""), WORKDAY(F924, H924, FESTIVOS!A$1:A$55), "")</f>
        <v/>
      </c>
      <c r="K924" s="3"/>
      <c r="L924" s="3" t="str">
        <f t="shared" ca="1" si="47"/>
        <v/>
      </c>
      <c r="M924" s="3" t="str">
        <f t="shared" ca="1" si="48"/>
        <v/>
      </c>
      <c r="N924" s="3"/>
      <c r="O924" s="3"/>
      <c r="P924" s="4" t="str">
        <f>IF(OR(O924="", J924=""), "", NETWORKDAYS(J924, O924,#REF!))</f>
        <v/>
      </c>
    </row>
    <row r="925" spans="1:16" ht="15.75" x14ac:dyDescent="0.25">
      <c r="A925" s="3"/>
      <c r="B925" s="18"/>
      <c r="C925" s="18"/>
      <c r="D925" s="18"/>
      <c r="E925" s="16"/>
      <c r="F925" s="17"/>
      <c r="G925" s="3"/>
      <c r="H925" s="3" t="str">
        <f t="shared" si="46"/>
        <v/>
      </c>
      <c r="I925" s="3" t="str">
        <f ca="1">IF(AND(F925&lt;&gt;"", J925&lt;&gt;""), NETWORKDAYS(TODAY(), J925-1, FESTIVOS!A$1:A$55), "")</f>
        <v/>
      </c>
      <c r="J925" s="4" t="str">
        <f>IF(AND(F925&lt;&gt;"", H925&lt;&gt;""), WORKDAY(F925, H925, FESTIVOS!A$1:A$55), "")</f>
        <v/>
      </c>
      <c r="K925" s="3"/>
      <c r="L925" s="3" t="str">
        <f t="shared" ca="1" si="47"/>
        <v/>
      </c>
      <c r="M925" s="3" t="str">
        <f t="shared" ca="1" si="48"/>
        <v/>
      </c>
      <c r="N925" s="3"/>
      <c r="O925" s="3"/>
      <c r="P925" s="4" t="str">
        <f>IF(OR(O925="", J925=""), "", NETWORKDAYS(J925, O925,#REF!))</f>
        <v/>
      </c>
    </row>
    <row r="926" spans="1:16" ht="15.75" x14ac:dyDescent="0.25">
      <c r="A926" s="3"/>
      <c r="B926" s="18"/>
      <c r="C926" s="18"/>
      <c r="D926" s="18"/>
      <c r="E926" s="16"/>
      <c r="F926" s="17"/>
      <c r="G926" s="3"/>
      <c r="H926" s="3" t="str">
        <f t="shared" si="46"/>
        <v/>
      </c>
      <c r="I926" s="3" t="str">
        <f ca="1">IF(AND(F926&lt;&gt;"", J926&lt;&gt;""), NETWORKDAYS(TODAY(), J926-1, FESTIVOS!A$1:A$55), "")</f>
        <v/>
      </c>
      <c r="J926" s="4" t="str">
        <f>IF(AND(F926&lt;&gt;"", H926&lt;&gt;""), WORKDAY(F926, H926, FESTIVOS!A$1:A$55), "")</f>
        <v/>
      </c>
      <c r="K926" s="3"/>
      <c r="L926" s="3" t="str">
        <f t="shared" ca="1" si="47"/>
        <v/>
      </c>
      <c r="M926" s="3" t="str">
        <f t="shared" ca="1" si="48"/>
        <v/>
      </c>
      <c r="N926" s="3"/>
      <c r="O926" s="3"/>
      <c r="P926" s="4" t="str">
        <f>IF(OR(O926="", J926=""), "", NETWORKDAYS(J926, O926,#REF!))</f>
        <v/>
      </c>
    </row>
    <row r="927" spans="1:16" ht="15.75" x14ac:dyDescent="0.25">
      <c r="A927" s="3"/>
      <c r="B927" s="18"/>
      <c r="C927" s="18"/>
      <c r="D927" s="18"/>
      <c r="E927" s="16"/>
      <c r="F927" s="17"/>
      <c r="G927" s="3"/>
      <c r="H927" s="3" t="str">
        <f t="shared" si="46"/>
        <v/>
      </c>
      <c r="I927" s="3" t="str">
        <f ca="1">IF(AND(F927&lt;&gt;"", J927&lt;&gt;""), NETWORKDAYS(TODAY(), J927-1, FESTIVOS!A$1:A$55), "")</f>
        <v/>
      </c>
      <c r="J927" s="4" t="str">
        <f>IF(AND(F927&lt;&gt;"", H927&lt;&gt;""), WORKDAY(F927, H927, FESTIVOS!A$1:A$55), "")</f>
        <v/>
      </c>
      <c r="K927" s="3"/>
      <c r="L927" s="3" t="str">
        <f t="shared" ca="1" si="47"/>
        <v/>
      </c>
      <c r="M927" s="3" t="str">
        <f t="shared" ca="1" si="48"/>
        <v/>
      </c>
      <c r="N927" s="3"/>
      <c r="O927" s="3"/>
      <c r="P927" s="4" t="str">
        <f>IF(OR(O927="", J927=""), "", NETWORKDAYS(J927, O927,#REF!))</f>
        <v/>
      </c>
    </row>
    <row r="928" spans="1:16" ht="15.75" x14ac:dyDescent="0.25">
      <c r="A928" s="3"/>
      <c r="B928" s="18"/>
      <c r="C928" s="18"/>
      <c r="D928" s="18"/>
      <c r="E928" s="16"/>
      <c r="F928" s="17"/>
      <c r="G928" s="3"/>
      <c r="H928" s="3" t="str">
        <f t="shared" si="46"/>
        <v/>
      </c>
      <c r="I928" s="3" t="str">
        <f ca="1">IF(AND(F928&lt;&gt;"", J928&lt;&gt;""), NETWORKDAYS(TODAY(), J928-1, FESTIVOS!A$1:A$55), "")</f>
        <v/>
      </c>
      <c r="J928" s="4" t="str">
        <f>IF(AND(F928&lt;&gt;"", H928&lt;&gt;""), WORKDAY(F928, H928, FESTIVOS!A$1:A$55), "")</f>
        <v/>
      </c>
      <c r="K928" s="3"/>
      <c r="L928" s="3" t="str">
        <f t="shared" ca="1" si="47"/>
        <v/>
      </c>
      <c r="M928" s="3" t="str">
        <f t="shared" ca="1" si="48"/>
        <v/>
      </c>
      <c r="N928" s="3"/>
      <c r="O928" s="3"/>
      <c r="P928" s="4" t="str">
        <f>IF(OR(O928="", J928=""), "", NETWORKDAYS(J928, O928,#REF!))</f>
        <v/>
      </c>
    </row>
    <row r="929" spans="1:16" ht="15.75" x14ac:dyDescent="0.25">
      <c r="A929" s="3"/>
      <c r="B929" s="18"/>
      <c r="C929" s="18"/>
      <c r="D929" s="18"/>
      <c r="E929" s="16"/>
      <c r="F929" s="17"/>
      <c r="G929" s="3"/>
      <c r="H929" s="3" t="str">
        <f t="shared" si="46"/>
        <v/>
      </c>
      <c r="I929" s="3" t="str">
        <f ca="1">IF(AND(F929&lt;&gt;"", J929&lt;&gt;""), NETWORKDAYS(TODAY(), J929-1, FESTIVOS!A$1:A$55), "")</f>
        <v/>
      </c>
      <c r="J929" s="4" t="str">
        <f>IF(AND(F929&lt;&gt;"", H929&lt;&gt;""), WORKDAY(F929, H929, FESTIVOS!A$1:A$55), "")</f>
        <v/>
      </c>
      <c r="K929" s="3"/>
      <c r="L929" s="3" t="str">
        <f t="shared" ca="1" si="47"/>
        <v/>
      </c>
      <c r="M929" s="3" t="str">
        <f t="shared" ca="1" si="48"/>
        <v/>
      </c>
      <c r="N929" s="3"/>
      <c r="O929" s="3"/>
      <c r="P929" s="4" t="str">
        <f>IF(OR(O929="", J929=""), "", NETWORKDAYS(J929, O929,#REF!))</f>
        <v/>
      </c>
    </row>
    <row r="930" spans="1:16" ht="15.75" x14ac:dyDescent="0.25">
      <c r="A930" s="3"/>
      <c r="B930" s="18"/>
      <c r="C930" s="18"/>
      <c r="D930" s="18"/>
      <c r="E930" s="16"/>
      <c r="F930" s="17"/>
      <c r="G930" s="3"/>
      <c r="H930" s="3" t="str">
        <f t="shared" si="46"/>
        <v/>
      </c>
      <c r="I930" s="3" t="str">
        <f ca="1">IF(AND(F930&lt;&gt;"", J930&lt;&gt;""), NETWORKDAYS(TODAY(), J930-1, FESTIVOS!A$1:A$55), "")</f>
        <v/>
      </c>
      <c r="J930" s="4" t="str">
        <f>IF(AND(F930&lt;&gt;"", H930&lt;&gt;""), WORKDAY(F930, H930, FESTIVOS!A$1:A$55), "")</f>
        <v/>
      </c>
      <c r="K930" s="3"/>
      <c r="L930" s="3" t="str">
        <f t="shared" ca="1" si="47"/>
        <v/>
      </c>
      <c r="M930" s="3" t="str">
        <f t="shared" ca="1" si="48"/>
        <v/>
      </c>
      <c r="N930" s="3"/>
      <c r="O930" s="3"/>
      <c r="P930" s="4" t="str">
        <f>IF(OR(O930="", J930=""), "", NETWORKDAYS(J930, O930,#REF!))</f>
        <v/>
      </c>
    </row>
    <row r="931" spans="1:16" ht="15.75" x14ac:dyDescent="0.25">
      <c r="A931" s="3"/>
      <c r="B931" s="18"/>
      <c r="C931" s="18"/>
      <c r="D931" s="18"/>
      <c r="E931" s="16"/>
      <c r="F931" s="17"/>
      <c r="G931" s="3"/>
      <c r="H931" s="3" t="str">
        <f t="shared" si="46"/>
        <v/>
      </c>
      <c r="I931" s="3" t="str">
        <f ca="1">IF(AND(F931&lt;&gt;"", J931&lt;&gt;""), NETWORKDAYS(TODAY(), J931-1, FESTIVOS!A$1:A$55), "")</f>
        <v/>
      </c>
      <c r="J931" s="4" t="str">
        <f>IF(AND(F931&lt;&gt;"", H931&lt;&gt;""), WORKDAY(F931, H931, FESTIVOS!A$1:A$55), "")</f>
        <v/>
      </c>
      <c r="K931" s="3"/>
      <c r="L931" s="3" t="str">
        <f t="shared" ca="1" si="47"/>
        <v/>
      </c>
      <c r="M931" s="3" t="str">
        <f t="shared" ca="1" si="48"/>
        <v/>
      </c>
      <c r="N931" s="3"/>
      <c r="O931" s="3"/>
      <c r="P931" s="4" t="str">
        <f>IF(OR(O931="", J931=""), "", NETWORKDAYS(J931, O931,#REF!))</f>
        <v/>
      </c>
    </row>
    <row r="932" spans="1:16" ht="15.75" x14ac:dyDescent="0.25">
      <c r="A932" s="3"/>
      <c r="B932" s="18"/>
      <c r="C932" s="18"/>
      <c r="D932" s="18"/>
      <c r="E932" s="16"/>
      <c r="F932" s="17"/>
      <c r="G932" s="3"/>
      <c r="H932" s="3" t="str">
        <f t="shared" si="46"/>
        <v/>
      </c>
      <c r="I932" s="3" t="str">
        <f ca="1">IF(AND(F932&lt;&gt;"", J932&lt;&gt;""), NETWORKDAYS(TODAY(), J932-1, FESTIVOS!A$1:A$55), "")</f>
        <v/>
      </c>
      <c r="J932" s="4" t="str">
        <f>IF(AND(F932&lt;&gt;"", H932&lt;&gt;""), WORKDAY(F932, H932, FESTIVOS!A$1:A$55), "")</f>
        <v/>
      </c>
      <c r="K932" s="3"/>
      <c r="L932" s="3" t="str">
        <f t="shared" ca="1" si="47"/>
        <v/>
      </c>
      <c r="M932" s="3" t="str">
        <f t="shared" ca="1" si="48"/>
        <v/>
      </c>
      <c r="N932" s="3"/>
      <c r="O932" s="3"/>
      <c r="P932" s="4" t="str">
        <f>IF(OR(O932="", J932=""), "", NETWORKDAYS(J932, O932,#REF!))</f>
        <v/>
      </c>
    </row>
    <row r="933" spans="1:16" ht="15.75" x14ac:dyDescent="0.25">
      <c r="A933" s="3"/>
      <c r="B933" s="18"/>
      <c r="C933" s="18"/>
      <c r="D933" s="18"/>
      <c r="E933" s="16"/>
      <c r="F933" s="17"/>
      <c r="G933" s="3"/>
      <c r="H933" s="3" t="str">
        <f t="shared" si="46"/>
        <v/>
      </c>
      <c r="I933" s="3" t="str">
        <f ca="1">IF(AND(F933&lt;&gt;"", J933&lt;&gt;""), NETWORKDAYS(TODAY(), J933-1, FESTIVOS!A$1:A$55), "")</f>
        <v/>
      </c>
      <c r="J933" s="4" t="str">
        <f>IF(AND(F933&lt;&gt;"", H933&lt;&gt;""), WORKDAY(F933, H933, FESTIVOS!A$1:A$55), "")</f>
        <v/>
      </c>
      <c r="K933" s="3"/>
      <c r="L933" s="3" t="str">
        <f t="shared" ca="1" si="47"/>
        <v/>
      </c>
      <c r="M933" s="3" t="str">
        <f t="shared" ca="1" si="48"/>
        <v/>
      </c>
      <c r="N933" s="3"/>
      <c r="O933" s="3"/>
      <c r="P933" s="4" t="str">
        <f>IF(OR(O933="", J933=""), "", NETWORKDAYS(J933, O933,#REF!))</f>
        <v/>
      </c>
    </row>
    <row r="934" spans="1:16" ht="15.75" x14ac:dyDescent="0.25">
      <c r="A934" s="3"/>
      <c r="B934" s="18"/>
      <c r="C934" s="18"/>
      <c r="D934" s="18"/>
      <c r="E934" s="16"/>
      <c r="F934" s="17"/>
      <c r="G934" s="3"/>
      <c r="H934" s="3" t="str">
        <f t="shared" si="46"/>
        <v/>
      </c>
      <c r="I934" s="3" t="str">
        <f ca="1">IF(AND(F934&lt;&gt;"", J934&lt;&gt;""), NETWORKDAYS(TODAY(), J934-1, FESTIVOS!A$1:A$55), "")</f>
        <v/>
      </c>
      <c r="J934" s="4" t="str">
        <f>IF(AND(F934&lt;&gt;"", H934&lt;&gt;""), WORKDAY(F934, H934, FESTIVOS!A$1:A$55), "")</f>
        <v/>
      </c>
      <c r="K934" s="3"/>
      <c r="L934" s="3" t="str">
        <f t="shared" ca="1" si="47"/>
        <v/>
      </c>
      <c r="M934" s="3" t="str">
        <f t="shared" ca="1" si="48"/>
        <v/>
      </c>
      <c r="N934" s="3"/>
      <c r="O934" s="3"/>
      <c r="P934" s="4" t="str">
        <f>IF(OR(O934="", J934=""), "", NETWORKDAYS(J934, O934,#REF!))</f>
        <v/>
      </c>
    </row>
    <row r="935" spans="1:16" ht="15.75" x14ac:dyDescent="0.25">
      <c r="A935" s="3"/>
      <c r="B935" s="18"/>
      <c r="C935" s="18"/>
      <c r="D935" s="18"/>
      <c r="E935" s="16"/>
      <c r="F935" s="17"/>
      <c r="G935" s="3"/>
      <c r="H935" s="3" t="str">
        <f t="shared" si="46"/>
        <v/>
      </c>
      <c r="I935" s="3" t="str">
        <f ca="1">IF(AND(F935&lt;&gt;"", J935&lt;&gt;""), NETWORKDAYS(TODAY(), J935-1, FESTIVOS!A$1:A$55), "")</f>
        <v/>
      </c>
      <c r="J935" s="4" t="str">
        <f>IF(AND(F935&lt;&gt;"", H935&lt;&gt;""), WORKDAY(F935, H935, FESTIVOS!A$1:A$55), "")</f>
        <v/>
      </c>
      <c r="K935" s="3"/>
      <c r="L935" s="3" t="str">
        <f t="shared" ca="1" si="47"/>
        <v/>
      </c>
      <c r="M935" s="3" t="str">
        <f t="shared" ca="1" si="48"/>
        <v/>
      </c>
      <c r="N935" s="3"/>
      <c r="O935" s="3"/>
      <c r="P935" s="4" t="str">
        <f>IF(OR(O935="", J935=""), "", NETWORKDAYS(J935, O935,#REF!))</f>
        <v/>
      </c>
    </row>
    <row r="936" spans="1:16" ht="15.75" x14ac:dyDescent="0.25">
      <c r="A936" s="3"/>
      <c r="B936" s="18"/>
      <c r="C936" s="18"/>
      <c r="D936" s="18"/>
      <c r="E936" s="16"/>
      <c r="F936" s="17"/>
      <c r="G936" s="3"/>
      <c r="H936" s="3" t="str">
        <f t="shared" si="46"/>
        <v/>
      </c>
      <c r="I936" s="3" t="str">
        <f ca="1">IF(AND(F936&lt;&gt;"", J936&lt;&gt;""), NETWORKDAYS(TODAY(), J936-1, FESTIVOS!A$1:A$55), "")</f>
        <v/>
      </c>
      <c r="J936" s="4" t="str">
        <f>IF(AND(F936&lt;&gt;"", H936&lt;&gt;""), WORKDAY(F936, H936, FESTIVOS!A$1:A$55), "")</f>
        <v/>
      </c>
      <c r="K936" s="3"/>
      <c r="L936" s="3" t="str">
        <f t="shared" ca="1" si="47"/>
        <v/>
      </c>
      <c r="M936" s="3" t="str">
        <f t="shared" ca="1" si="48"/>
        <v/>
      </c>
      <c r="N936" s="3"/>
      <c r="O936" s="3"/>
      <c r="P936" s="4" t="str">
        <f>IF(OR(O936="", J936=""), "", NETWORKDAYS(J936, O936,#REF!))</f>
        <v/>
      </c>
    </row>
    <row r="937" spans="1:16" ht="15.75" x14ac:dyDescent="0.25">
      <c r="A937" s="3"/>
      <c r="B937" s="18"/>
      <c r="C937" s="18"/>
      <c r="D937" s="18"/>
      <c r="E937" s="16"/>
      <c r="F937" s="17"/>
      <c r="G937" s="3"/>
      <c r="H937" s="3" t="str">
        <f t="shared" si="46"/>
        <v/>
      </c>
      <c r="I937" s="3" t="str">
        <f ca="1">IF(AND(F937&lt;&gt;"", J937&lt;&gt;""), NETWORKDAYS(TODAY(), J937-1, FESTIVOS!A$1:A$55), "")</f>
        <v/>
      </c>
      <c r="J937" s="4" t="str">
        <f>IF(AND(F937&lt;&gt;"", H937&lt;&gt;""), WORKDAY(F937, H937, FESTIVOS!A$1:A$55), "")</f>
        <v/>
      </c>
      <c r="K937" s="3"/>
      <c r="L937" s="3" t="str">
        <f t="shared" ca="1" si="47"/>
        <v/>
      </c>
      <c r="M937" s="3" t="str">
        <f t="shared" ca="1" si="48"/>
        <v/>
      </c>
      <c r="N937" s="3"/>
      <c r="O937" s="3"/>
      <c r="P937" s="4" t="str">
        <f>IF(OR(O937="", J937=""), "", NETWORKDAYS(J937, O937,#REF!))</f>
        <v/>
      </c>
    </row>
    <row r="938" spans="1:16" ht="15.75" x14ac:dyDescent="0.25">
      <c r="A938" s="3"/>
      <c r="B938" s="18"/>
      <c r="C938" s="18"/>
      <c r="D938" s="18"/>
      <c r="E938" s="16"/>
      <c r="F938" s="17"/>
      <c r="G938" s="3"/>
      <c r="H938" s="3" t="str">
        <f t="shared" si="46"/>
        <v/>
      </c>
      <c r="I938" s="3" t="str">
        <f ca="1">IF(AND(F938&lt;&gt;"", J938&lt;&gt;""), NETWORKDAYS(TODAY(), J938-1, FESTIVOS!A$1:A$55), "")</f>
        <v/>
      </c>
      <c r="J938" s="4" t="str">
        <f>IF(AND(F938&lt;&gt;"", H938&lt;&gt;""), WORKDAY(F938, H938, FESTIVOS!A$1:A$55), "")</f>
        <v/>
      </c>
      <c r="K938" s="3"/>
      <c r="L938" s="3" t="str">
        <f t="shared" ca="1" si="47"/>
        <v/>
      </c>
      <c r="M938" s="3" t="str">
        <f t="shared" ca="1" si="48"/>
        <v/>
      </c>
      <c r="N938" s="3"/>
      <c r="O938" s="3"/>
      <c r="P938" s="4" t="str">
        <f>IF(OR(O938="", J938=""), "", NETWORKDAYS(J938, O938,#REF!))</f>
        <v/>
      </c>
    </row>
    <row r="939" spans="1:16" ht="15.75" x14ac:dyDescent="0.25">
      <c r="A939" s="3"/>
      <c r="B939" s="18"/>
      <c r="C939" s="18"/>
      <c r="D939" s="18"/>
      <c r="E939" s="16"/>
      <c r="F939" s="17"/>
      <c r="G939" s="3"/>
      <c r="H939" s="3" t="str">
        <f t="shared" si="46"/>
        <v/>
      </c>
      <c r="I939" s="3" t="str">
        <f ca="1">IF(AND(F939&lt;&gt;"", J939&lt;&gt;""), NETWORKDAYS(TODAY(), J939-1, FESTIVOS!A$1:A$55), "")</f>
        <v/>
      </c>
      <c r="J939" s="4" t="str">
        <f>IF(AND(F939&lt;&gt;"", H939&lt;&gt;""), WORKDAY(F939, H939, FESTIVOS!A$1:A$55), "")</f>
        <v/>
      </c>
      <c r="K939" s="3"/>
      <c r="L939" s="3" t="str">
        <f t="shared" ca="1" si="47"/>
        <v/>
      </c>
      <c r="M939" s="3" t="str">
        <f t="shared" ca="1" si="48"/>
        <v/>
      </c>
      <c r="N939" s="3"/>
      <c r="O939" s="3"/>
      <c r="P939" s="4" t="str">
        <f>IF(OR(O939="", J939=""), "", NETWORKDAYS(J939, O939,#REF!))</f>
        <v/>
      </c>
    </row>
    <row r="940" spans="1:16" ht="15.75" x14ac:dyDescent="0.25">
      <c r="A940" s="3"/>
      <c r="B940" s="18"/>
      <c r="C940" s="18"/>
      <c r="D940" s="18"/>
      <c r="E940" s="16"/>
      <c r="F940" s="17"/>
      <c r="G940" s="3"/>
      <c r="H940" s="3" t="str">
        <f t="shared" si="46"/>
        <v/>
      </c>
      <c r="I940" s="3" t="str">
        <f ca="1">IF(AND(F940&lt;&gt;"", J940&lt;&gt;""), NETWORKDAYS(TODAY(), J940-1, FESTIVOS!A$1:A$55), "")</f>
        <v/>
      </c>
      <c r="J940" s="4" t="str">
        <f>IF(AND(F940&lt;&gt;"", H940&lt;&gt;""), WORKDAY(F940, H940, FESTIVOS!A$1:A$55), "")</f>
        <v/>
      </c>
      <c r="K940" s="3"/>
      <c r="L940" s="3" t="str">
        <f t="shared" ca="1" si="47"/>
        <v/>
      </c>
      <c r="M940" s="3" t="str">
        <f t="shared" ca="1" si="48"/>
        <v/>
      </c>
      <c r="N940" s="3"/>
      <c r="O940" s="3"/>
      <c r="P940" s="4" t="str">
        <f>IF(OR(O940="", J940=""), "", NETWORKDAYS(J940, O940,#REF!))</f>
        <v/>
      </c>
    </row>
    <row r="941" spans="1:16" ht="15.75" x14ac:dyDescent="0.25">
      <c r="A941" s="3"/>
      <c r="B941" s="18"/>
      <c r="C941" s="18"/>
      <c r="D941" s="18"/>
      <c r="E941" s="16"/>
      <c r="F941" s="17"/>
      <c r="G941" s="3"/>
      <c r="H941" s="3" t="str">
        <f t="shared" si="46"/>
        <v/>
      </c>
      <c r="I941" s="3" t="str">
        <f ca="1">IF(AND(F941&lt;&gt;"", J941&lt;&gt;""), NETWORKDAYS(TODAY(), J941-1, FESTIVOS!A$1:A$55), "")</f>
        <v/>
      </c>
      <c r="J941" s="4" t="str">
        <f>IF(AND(F941&lt;&gt;"", H941&lt;&gt;""), WORKDAY(F941, H941, FESTIVOS!A$1:A$55), "")</f>
        <v/>
      </c>
      <c r="K941" s="3"/>
      <c r="L941" s="3" t="str">
        <f t="shared" ca="1" si="47"/>
        <v/>
      </c>
      <c r="M941" s="3" t="str">
        <f t="shared" ca="1" si="48"/>
        <v/>
      </c>
      <c r="N941" s="3"/>
      <c r="O941" s="3"/>
      <c r="P941" s="4" t="str">
        <f>IF(OR(O941="", J941=""), "", NETWORKDAYS(J941, O941,#REF!))</f>
        <v/>
      </c>
    </row>
    <row r="942" spans="1:16" ht="15.75" x14ac:dyDescent="0.25">
      <c r="A942" s="3"/>
      <c r="B942" s="18"/>
      <c r="C942" s="18"/>
      <c r="D942" s="18"/>
      <c r="E942" s="16"/>
      <c r="F942" s="17"/>
      <c r="G942" s="3"/>
      <c r="H942" s="3" t="str">
        <f t="shared" si="46"/>
        <v/>
      </c>
      <c r="I942" s="3" t="str">
        <f ca="1">IF(AND(F942&lt;&gt;"", J942&lt;&gt;""), NETWORKDAYS(TODAY(), J942-1, FESTIVOS!A$1:A$55), "")</f>
        <v/>
      </c>
      <c r="J942" s="4" t="str">
        <f>IF(AND(F942&lt;&gt;"", H942&lt;&gt;""), WORKDAY(F942, H942, FESTIVOS!A$1:A$55), "")</f>
        <v/>
      </c>
      <c r="K942" s="3"/>
      <c r="L942" s="3" t="str">
        <f t="shared" ca="1" si="47"/>
        <v/>
      </c>
      <c r="M942" s="3" t="str">
        <f t="shared" ca="1" si="48"/>
        <v/>
      </c>
      <c r="N942" s="3"/>
      <c r="O942" s="3"/>
      <c r="P942" s="4" t="str">
        <f>IF(OR(O942="", J942=""), "", NETWORKDAYS(J942, O942,#REF!))</f>
        <v/>
      </c>
    </row>
    <row r="943" spans="1:16" ht="15.75" x14ac:dyDescent="0.25">
      <c r="A943" s="3"/>
      <c r="B943" s="18"/>
      <c r="C943" s="18"/>
      <c r="D943" s="18"/>
      <c r="E943" s="16"/>
      <c r="F943" s="17"/>
      <c r="G943" s="3"/>
      <c r="H943" s="3" t="str">
        <f t="shared" si="46"/>
        <v/>
      </c>
      <c r="I943" s="3" t="str">
        <f ca="1">IF(AND(F943&lt;&gt;"", J943&lt;&gt;""), NETWORKDAYS(TODAY(), J943-1, FESTIVOS!A$1:A$55), "")</f>
        <v/>
      </c>
      <c r="J943" s="4" t="str">
        <f>IF(AND(F943&lt;&gt;"", H943&lt;&gt;""), WORKDAY(F943, H943, FESTIVOS!A$1:A$55), "")</f>
        <v/>
      </c>
      <c r="K943" s="3"/>
      <c r="L943" s="3" t="str">
        <f t="shared" ca="1" si="47"/>
        <v/>
      </c>
      <c r="M943" s="3" t="str">
        <f t="shared" ca="1" si="48"/>
        <v/>
      </c>
      <c r="N943" s="3"/>
      <c r="O943" s="3"/>
      <c r="P943" s="4" t="str">
        <f>IF(OR(O943="", J943=""), "", NETWORKDAYS(J943, O943,#REF!))</f>
        <v/>
      </c>
    </row>
    <row r="944" spans="1:16" ht="15.75" x14ac:dyDescent="0.25">
      <c r="A944" s="3"/>
      <c r="B944" s="18"/>
      <c r="C944" s="18"/>
      <c r="D944" s="18"/>
      <c r="E944" s="16"/>
      <c r="F944" s="17"/>
      <c r="G944" s="3"/>
      <c r="H944" s="3" t="str">
        <f t="shared" si="46"/>
        <v/>
      </c>
      <c r="I944" s="3" t="str">
        <f ca="1">IF(AND(F944&lt;&gt;"", J944&lt;&gt;""), NETWORKDAYS(TODAY(), J944-1, FESTIVOS!A$1:A$55), "")</f>
        <v/>
      </c>
      <c r="J944" s="4" t="str">
        <f>IF(AND(F944&lt;&gt;"", H944&lt;&gt;""), WORKDAY(F944, H944, FESTIVOS!A$1:A$55), "")</f>
        <v/>
      </c>
      <c r="K944" s="3"/>
      <c r="L944" s="3" t="str">
        <f t="shared" ca="1" si="47"/>
        <v/>
      </c>
      <c r="M944" s="3" t="str">
        <f t="shared" ca="1" si="48"/>
        <v/>
      </c>
      <c r="N944" s="3"/>
      <c r="O944" s="3"/>
      <c r="P944" s="4" t="str">
        <f>IF(OR(O944="", J944=""), "", NETWORKDAYS(J944, O944,#REF!))</f>
        <v/>
      </c>
    </row>
    <row r="945" spans="1:16" ht="15.75" x14ac:dyDescent="0.25">
      <c r="A945" s="3"/>
      <c r="B945" s="18"/>
      <c r="C945" s="18"/>
      <c r="D945" s="18"/>
      <c r="E945" s="16"/>
      <c r="F945" s="17"/>
      <c r="G945" s="3"/>
      <c r="H945" s="3" t="str">
        <f t="shared" si="46"/>
        <v/>
      </c>
      <c r="I945" s="3" t="str">
        <f ca="1">IF(AND(F945&lt;&gt;"", J945&lt;&gt;""), NETWORKDAYS(TODAY(), J945-1, FESTIVOS!A$1:A$55), "")</f>
        <v/>
      </c>
      <c r="J945" s="4" t="str">
        <f>IF(AND(F945&lt;&gt;"", H945&lt;&gt;""), WORKDAY(F945, H945, FESTIVOS!A$1:A$55), "")</f>
        <v/>
      </c>
      <c r="K945" s="3"/>
      <c r="L945" s="3" t="str">
        <f t="shared" ca="1" si="47"/>
        <v/>
      </c>
      <c r="M945" s="3" t="str">
        <f t="shared" ca="1" si="48"/>
        <v/>
      </c>
      <c r="N945" s="3"/>
      <c r="O945" s="3"/>
      <c r="P945" s="4" t="str">
        <f>IF(OR(O945="", J945=""), "", NETWORKDAYS(J945, O945,#REF!))</f>
        <v/>
      </c>
    </row>
    <row r="946" spans="1:16" ht="15.75" x14ac:dyDescent="0.25">
      <c r="A946" s="3"/>
      <c r="B946" s="18"/>
      <c r="C946" s="18"/>
      <c r="D946" s="18"/>
      <c r="E946" s="16"/>
      <c r="F946" s="17"/>
      <c r="G946" s="3"/>
      <c r="H946" s="3" t="str">
        <f t="shared" si="46"/>
        <v/>
      </c>
      <c r="I946" s="3" t="str">
        <f ca="1">IF(AND(F946&lt;&gt;"", J946&lt;&gt;""), NETWORKDAYS(TODAY(), J946-1, FESTIVOS!A$1:A$55), "")</f>
        <v/>
      </c>
      <c r="J946" s="4" t="str">
        <f>IF(AND(F946&lt;&gt;"", H946&lt;&gt;""), WORKDAY(F946, H946, FESTIVOS!A$1:A$55), "")</f>
        <v/>
      </c>
      <c r="K946" s="3"/>
      <c r="L946" s="3" t="str">
        <f t="shared" ca="1" si="47"/>
        <v/>
      </c>
      <c r="M946" s="3" t="str">
        <f t="shared" ca="1" si="48"/>
        <v/>
      </c>
      <c r="N946" s="3"/>
      <c r="O946" s="3"/>
      <c r="P946" s="4" t="str">
        <f>IF(OR(O946="", J946=""), "", NETWORKDAYS(J946, O946,#REF!))</f>
        <v/>
      </c>
    </row>
    <row r="947" spans="1:16" ht="15.75" x14ac:dyDescent="0.25">
      <c r="A947" s="3"/>
      <c r="B947" s="18"/>
      <c r="C947" s="18"/>
      <c r="D947" s="18"/>
      <c r="E947" s="16"/>
      <c r="F947" s="17"/>
      <c r="G947" s="3"/>
      <c r="H947" s="3" t="str">
        <f t="shared" si="46"/>
        <v/>
      </c>
      <c r="I947" s="3" t="str">
        <f ca="1">IF(AND(F947&lt;&gt;"", J947&lt;&gt;""), NETWORKDAYS(TODAY(), J947-1, FESTIVOS!A$1:A$55), "")</f>
        <v/>
      </c>
      <c r="J947" s="4" t="str">
        <f>IF(AND(F947&lt;&gt;"", H947&lt;&gt;""), WORKDAY(F947, H947, FESTIVOS!A$1:A$55), "")</f>
        <v/>
      </c>
      <c r="K947" s="3"/>
      <c r="L947" s="3" t="str">
        <f t="shared" ca="1" si="47"/>
        <v/>
      </c>
      <c r="M947" s="3" t="str">
        <f t="shared" ca="1" si="48"/>
        <v/>
      </c>
      <c r="N947" s="3"/>
      <c r="O947" s="3"/>
      <c r="P947" s="4" t="str">
        <f>IF(OR(O947="", J947=""), "", NETWORKDAYS(J947, O947,#REF!))</f>
        <v/>
      </c>
    </row>
    <row r="948" spans="1:16" ht="15.75" x14ac:dyDescent="0.25">
      <c r="A948" s="3"/>
      <c r="B948" s="18"/>
      <c r="C948" s="18"/>
      <c r="D948" s="18"/>
      <c r="E948" s="16"/>
      <c r="F948" s="17"/>
      <c r="G948" s="3"/>
      <c r="H948" s="3" t="str">
        <f t="shared" si="46"/>
        <v/>
      </c>
      <c r="I948" s="3" t="str">
        <f ca="1">IF(AND(F948&lt;&gt;"", J948&lt;&gt;""), NETWORKDAYS(TODAY(), J948-1, FESTIVOS!A$1:A$55), "")</f>
        <v/>
      </c>
      <c r="J948" s="4" t="str">
        <f>IF(AND(F948&lt;&gt;"", H948&lt;&gt;""), WORKDAY(F948, H948, FESTIVOS!A$1:A$55), "")</f>
        <v/>
      </c>
      <c r="K948" s="3"/>
      <c r="L948" s="3" t="str">
        <f t="shared" ca="1" si="47"/>
        <v/>
      </c>
      <c r="M948" s="3" t="str">
        <f t="shared" ca="1" si="48"/>
        <v/>
      </c>
      <c r="N948" s="3"/>
      <c r="O948" s="3"/>
      <c r="P948" s="4" t="str">
        <f>IF(OR(O948="", J948=""), "", NETWORKDAYS(J948, O948,#REF!))</f>
        <v/>
      </c>
    </row>
    <row r="949" spans="1:16" ht="15.75" x14ac:dyDescent="0.25">
      <c r="A949" s="3"/>
      <c r="B949" s="18"/>
      <c r="C949" s="18"/>
      <c r="D949" s="18"/>
      <c r="E949" s="16"/>
      <c r="F949" s="17"/>
      <c r="G949" s="3"/>
      <c r="H949" s="3" t="str">
        <f t="shared" si="46"/>
        <v/>
      </c>
      <c r="I949" s="3" t="str">
        <f ca="1">IF(AND(F949&lt;&gt;"", J949&lt;&gt;""), NETWORKDAYS(TODAY(), J949-1, FESTIVOS!A$1:A$55), "")</f>
        <v/>
      </c>
      <c r="J949" s="4" t="str">
        <f>IF(AND(F949&lt;&gt;"", H949&lt;&gt;""), WORKDAY(F949, H949, FESTIVOS!A$1:A$55), "")</f>
        <v/>
      </c>
      <c r="K949" s="3"/>
      <c r="L949" s="3" t="str">
        <f t="shared" ca="1" si="47"/>
        <v/>
      </c>
      <c r="M949" s="3" t="str">
        <f t="shared" ca="1" si="48"/>
        <v/>
      </c>
      <c r="N949" s="3"/>
      <c r="O949" s="3"/>
      <c r="P949" s="4" t="str">
        <f>IF(OR(O949="", J949=""), "", NETWORKDAYS(J949, O949,#REF!))</f>
        <v/>
      </c>
    </row>
    <row r="950" spans="1:16" ht="15.75" x14ac:dyDescent="0.25">
      <c r="A950" s="3"/>
      <c r="B950" s="18"/>
      <c r="C950" s="18"/>
      <c r="D950" s="18"/>
      <c r="E950" s="16"/>
      <c r="F950" s="17"/>
      <c r="G950" s="3"/>
      <c r="H950" s="3" t="str">
        <f t="shared" ref="H950:H1013" si="49">IF(A950="INFORMACIÓN O DOCUMENTOS", 10, IF(A950="CONSULTA", 30, IF(A950="FACTURACIÓN Y COBROS", 15, IF(A950="VINCULACIÓN Y DESVINCULACIÓN", 15, IF(A950="NO ES DE NUESTRA COMPETENCIA", 5, IF(A950="OTRO", 15, ""))))))</f>
        <v/>
      </c>
      <c r="I950" s="3" t="str">
        <f ca="1">IF(AND(F950&lt;&gt;"", J950&lt;&gt;""), NETWORKDAYS(TODAY(), J950-1, FESTIVOS!A$1:A$55), "")</f>
        <v/>
      </c>
      <c r="J950" s="4" t="str">
        <f>IF(AND(F950&lt;&gt;"", H950&lt;&gt;""), WORKDAY(F950, H950, FESTIVOS!A$1:A$55), "")</f>
        <v/>
      </c>
      <c r="K950" s="3"/>
      <c r="L950" s="3" t="str">
        <f t="shared" ref="L950:L1013" ca="1" si="50">IF(I950="", "", MAX(0, I950 - (TODAY() - TODAY())))</f>
        <v/>
      </c>
      <c r="M950" s="3" t="str">
        <f t="shared" ref="M950:M1013" ca="1" si="51">IF(OR(I950="", H950=""), "", IF(I950&lt;0, "Vencido", IF(I950&gt;(H950/2), "Supere la mitad", "Bajo la mitad")))</f>
        <v/>
      </c>
      <c r="N950" s="3"/>
      <c r="O950" s="3"/>
      <c r="P950" s="4" t="str">
        <f>IF(OR(O950="", J950=""), "", NETWORKDAYS(J950, O950,#REF!))</f>
        <v/>
      </c>
    </row>
    <row r="951" spans="1:16" ht="15.75" x14ac:dyDescent="0.25">
      <c r="A951" s="3"/>
      <c r="B951" s="18"/>
      <c r="C951" s="18"/>
      <c r="D951" s="18"/>
      <c r="E951" s="16"/>
      <c r="F951" s="17"/>
      <c r="G951" s="3"/>
      <c r="H951" s="3" t="str">
        <f t="shared" si="49"/>
        <v/>
      </c>
      <c r="I951" s="3" t="str">
        <f ca="1">IF(AND(F951&lt;&gt;"", J951&lt;&gt;""), NETWORKDAYS(TODAY(), J951-1, FESTIVOS!A$1:A$55), "")</f>
        <v/>
      </c>
      <c r="J951" s="4" t="str">
        <f>IF(AND(F951&lt;&gt;"", H951&lt;&gt;""), WORKDAY(F951, H951, FESTIVOS!A$1:A$55), "")</f>
        <v/>
      </c>
      <c r="K951" s="3"/>
      <c r="L951" s="3" t="str">
        <f t="shared" ca="1" si="50"/>
        <v/>
      </c>
      <c r="M951" s="3" t="str">
        <f t="shared" ca="1" si="51"/>
        <v/>
      </c>
      <c r="N951" s="3"/>
      <c r="O951" s="3"/>
      <c r="P951" s="4" t="str">
        <f>IF(OR(O951="", J951=""), "", NETWORKDAYS(J951, O951,#REF!))</f>
        <v/>
      </c>
    </row>
    <row r="952" spans="1:16" ht="15.75" x14ac:dyDescent="0.25">
      <c r="A952" s="3"/>
      <c r="B952" s="18"/>
      <c r="C952" s="18"/>
      <c r="D952" s="18"/>
      <c r="E952" s="16"/>
      <c r="F952" s="17"/>
      <c r="G952" s="3"/>
      <c r="H952" s="3" t="str">
        <f t="shared" si="49"/>
        <v/>
      </c>
      <c r="I952" s="3" t="str">
        <f ca="1">IF(AND(F952&lt;&gt;"", J952&lt;&gt;""), NETWORKDAYS(TODAY(), J952-1, FESTIVOS!A$1:A$55), "")</f>
        <v/>
      </c>
      <c r="J952" s="4" t="str">
        <f>IF(AND(F952&lt;&gt;"", H952&lt;&gt;""), WORKDAY(F952, H952, FESTIVOS!A$1:A$55), "")</f>
        <v/>
      </c>
      <c r="K952" s="3"/>
      <c r="L952" s="3" t="str">
        <f t="shared" ca="1" si="50"/>
        <v/>
      </c>
      <c r="M952" s="3" t="str">
        <f t="shared" ca="1" si="51"/>
        <v/>
      </c>
      <c r="N952" s="3"/>
      <c r="O952" s="3"/>
      <c r="P952" s="4" t="str">
        <f>IF(OR(O952="", J952=""), "", NETWORKDAYS(J952, O952,#REF!))</f>
        <v/>
      </c>
    </row>
    <row r="953" spans="1:16" ht="15.75" x14ac:dyDescent="0.25">
      <c r="A953" s="3"/>
      <c r="B953" s="18"/>
      <c r="C953" s="18"/>
      <c r="D953" s="18"/>
      <c r="E953" s="16"/>
      <c r="F953" s="17"/>
      <c r="G953" s="3"/>
      <c r="H953" s="3" t="str">
        <f t="shared" si="49"/>
        <v/>
      </c>
      <c r="I953" s="3" t="str">
        <f ca="1">IF(AND(F953&lt;&gt;"", J953&lt;&gt;""), NETWORKDAYS(TODAY(), J953-1, FESTIVOS!A$1:A$55), "")</f>
        <v/>
      </c>
      <c r="J953" s="4" t="str">
        <f>IF(AND(F953&lt;&gt;"", H953&lt;&gt;""), WORKDAY(F953, H953, FESTIVOS!A$1:A$55), "")</f>
        <v/>
      </c>
      <c r="K953" s="3"/>
      <c r="L953" s="3" t="str">
        <f t="shared" ca="1" si="50"/>
        <v/>
      </c>
      <c r="M953" s="3" t="str">
        <f t="shared" ca="1" si="51"/>
        <v/>
      </c>
      <c r="N953" s="3"/>
      <c r="O953" s="3"/>
      <c r="P953" s="4" t="str">
        <f>IF(OR(O953="", J953=""), "", NETWORKDAYS(J953, O953,#REF!))</f>
        <v/>
      </c>
    </row>
    <row r="954" spans="1:16" ht="15.75" x14ac:dyDescent="0.25">
      <c r="A954" s="3"/>
      <c r="B954" s="18"/>
      <c r="C954" s="18"/>
      <c r="D954" s="18"/>
      <c r="E954" s="16"/>
      <c r="F954" s="17"/>
      <c r="G954" s="3"/>
      <c r="H954" s="3" t="str">
        <f t="shared" si="49"/>
        <v/>
      </c>
      <c r="I954" s="3" t="str">
        <f ca="1">IF(AND(F954&lt;&gt;"", J954&lt;&gt;""), NETWORKDAYS(TODAY(), J954-1, FESTIVOS!A$1:A$55), "")</f>
        <v/>
      </c>
      <c r="J954" s="4" t="str">
        <f>IF(AND(F954&lt;&gt;"", H954&lt;&gt;""), WORKDAY(F954, H954, FESTIVOS!A$1:A$55), "")</f>
        <v/>
      </c>
      <c r="K954" s="3"/>
      <c r="L954" s="3" t="str">
        <f t="shared" ca="1" si="50"/>
        <v/>
      </c>
      <c r="M954" s="3" t="str">
        <f t="shared" ca="1" si="51"/>
        <v/>
      </c>
      <c r="N954" s="3"/>
      <c r="O954" s="3"/>
      <c r="P954" s="4" t="str">
        <f>IF(OR(O954="", J954=""), "", NETWORKDAYS(J954, O954,#REF!))</f>
        <v/>
      </c>
    </row>
    <row r="955" spans="1:16" ht="15.75" x14ac:dyDescent="0.25">
      <c r="A955" s="3"/>
      <c r="B955" s="18"/>
      <c r="C955" s="18"/>
      <c r="D955" s="18"/>
      <c r="E955" s="16"/>
      <c r="F955" s="17"/>
      <c r="G955" s="3"/>
      <c r="H955" s="3" t="str">
        <f t="shared" si="49"/>
        <v/>
      </c>
      <c r="I955" s="3" t="str">
        <f ca="1">IF(AND(F955&lt;&gt;"", J955&lt;&gt;""), NETWORKDAYS(TODAY(), J955-1, FESTIVOS!A$1:A$55), "")</f>
        <v/>
      </c>
      <c r="J955" s="4" t="str">
        <f>IF(AND(F955&lt;&gt;"", H955&lt;&gt;""), WORKDAY(F955, H955, FESTIVOS!A$1:A$55), "")</f>
        <v/>
      </c>
      <c r="K955" s="3"/>
      <c r="L955" s="3" t="str">
        <f t="shared" ca="1" si="50"/>
        <v/>
      </c>
      <c r="M955" s="3" t="str">
        <f t="shared" ca="1" si="51"/>
        <v/>
      </c>
      <c r="N955" s="3"/>
      <c r="O955" s="3"/>
      <c r="P955" s="4" t="str">
        <f>IF(OR(O955="", J955=""), "", NETWORKDAYS(J955, O955,#REF!))</f>
        <v/>
      </c>
    </row>
    <row r="956" spans="1:16" ht="15.75" x14ac:dyDescent="0.25">
      <c r="A956" s="3"/>
      <c r="B956" s="18"/>
      <c r="C956" s="18"/>
      <c r="D956" s="18"/>
      <c r="E956" s="16"/>
      <c r="F956" s="17"/>
      <c r="G956" s="3"/>
      <c r="H956" s="3" t="str">
        <f t="shared" si="49"/>
        <v/>
      </c>
      <c r="I956" s="3" t="str">
        <f ca="1">IF(AND(F956&lt;&gt;"", J956&lt;&gt;""), NETWORKDAYS(TODAY(), J956-1, FESTIVOS!A$1:A$55), "")</f>
        <v/>
      </c>
      <c r="J956" s="4" t="str">
        <f>IF(AND(F956&lt;&gt;"", H956&lt;&gt;""), WORKDAY(F956, H956, FESTIVOS!A$1:A$55), "")</f>
        <v/>
      </c>
      <c r="K956" s="3"/>
      <c r="L956" s="3" t="str">
        <f t="shared" ca="1" si="50"/>
        <v/>
      </c>
      <c r="M956" s="3" t="str">
        <f t="shared" ca="1" si="51"/>
        <v/>
      </c>
      <c r="N956" s="3"/>
      <c r="O956" s="3"/>
      <c r="P956" s="4" t="str">
        <f>IF(OR(O956="", J956=""), "", NETWORKDAYS(J956, O956,#REF!))</f>
        <v/>
      </c>
    </row>
    <row r="957" spans="1:16" ht="15.75" x14ac:dyDescent="0.25">
      <c r="A957" s="3"/>
      <c r="B957" s="18"/>
      <c r="C957" s="18"/>
      <c r="D957" s="18"/>
      <c r="E957" s="16"/>
      <c r="F957" s="17"/>
      <c r="G957" s="3"/>
      <c r="H957" s="3" t="str">
        <f t="shared" si="49"/>
        <v/>
      </c>
      <c r="I957" s="3" t="str">
        <f ca="1">IF(AND(F957&lt;&gt;"", J957&lt;&gt;""), NETWORKDAYS(TODAY(), J957-1, FESTIVOS!A$1:A$55), "")</f>
        <v/>
      </c>
      <c r="J957" s="4" t="str">
        <f>IF(AND(F957&lt;&gt;"", H957&lt;&gt;""), WORKDAY(F957, H957, FESTIVOS!A$1:A$55), "")</f>
        <v/>
      </c>
      <c r="K957" s="3"/>
      <c r="L957" s="3" t="str">
        <f t="shared" ca="1" si="50"/>
        <v/>
      </c>
      <c r="M957" s="3" t="str">
        <f t="shared" ca="1" si="51"/>
        <v/>
      </c>
      <c r="N957" s="3"/>
      <c r="O957" s="3"/>
      <c r="P957" s="4" t="str">
        <f>IF(OR(O957="", J957=""), "", NETWORKDAYS(J957, O957,#REF!))</f>
        <v/>
      </c>
    </row>
    <row r="958" spans="1:16" ht="15.75" x14ac:dyDescent="0.25">
      <c r="A958" s="3"/>
      <c r="B958" s="18"/>
      <c r="C958" s="18"/>
      <c r="D958" s="18"/>
      <c r="E958" s="16"/>
      <c r="F958" s="17"/>
      <c r="G958" s="3"/>
      <c r="H958" s="3" t="str">
        <f t="shared" si="49"/>
        <v/>
      </c>
      <c r="I958" s="3" t="str">
        <f ca="1">IF(AND(F958&lt;&gt;"", J958&lt;&gt;""), NETWORKDAYS(TODAY(), J958-1, FESTIVOS!A$1:A$55), "")</f>
        <v/>
      </c>
      <c r="J958" s="4" t="str">
        <f>IF(AND(F958&lt;&gt;"", H958&lt;&gt;""), WORKDAY(F958, H958, FESTIVOS!A$1:A$55), "")</f>
        <v/>
      </c>
      <c r="K958" s="3"/>
      <c r="L958" s="3" t="str">
        <f t="shared" ca="1" si="50"/>
        <v/>
      </c>
      <c r="M958" s="3" t="str">
        <f t="shared" ca="1" si="51"/>
        <v/>
      </c>
      <c r="N958" s="3"/>
      <c r="O958" s="3"/>
      <c r="P958" s="4" t="str">
        <f>IF(OR(O958="", J958=""), "", NETWORKDAYS(J958, O958,#REF!))</f>
        <v/>
      </c>
    </row>
    <row r="959" spans="1:16" ht="15.75" x14ac:dyDescent="0.25">
      <c r="A959" s="3"/>
      <c r="B959" s="18"/>
      <c r="C959" s="18"/>
      <c r="D959" s="18"/>
      <c r="E959" s="16"/>
      <c r="F959" s="17"/>
      <c r="G959" s="3"/>
      <c r="H959" s="3" t="str">
        <f t="shared" si="49"/>
        <v/>
      </c>
      <c r="I959" s="3" t="str">
        <f ca="1">IF(AND(F959&lt;&gt;"", J959&lt;&gt;""), NETWORKDAYS(TODAY(), J959-1, FESTIVOS!A$1:A$55), "")</f>
        <v/>
      </c>
      <c r="J959" s="4" t="str">
        <f>IF(AND(F959&lt;&gt;"", H959&lt;&gt;""), WORKDAY(F959, H959, FESTIVOS!A$1:A$55), "")</f>
        <v/>
      </c>
      <c r="K959" s="3"/>
      <c r="L959" s="3" t="str">
        <f t="shared" ca="1" si="50"/>
        <v/>
      </c>
      <c r="M959" s="3" t="str">
        <f t="shared" ca="1" si="51"/>
        <v/>
      </c>
      <c r="N959" s="3"/>
      <c r="O959" s="3"/>
      <c r="P959" s="4" t="str">
        <f>IF(OR(O959="", J959=""), "", NETWORKDAYS(J959, O959,#REF!))</f>
        <v/>
      </c>
    </row>
    <row r="960" spans="1:16" ht="15.75" x14ac:dyDescent="0.25">
      <c r="A960" s="3"/>
      <c r="B960" s="18"/>
      <c r="C960" s="18"/>
      <c r="D960" s="18"/>
      <c r="E960" s="16"/>
      <c r="F960" s="17"/>
      <c r="G960" s="3"/>
      <c r="H960" s="3" t="str">
        <f t="shared" si="49"/>
        <v/>
      </c>
      <c r="I960" s="3" t="str">
        <f ca="1">IF(AND(F960&lt;&gt;"", J960&lt;&gt;""), NETWORKDAYS(TODAY(), J960-1, FESTIVOS!A$1:A$55), "")</f>
        <v/>
      </c>
      <c r="J960" s="4" t="str">
        <f>IF(AND(F960&lt;&gt;"", H960&lt;&gt;""), WORKDAY(F960, H960, FESTIVOS!A$1:A$55), "")</f>
        <v/>
      </c>
      <c r="K960" s="3"/>
      <c r="L960" s="3" t="str">
        <f t="shared" ca="1" si="50"/>
        <v/>
      </c>
      <c r="M960" s="3" t="str">
        <f t="shared" ca="1" si="51"/>
        <v/>
      </c>
      <c r="N960" s="3"/>
      <c r="O960" s="3"/>
      <c r="P960" s="4" t="str">
        <f>IF(OR(O960="", J960=""), "", NETWORKDAYS(J960, O960,#REF!))</f>
        <v/>
      </c>
    </row>
    <row r="961" spans="1:16" ht="15.75" x14ac:dyDescent="0.25">
      <c r="A961" s="3"/>
      <c r="B961" s="18"/>
      <c r="C961" s="18"/>
      <c r="D961" s="18"/>
      <c r="E961" s="16"/>
      <c r="F961" s="17"/>
      <c r="G961" s="3"/>
      <c r="H961" s="3" t="str">
        <f t="shared" si="49"/>
        <v/>
      </c>
      <c r="I961" s="3" t="str">
        <f ca="1">IF(AND(F961&lt;&gt;"", J961&lt;&gt;""), NETWORKDAYS(TODAY(), J961-1, FESTIVOS!A$1:A$55), "")</f>
        <v/>
      </c>
      <c r="J961" s="4" t="str">
        <f>IF(AND(F961&lt;&gt;"", H961&lt;&gt;""), WORKDAY(F961, H961, FESTIVOS!A$1:A$55), "")</f>
        <v/>
      </c>
      <c r="K961" s="3"/>
      <c r="L961" s="3" t="str">
        <f t="shared" ca="1" si="50"/>
        <v/>
      </c>
      <c r="M961" s="3" t="str">
        <f t="shared" ca="1" si="51"/>
        <v/>
      </c>
      <c r="N961" s="3"/>
      <c r="O961" s="3"/>
      <c r="P961" s="4" t="str">
        <f>IF(OR(O961="", J961=""), "", NETWORKDAYS(J961, O961,#REF!))</f>
        <v/>
      </c>
    </row>
    <row r="962" spans="1:16" ht="15.75" x14ac:dyDescent="0.25">
      <c r="A962" s="3"/>
      <c r="B962" s="18"/>
      <c r="C962" s="18"/>
      <c r="D962" s="18"/>
      <c r="E962" s="16"/>
      <c r="F962" s="17"/>
      <c r="G962" s="3"/>
      <c r="H962" s="3" t="str">
        <f t="shared" si="49"/>
        <v/>
      </c>
      <c r="I962" s="3" t="str">
        <f ca="1">IF(AND(F962&lt;&gt;"", J962&lt;&gt;""), NETWORKDAYS(TODAY(), J962-1, FESTIVOS!A$1:A$55), "")</f>
        <v/>
      </c>
      <c r="J962" s="4" t="str">
        <f>IF(AND(F962&lt;&gt;"", H962&lt;&gt;""), WORKDAY(F962, H962, FESTIVOS!A$1:A$55), "")</f>
        <v/>
      </c>
      <c r="K962" s="3"/>
      <c r="L962" s="3" t="str">
        <f t="shared" ca="1" si="50"/>
        <v/>
      </c>
      <c r="M962" s="3" t="str">
        <f t="shared" ca="1" si="51"/>
        <v/>
      </c>
      <c r="N962" s="3"/>
      <c r="O962" s="3"/>
      <c r="P962" s="4" t="str">
        <f>IF(OR(O962="", J962=""), "", NETWORKDAYS(J962, O962,#REF!))</f>
        <v/>
      </c>
    </row>
    <row r="963" spans="1:16" ht="15.75" x14ac:dyDescent="0.25">
      <c r="A963" s="3"/>
      <c r="B963" s="18"/>
      <c r="C963" s="18"/>
      <c r="D963" s="18"/>
      <c r="E963" s="16"/>
      <c r="F963" s="17"/>
      <c r="G963" s="3"/>
      <c r="H963" s="3" t="str">
        <f t="shared" si="49"/>
        <v/>
      </c>
      <c r="I963" s="3" t="str">
        <f ca="1">IF(AND(F963&lt;&gt;"", J963&lt;&gt;""), NETWORKDAYS(TODAY(), J963-1, FESTIVOS!A$1:A$55), "")</f>
        <v/>
      </c>
      <c r="J963" s="4" t="str">
        <f>IF(AND(F963&lt;&gt;"", H963&lt;&gt;""), WORKDAY(F963, H963, FESTIVOS!A$1:A$55), "")</f>
        <v/>
      </c>
      <c r="K963" s="3"/>
      <c r="L963" s="3" t="str">
        <f t="shared" ca="1" si="50"/>
        <v/>
      </c>
      <c r="M963" s="3" t="str">
        <f t="shared" ca="1" si="51"/>
        <v/>
      </c>
      <c r="N963" s="3"/>
      <c r="O963" s="3"/>
      <c r="P963" s="4" t="str">
        <f>IF(OR(O963="", J963=""), "", NETWORKDAYS(J963, O963,#REF!))</f>
        <v/>
      </c>
    </row>
    <row r="964" spans="1:16" ht="15.75" x14ac:dyDescent="0.25">
      <c r="A964" s="3"/>
      <c r="B964" s="18"/>
      <c r="C964" s="18"/>
      <c r="D964" s="18"/>
      <c r="E964" s="16"/>
      <c r="F964" s="17"/>
      <c r="G964" s="3"/>
      <c r="H964" s="3" t="str">
        <f t="shared" si="49"/>
        <v/>
      </c>
      <c r="I964" s="3" t="str">
        <f ca="1">IF(AND(F964&lt;&gt;"", J964&lt;&gt;""), NETWORKDAYS(TODAY(), J964-1, FESTIVOS!A$1:A$55), "")</f>
        <v/>
      </c>
      <c r="J964" s="4" t="str">
        <f>IF(AND(F964&lt;&gt;"", H964&lt;&gt;""), WORKDAY(F964, H964, FESTIVOS!A$1:A$55), "")</f>
        <v/>
      </c>
      <c r="K964" s="3"/>
      <c r="L964" s="3" t="str">
        <f t="shared" ca="1" si="50"/>
        <v/>
      </c>
      <c r="M964" s="3" t="str">
        <f t="shared" ca="1" si="51"/>
        <v/>
      </c>
      <c r="N964" s="3"/>
      <c r="O964" s="3"/>
      <c r="P964" s="4" t="str">
        <f>IF(OR(O964="", J964=""), "", NETWORKDAYS(J964, O964,#REF!))</f>
        <v/>
      </c>
    </row>
    <row r="965" spans="1:16" ht="15.75" x14ac:dyDescent="0.25">
      <c r="A965" s="3"/>
      <c r="B965" s="18"/>
      <c r="C965" s="18"/>
      <c r="D965" s="18"/>
      <c r="E965" s="16"/>
      <c r="F965" s="17"/>
      <c r="G965" s="3"/>
      <c r="H965" s="3" t="str">
        <f t="shared" si="49"/>
        <v/>
      </c>
      <c r="I965" s="3" t="str">
        <f ca="1">IF(AND(F965&lt;&gt;"", J965&lt;&gt;""), NETWORKDAYS(TODAY(), J965-1, FESTIVOS!A$1:A$55), "")</f>
        <v/>
      </c>
      <c r="J965" s="4" t="str">
        <f>IF(AND(F965&lt;&gt;"", H965&lt;&gt;""), WORKDAY(F965, H965, FESTIVOS!A$1:A$55), "")</f>
        <v/>
      </c>
      <c r="K965" s="3"/>
      <c r="L965" s="3" t="str">
        <f t="shared" ca="1" si="50"/>
        <v/>
      </c>
      <c r="M965" s="3" t="str">
        <f t="shared" ca="1" si="51"/>
        <v/>
      </c>
      <c r="N965" s="3"/>
      <c r="O965" s="3"/>
      <c r="P965" s="4" t="str">
        <f>IF(OR(O965="", J965=""), "", NETWORKDAYS(J965, O965,#REF!))</f>
        <v/>
      </c>
    </row>
    <row r="966" spans="1:16" ht="15.75" x14ac:dyDescent="0.25">
      <c r="A966" s="3"/>
      <c r="B966" s="18"/>
      <c r="C966" s="18"/>
      <c r="D966" s="18"/>
      <c r="E966" s="16"/>
      <c r="F966" s="17"/>
      <c r="G966" s="3"/>
      <c r="H966" s="3" t="str">
        <f t="shared" si="49"/>
        <v/>
      </c>
      <c r="I966" s="3" t="str">
        <f ca="1">IF(AND(F966&lt;&gt;"", J966&lt;&gt;""), NETWORKDAYS(TODAY(), J966-1, FESTIVOS!A$1:A$55), "")</f>
        <v/>
      </c>
      <c r="J966" s="4" t="str">
        <f>IF(AND(F966&lt;&gt;"", H966&lt;&gt;""), WORKDAY(F966, H966, FESTIVOS!A$1:A$55), "")</f>
        <v/>
      </c>
      <c r="K966" s="3"/>
      <c r="L966" s="3" t="str">
        <f t="shared" ca="1" si="50"/>
        <v/>
      </c>
      <c r="M966" s="3" t="str">
        <f t="shared" ca="1" si="51"/>
        <v/>
      </c>
      <c r="N966" s="3"/>
      <c r="O966" s="3"/>
      <c r="P966" s="4" t="str">
        <f>IF(OR(O966="", J966=""), "", NETWORKDAYS(J966, O966,#REF!))</f>
        <v/>
      </c>
    </row>
    <row r="967" spans="1:16" ht="15.75" x14ac:dyDescent="0.25">
      <c r="A967" s="3"/>
      <c r="B967" s="18"/>
      <c r="C967" s="18"/>
      <c r="D967" s="18"/>
      <c r="E967" s="16"/>
      <c r="F967" s="17"/>
      <c r="G967" s="3"/>
      <c r="H967" s="3" t="str">
        <f t="shared" si="49"/>
        <v/>
      </c>
      <c r="I967" s="3" t="str">
        <f ca="1">IF(AND(F967&lt;&gt;"", J967&lt;&gt;""), NETWORKDAYS(TODAY(), J967-1, FESTIVOS!A$1:A$55), "")</f>
        <v/>
      </c>
      <c r="J967" s="4" t="str">
        <f>IF(AND(F967&lt;&gt;"", H967&lt;&gt;""), WORKDAY(F967, H967, FESTIVOS!A$1:A$55), "")</f>
        <v/>
      </c>
      <c r="K967" s="3"/>
      <c r="L967" s="3" t="str">
        <f t="shared" ca="1" si="50"/>
        <v/>
      </c>
      <c r="M967" s="3" t="str">
        <f t="shared" ca="1" si="51"/>
        <v/>
      </c>
      <c r="N967" s="3"/>
      <c r="O967" s="3"/>
      <c r="P967" s="4" t="str">
        <f>IF(OR(O967="", J967=""), "", NETWORKDAYS(J967, O967,#REF!))</f>
        <v/>
      </c>
    </row>
    <row r="968" spans="1:16" ht="15.75" x14ac:dyDescent="0.25">
      <c r="A968" s="3"/>
      <c r="B968" s="18"/>
      <c r="C968" s="18"/>
      <c r="D968" s="18"/>
      <c r="E968" s="16"/>
      <c r="F968" s="17"/>
      <c r="G968" s="3"/>
      <c r="H968" s="3" t="str">
        <f t="shared" si="49"/>
        <v/>
      </c>
      <c r="I968" s="3" t="str">
        <f ca="1">IF(AND(F968&lt;&gt;"", J968&lt;&gt;""), NETWORKDAYS(TODAY(), J968-1, FESTIVOS!A$1:A$55), "")</f>
        <v/>
      </c>
      <c r="J968" s="4" t="str">
        <f>IF(AND(F968&lt;&gt;"", H968&lt;&gt;""), WORKDAY(F968, H968, FESTIVOS!A$1:A$55), "")</f>
        <v/>
      </c>
      <c r="K968" s="3"/>
      <c r="L968" s="3" t="str">
        <f t="shared" ca="1" si="50"/>
        <v/>
      </c>
      <c r="M968" s="3" t="str">
        <f t="shared" ca="1" si="51"/>
        <v/>
      </c>
      <c r="N968" s="3"/>
      <c r="O968" s="3"/>
      <c r="P968" s="4" t="str">
        <f>IF(OR(O968="", J968=""), "", NETWORKDAYS(J968, O968,#REF!))</f>
        <v/>
      </c>
    </row>
    <row r="969" spans="1:16" ht="15.75" x14ac:dyDescent="0.25">
      <c r="A969" s="3"/>
      <c r="B969" s="18"/>
      <c r="C969" s="18"/>
      <c r="D969" s="18"/>
      <c r="E969" s="16"/>
      <c r="F969" s="17"/>
      <c r="G969" s="3"/>
      <c r="H969" s="3" t="str">
        <f t="shared" si="49"/>
        <v/>
      </c>
      <c r="I969" s="3" t="str">
        <f ca="1">IF(AND(F969&lt;&gt;"", J969&lt;&gt;""), NETWORKDAYS(TODAY(), J969-1, FESTIVOS!A$1:A$55), "")</f>
        <v/>
      </c>
      <c r="J969" s="4" t="str">
        <f>IF(AND(F969&lt;&gt;"", H969&lt;&gt;""), WORKDAY(F969, H969, FESTIVOS!A$1:A$55), "")</f>
        <v/>
      </c>
      <c r="K969" s="3"/>
      <c r="L969" s="3" t="str">
        <f t="shared" ca="1" si="50"/>
        <v/>
      </c>
      <c r="M969" s="3" t="str">
        <f t="shared" ca="1" si="51"/>
        <v/>
      </c>
      <c r="N969" s="3"/>
      <c r="O969" s="3"/>
      <c r="P969" s="4" t="str">
        <f>IF(OR(O969="", J969=""), "", NETWORKDAYS(J969, O969,#REF!))</f>
        <v/>
      </c>
    </row>
    <row r="970" spans="1:16" ht="15.75" x14ac:dyDescent="0.25">
      <c r="A970" s="3"/>
      <c r="B970" s="18"/>
      <c r="C970" s="18"/>
      <c r="D970" s="18"/>
      <c r="E970" s="16"/>
      <c r="F970" s="17"/>
      <c r="G970" s="3"/>
      <c r="H970" s="3" t="str">
        <f t="shared" si="49"/>
        <v/>
      </c>
      <c r="I970" s="3" t="str">
        <f ca="1">IF(AND(F970&lt;&gt;"", J970&lt;&gt;""), NETWORKDAYS(TODAY(), J970-1, FESTIVOS!A$1:A$55), "")</f>
        <v/>
      </c>
      <c r="J970" s="4" t="str">
        <f>IF(AND(F970&lt;&gt;"", H970&lt;&gt;""), WORKDAY(F970, H970, FESTIVOS!A$1:A$55), "")</f>
        <v/>
      </c>
      <c r="K970" s="3"/>
      <c r="L970" s="3" t="str">
        <f t="shared" ca="1" si="50"/>
        <v/>
      </c>
      <c r="M970" s="3" t="str">
        <f t="shared" ca="1" si="51"/>
        <v/>
      </c>
      <c r="N970" s="3"/>
      <c r="O970" s="3"/>
      <c r="P970" s="4" t="str">
        <f>IF(OR(O970="", J970=""), "", NETWORKDAYS(J970, O970,#REF!))</f>
        <v/>
      </c>
    </row>
    <row r="971" spans="1:16" ht="15.75" x14ac:dyDescent="0.25">
      <c r="A971" s="3"/>
      <c r="B971" s="18"/>
      <c r="C971" s="18"/>
      <c r="D971" s="18"/>
      <c r="E971" s="16"/>
      <c r="F971" s="17"/>
      <c r="G971" s="3"/>
      <c r="H971" s="3" t="str">
        <f t="shared" si="49"/>
        <v/>
      </c>
      <c r="I971" s="3" t="str">
        <f ca="1">IF(AND(F971&lt;&gt;"", J971&lt;&gt;""), NETWORKDAYS(TODAY(), J971-1, FESTIVOS!A$1:A$55), "")</f>
        <v/>
      </c>
      <c r="J971" s="4" t="str">
        <f>IF(AND(F971&lt;&gt;"", H971&lt;&gt;""), WORKDAY(F971, H971, FESTIVOS!A$1:A$55), "")</f>
        <v/>
      </c>
      <c r="K971" s="3"/>
      <c r="L971" s="3" t="str">
        <f t="shared" ca="1" si="50"/>
        <v/>
      </c>
      <c r="M971" s="3" t="str">
        <f t="shared" ca="1" si="51"/>
        <v/>
      </c>
      <c r="N971" s="3"/>
      <c r="O971" s="3"/>
      <c r="P971" s="4" t="str">
        <f>IF(OR(O971="", J971=""), "", NETWORKDAYS(J971, O971,#REF!))</f>
        <v/>
      </c>
    </row>
    <row r="972" spans="1:16" ht="15.75" x14ac:dyDescent="0.25">
      <c r="A972" s="3"/>
      <c r="B972" s="18"/>
      <c r="C972" s="18"/>
      <c r="D972" s="18"/>
      <c r="E972" s="16"/>
      <c r="F972" s="17"/>
      <c r="G972" s="3"/>
      <c r="H972" s="3" t="str">
        <f t="shared" si="49"/>
        <v/>
      </c>
      <c r="I972" s="3" t="str">
        <f ca="1">IF(AND(F972&lt;&gt;"", J972&lt;&gt;""), NETWORKDAYS(TODAY(), J972-1, FESTIVOS!A$1:A$55), "")</f>
        <v/>
      </c>
      <c r="J972" s="4" t="str">
        <f>IF(AND(F972&lt;&gt;"", H972&lt;&gt;""), WORKDAY(F972, H972, FESTIVOS!A$1:A$55), "")</f>
        <v/>
      </c>
      <c r="K972" s="3"/>
      <c r="L972" s="3" t="str">
        <f t="shared" ca="1" si="50"/>
        <v/>
      </c>
      <c r="M972" s="3" t="str">
        <f t="shared" ca="1" si="51"/>
        <v/>
      </c>
      <c r="N972" s="3"/>
      <c r="O972" s="3"/>
      <c r="P972" s="4" t="str">
        <f>IF(OR(O972="", J972=""), "", NETWORKDAYS(J972, O972,#REF!))</f>
        <v/>
      </c>
    </row>
    <row r="973" spans="1:16" ht="15.75" x14ac:dyDescent="0.25">
      <c r="A973" s="3"/>
      <c r="B973" s="18"/>
      <c r="C973" s="18"/>
      <c r="D973" s="18"/>
      <c r="E973" s="16"/>
      <c r="F973" s="17"/>
      <c r="G973" s="3"/>
      <c r="H973" s="3" t="str">
        <f t="shared" si="49"/>
        <v/>
      </c>
      <c r="I973" s="3" t="str">
        <f ca="1">IF(AND(F973&lt;&gt;"", J973&lt;&gt;""), NETWORKDAYS(TODAY(), J973-1, FESTIVOS!A$1:A$55), "")</f>
        <v/>
      </c>
      <c r="J973" s="4" t="str">
        <f>IF(AND(F973&lt;&gt;"", H973&lt;&gt;""), WORKDAY(F973, H973, FESTIVOS!A$1:A$55), "")</f>
        <v/>
      </c>
      <c r="K973" s="3"/>
      <c r="L973" s="3" t="str">
        <f t="shared" ca="1" si="50"/>
        <v/>
      </c>
      <c r="M973" s="3" t="str">
        <f t="shared" ca="1" si="51"/>
        <v/>
      </c>
      <c r="N973" s="3"/>
      <c r="O973" s="3"/>
      <c r="P973" s="4" t="str">
        <f>IF(OR(O973="", J973=""), "", NETWORKDAYS(J973, O973,#REF!))</f>
        <v/>
      </c>
    </row>
    <row r="974" spans="1:16" ht="15.75" x14ac:dyDescent="0.25">
      <c r="A974" s="3"/>
      <c r="B974" s="18"/>
      <c r="C974" s="18"/>
      <c r="D974" s="18"/>
      <c r="E974" s="16"/>
      <c r="F974" s="17"/>
      <c r="G974" s="3"/>
      <c r="H974" s="3" t="str">
        <f t="shared" si="49"/>
        <v/>
      </c>
      <c r="I974" s="3" t="str">
        <f ca="1">IF(AND(F974&lt;&gt;"", J974&lt;&gt;""), NETWORKDAYS(TODAY(), J974-1, FESTIVOS!A$1:A$55), "")</f>
        <v/>
      </c>
      <c r="J974" s="4" t="str">
        <f>IF(AND(F974&lt;&gt;"", H974&lt;&gt;""), WORKDAY(F974, H974, FESTIVOS!A$1:A$55), "")</f>
        <v/>
      </c>
      <c r="K974" s="3"/>
      <c r="L974" s="3" t="str">
        <f t="shared" ca="1" si="50"/>
        <v/>
      </c>
      <c r="M974" s="3" t="str">
        <f t="shared" ca="1" si="51"/>
        <v/>
      </c>
      <c r="N974" s="3"/>
      <c r="O974" s="3"/>
      <c r="P974" s="4" t="str">
        <f>IF(OR(O974="", J974=""), "", NETWORKDAYS(J974, O974,#REF!))</f>
        <v/>
      </c>
    </row>
    <row r="975" spans="1:16" ht="15.75" x14ac:dyDescent="0.25">
      <c r="A975" s="3"/>
      <c r="B975" s="18"/>
      <c r="C975" s="18"/>
      <c r="D975" s="18"/>
      <c r="E975" s="16"/>
      <c r="F975" s="17"/>
      <c r="G975" s="3"/>
      <c r="H975" s="3" t="str">
        <f t="shared" si="49"/>
        <v/>
      </c>
      <c r="I975" s="3" t="str">
        <f ca="1">IF(AND(F975&lt;&gt;"", J975&lt;&gt;""), NETWORKDAYS(TODAY(), J975-1, FESTIVOS!A$1:A$55), "")</f>
        <v/>
      </c>
      <c r="J975" s="4" t="str">
        <f>IF(AND(F975&lt;&gt;"", H975&lt;&gt;""), WORKDAY(F975, H975, FESTIVOS!A$1:A$55), "")</f>
        <v/>
      </c>
      <c r="K975" s="3"/>
      <c r="L975" s="3" t="str">
        <f t="shared" ca="1" si="50"/>
        <v/>
      </c>
      <c r="M975" s="3" t="str">
        <f t="shared" ca="1" si="51"/>
        <v/>
      </c>
      <c r="N975" s="3"/>
      <c r="O975" s="3"/>
      <c r="P975" s="4" t="str">
        <f>IF(OR(O975="", J975=""), "", NETWORKDAYS(J975, O975,#REF!))</f>
        <v/>
      </c>
    </row>
    <row r="976" spans="1:16" ht="15.75" x14ac:dyDescent="0.25">
      <c r="A976" s="3"/>
      <c r="B976" s="18"/>
      <c r="C976" s="18"/>
      <c r="D976" s="18"/>
      <c r="E976" s="16"/>
      <c r="F976" s="17"/>
      <c r="G976" s="3"/>
      <c r="H976" s="3" t="str">
        <f t="shared" si="49"/>
        <v/>
      </c>
      <c r="I976" s="3" t="str">
        <f ca="1">IF(AND(F976&lt;&gt;"", J976&lt;&gt;""), NETWORKDAYS(TODAY(), J976-1, FESTIVOS!A$1:A$55), "")</f>
        <v/>
      </c>
      <c r="J976" s="4" t="str">
        <f>IF(AND(F976&lt;&gt;"", H976&lt;&gt;""), WORKDAY(F976, H976, FESTIVOS!A$1:A$55), "")</f>
        <v/>
      </c>
      <c r="K976" s="3"/>
      <c r="L976" s="3" t="str">
        <f t="shared" ca="1" si="50"/>
        <v/>
      </c>
      <c r="M976" s="3" t="str">
        <f t="shared" ca="1" si="51"/>
        <v/>
      </c>
      <c r="N976" s="3"/>
      <c r="O976" s="3"/>
      <c r="P976" s="4" t="str">
        <f>IF(OR(O976="", J976=""), "", NETWORKDAYS(J976, O976,#REF!))</f>
        <v/>
      </c>
    </row>
    <row r="977" spans="1:16" ht="15.75" x14ac:dyDescent="0.25">
      <c r="A977" s="3"/>
      <c r="B977" s="18"/>
      <c r="C977" s="18"/>
      <c r="D977" s="18"/>
      <c r="E977" s="16"/>
      <c r="F977" s="17"/>
      <c r="G977" s="3"/>
      <c r="H977" s="3" t="str">
        <f t="shared" si="49"/>
        <v/>
      </c>
      <c r="I977" s="3" t="str">
        <f ca="1">IF(AND(F977&lt;&gt;"", J977&lt;&gt;""), NETWORKDAYS(TODAY(), J977-1, FESTIVOS!A$1:A$55), "")</f>
        <v/>
      </c>
      <c r="J977" s="4" t="str">
        <f>IF(AND(F977&lt;&gt;"", H977&lt;&gt;""), WORKDAY(F977, H977, FESTIVOS!A$1:A$55), "")</f>
        <v/>
      </c>
      <c r="K977" s="3"/>
      <c r="L977" s="3" t="str">
        <f t="shared" ca="1" si="50"/>
        <v/>
      </c>
      <c r="M977" s="3" t="str">
        <f t="shared" ca="1" si="51"/>
        <v/>
      </c>
      <c r="N977" s="3"/>
      <c r="O977" s="3"/>
      <c r="P977" s="4" t="str">
        <f>IF(OR(O977="", J977=""), "", NETWORKDAYS(J977, O977,#REF!))</f>
        <v/>
      </c>
    </row>
    <row r="978" spans="1:16" ht="15.75" x14ac:dyDescent="0.25">
      <c r="A978" s="3"/>
      <c r="B978" s="18"/>
      <c r="C978" s="18"/>
      <c r="D978" s="18"/>
      <c r="E978" s="16"/>
      <c r="F978" s="17"/>
      <c r="G978" s="3"/>
      <c r="H978" s="3" t="str">
        <f t="shared" si="49"/>
        <v/>
      </c>
      <c r="I978" s="3" t="str">
        <f ca="1">IF(AND(F978&lt;&gt;"", J978&lt;&gt;""), NETWORKDAYS(TODAY(), J978-1, FESTIVOS!A$1:A$55), "")</f>
        <v/>
      </c>
      <c r="J978" s="4" t="str">
        <f>IF(AND(F978&lt;&gt;"", H978&lt;&gt;""), WORKDAY(F978, H978, FESTIVOS!A$1:A$55), "")</f>
        <v/>
      </c>
      <c r="K978" s="3"/>
      <c r="L978" s="3" t="str">
        <f t="shared" ca="1" si="50"/>
        <v/>
      </c>
      <c r="M978" s="3" t="str">
        <f t="shared" ca="1" si="51"/>
        <v/>
      </c>
      <c r="N978" s="3"/>
      <c r="O978" s="3"/>
      <c r="P978" s="4" t="str">
        <f>IF(OR(O978="", J978=""), "", NETWORKDAYS(J978, O978,#REF!))</f>
        <v/>
      </c>
    </row>
    <row r="979" spans="1:16" ht="15.75" x14ac:dyDescent="0.25">
      <c r="A979" s="3"/>
      <c r="B979" s="18"/>
      <c r="C979" s="18"/>
      <c r="D979" s="18"/>
      <c r="E979" s="16"/>
      <c r="F979" s="17"/>
      <c r="G979" s="3"/>
      <c r="H979" s="3" t="str">
        <f t="shared" si="49"/>
        <v/>
      </c>
      <c r="I979" s="3" t="str">
        <f ca="1">IF(AND(F979&lt;&gt;"", J979&lt;&gt;""), NETWORKDAYS(TODAY(), J979-1, FESTIVOS!A$1:A$55), "")</f>
        <v/>
      </c>
      <c r="J979" s="4" t="str">
        <f>IF(AND(F979&lt;&gt;"", H979&lt;&gt;""), WORKDAY(F979, H979, FESTIVOS!A$1:A$55), "")</f>
        <v/>
      </c>
      <c r="K979" s="3"/>
      <c r="L979" s="3" t="str">
        <f t="shared" ca="1" si="50"/>
        <v/>
      </c>
      <c r="M979" s="3" t="str">
        <f t="shared" ca="1" si="51"/>
        <v/>
      </c>
      <c r="N979" s="3"/>
      <c r="O979" s="3"/>
      <c r="P979" s="4" t="str">
        <f>IF(OR(O979="", J979=""), "", NETWORKDAYS(J979, O979,#REF!))</f>
        <v/>
      </c>
    </row>
    <row r="980" spans="1:16" ht="15.75" x14ac:dyDescent="0.25">
      <c r="A980" s="3"/>
      <c r="B980" s="18"/>
      <c r="C980" s="18"/>
      <c r="D980" s="18"/>
      <c r="E980" s="16"/>
      <c r="F980" s="17"/>
      <c r="G980" s="3"/>
      <c r="H980" s="3" t="str">
        <f t="shared" si="49"/>
        <v/>
      </c>
      <c r="I980" s="3" t="str">
        <f ca="1">IF(AND(F980&lt;&gt;"", J980&lt;&gt;""), NETWORKDAYS(TODAY(), J980-1, FESTIVOS!A$1:A$55), "")</f>
        <v/>
      </c>
      <c r="J980" s="4" t="str">
        <f>IF(AND(F980&lt;&gt;"", H980&lt;&gt;""), WORKDAY(F980, H980, FESTIVOS!A$1:A$55), "")</f>
        <v/>
      </c>
      <c r="K980" s="3"/>
      <c r="L980" s="3" t="str">
        <f t="shared" ca="1" si="50"/>
        <v/>
      </c>
      <c r="M980" s="3" t="str">
        <f t="shared" ca="1" si="51"/>
        <v/>
      </c>
      <c r="N980" s="3"/>
      <c r="O980" s="3"/>
      <c r="P980" s="4" t="str">
        <f>IF(OR(O980="", J980=""), "", NETWORKDAYS(J980, O980,#REF!))</f>
        <v/>
      </c>
    </row>
    <row r="981" spans="1:16" ht="15.75" x14ac:dyDescent="0.25">
      <c r="A981" s="3"/>
      <c r="B981" s="18"/>
      <c r="C981" s="18"/>
      <c r="D981" s="18"/>
      <c r="E981" s="16"/>
      <c r="F981" s="17"/>
      <c r="G981" s="3"/>
      <c r="H981" s="3" t="str">
        <f t="shared" si="49"/>
        <v/>
      </c>
      <c r="I981" s="3" t="str">
        <f ca="1">IF(AND(F981&lt;&gt;"", J981&lt;&gt;""), NETWORKDAYS(TODAY(), J981-1, FESTIVOS!A$1:A$55), "")</f>
        <v/>
      </c>
      <c r="J981" s="4" t="str">
        <f>IF(AND(F981&lt;&gt;"", H981&lt;&gt;""), WORKDAY(F981, H981, FESTIVOS!A$1:A$55), "")</f>
        <v/>
      </c>
      <c r="K981" s="3"/>
      <c r="L981" s="3" t="str">
        <f t="shared" ca="1" si="50"/>
        <v/>
      </c>
      <c r="M981" s="3" t="str">
        <f t="shared" ca="1" si="51"/>
        <v/>
      </c>
      <c r="N981" s="3"/>
      <c r="O981" s="3"/>
      <c r="P981" s="4" t="str">
        <f>IF(OR(O981="", J981=""), "", NETWORKDAYS(J981, O981,#REF!))</f>
        <v/>
      </c>
    </row>
    <row r="982" spans="1:16" ht="15.75" x14ac:dyDescent="0.25">
      <c r="A982" s="3"/>
      <c r="B982" s="18"/>
      <c r="C982" s="18"/>
      <c r="D982" s="18"/>
      <c r="E982" s="16"/>
      <c r="F982" s="17"/>
      <c r="G982" s="3"/>
      <c r="H982" s="3" t="str">
        <f t="shared" si="49"/>
        <v/>
      </c>
      <c r="I982" s="3" t="str">
        <f ca="1">IF(AND(F982&lt;&gt;"", J982&lt;&gt;""), NETWORKDAYS(TODAY(), J982-1, FESTIVOS!A$1:A$55), "")</f>
        <v/>
      </c>
      <c r="J982" s="4" t="str">
        <f>IF(AND(F982&lt;&gt;"", H982&lt;&gt;""), WORKDAY(F982, H982, FESTIVOS!A$1:A$55), "")</f>
        <v/>
      </c>
      <c r="K982" s="3"/>
      <c r="L982" s="3" t="str">
        <f t="shared" ca="1" si="50"/>
        <v/>
      </c>
      <c r="M982" s="3" t="str">
        <f t="shared" ca="1" si="51"/>
        <v/>
      </c>
      <c r="N982" s="3"/>
      <c r="O982" s="3"/>
      <c r="P982" s="4" t="str">
        <f>IF(OR(O982="", J982=""), "", NETWORKDAYS(J982, O982,#REF!))</f>
        <v/>
      </c>
    </row>
    <row r="983" spans="1:16" ht="15.75" x14ac:dyDescent="0.25">
      <c r="A983" s="3"/>
      <c r="B983" s="18"/>
      <c r="C983" s="18"/>
      <c r="D983" s="18"/>
      <c r="E983" s="16"/>
      <c r="F983" s="17"/>
      <c r="G983" s="3"/>
      <c r="H983" s="3" t="str">
        <f t="shared" si="49"/>
        <v/>
      </c>
      <c r="I983" s="3" t="str">
        <f ca="1">IF(AND(F983&lt;&gt;"", J983&lt;&gt;""), NETWORKDAYS(TODAY(), J983-1, FESTIVOS!A$1:A$55), "")</f>
        <v/>
      </c>
      <c r="J983" s="4" t="str">
        <f>IF(AND(F983&lt;&gt;"", H983&lt;&gt;""), WORKDAY(F983, H983, FESTIVOS!A$1:A$55), "")</f>
        <v/>
      </c>
      <c r="K983" s="3"/>
      <c r="L983" s="3" t="str">
        <f t="shared" ca="1" si="50"/>
        <v/>
      </c>
      <c r="M983" s="3" t="str">
        <f t="shared" ca="1" si="51"/>
        <v/>
      </c>
      <c r="N983" s="3"/>
      <c r="O983" s="3"/>
      <c r="P983" s="4" t="str">
        <f>IF(OR(O983="", J983=""), "", NETWORKDAYS(J983, O983,#REF!))</f>
        <v/>
      </c>
    </row>
    <row r="984" spans="1:16" ht="15.75" x14ac:dyDescent="0.25">
      <c r="A984" s="3"/>
      <c r="B984" s="18"/>
      <c r="C984" s="18"/>
      <c r="D984" s="18"/>
      <c r="E984" s="16"/>
      <c r="F984" s="17"/>
      <c r="G984" s="3"/>
      <c r="H984" s="3" t="str">
        <f t="shared" si="49"/>
        <v/>
      </c>
      <c r="I984" s="3" t="str">
        <f ca="1">IF(AND(F984&lt;&gt;"", J984&lt;&gt;""), NETWORKDAYS(TODAY(), J984-1, FESTIVOS!A$1:A$55), "")</f>
        <v/>
      </c>
      <c r="J984" s="4" t="str">
        <f>IF(AND(F984&lt;&gt;"", H984&lt;&gt;""), WORKDAY(F984, H984, FESTIVOS!A$1:A$55), "")</f>
        <v/>
      </c>
      <c r="K984" s="3"/>
      <c r="L984" s="3" t="str">
        <f t="shared" ca="1" si="50"/>
        <v/>
      </c>
      <c r="M984" s="3" t="str">
        <f t="shared" ca="1" si="51"/>
        <v/>
      </c>
      <c r="N984" s="3"/>
      <c r="O984" s="3"/>
      <c r="P984" s="4" t="str">
        <f>IF(OR(O984="", J984=""), "", NETWORKDAYS(J984, O984,#REF!))</f>
        <v/>
      </c>
    </row>
    <row r="985" spans="1:16" ht="15.75" x14ac:dyDescent="0.25">
      <c r="A985" s="3"/>
      <c r="B985" s="18"/>
      <c r="C985" s="18"/>
      <c r="D985" s="18"/>
      <c r="E985" s="16"/>
      <c r="F985" s="17"/>
      <c r="G985" s="3"/>
      <c r="H985" s="3" t="str">
        <f t="shared" si="49"/>
        <v/>
      </c>
      <c r="I985" s="3" t="str">
        <f ca="1">IF(AND(F985&lt;&gt;"", J985&lt;&gt;""), NETWORKDAYS(TODAY(), J985-1, FESTIVOS!A$1:A$55), "")</f>
        <v/>
      </c>
      <c r="J985" s="4" t="str">
        <f>IF(AND(F985&lt;&gt;"", H985&lt;&gt;""), WORKDAY(F985, H985, FESTIVOS!A$1:A$55), "")</f>
        <v/>
      </c>
      <c r="K985" s="3"/>
      <c r="L985" s="3" t="str">
        <f t="shared" ca="1" si="50"/>
        <v/>
      </c>
      <c r="M985" s="3" t="str">
        <f t="shared" ca="1" si="51"/>
        <v/>
      </c>
      <c r="N985" s="3"/>
      <c r="O985" s="3"/>
      <c r="P985" s="4" t="str">
        <f>IF(OR(O985="", J985=""), "", NETWORKDAYS(J985, O985,#REF!))</f>
        <v/>
      </c>
    </row>
    <row r="986" spans="1:16" ht="15.75" x14ac:dyDescent="0.25">
      <c r="A986" s="3"/>
      <c r="B986" s="18"/>
      <c r="C986" s="18"/>
      <c r="D986" s="18"/>
      <c r="E986" s="16"/>
      <c r="F986" s="17"/>
      <c r="G986" s="3"/>
      <c r="H986" s="3" t="str">
        <f t="shared" si="49"/>
        <v/>
      </c>
      <c r="I986" s="3" t="str">
        <f ca="1">IF(AND(F986&lt;&gt;"", J986&lt;&gt;""), NETWORKDAYS(TODAY(), J986-1, FESTIVOS!A$1:A$55), "")</f>
        <v/>
      </c>
      <c r="J986" s="4" t="str">
        <f>IF(AND(F986&lt;&gt;"", H986&lt;&gt;""), WORKDAY(F986, H986, FESTIVOS!A$1:A$55), "")</f>
        <v/>
      </c>
      <c r="K986" s="3"/>
      <c r="L986" s="3" t="str">
        <f t="shared" ca="1" si="50"/>
        <v/>
      </c>
      <c r="M986" s="3" t="str">
        <f t="shared" ca="1" si="51"/>
        <v/>
      </c>
      <c r="N986" s="3"/>
      <c r="O986" s="3"/>
      <c r="P986" s="4" t="str">
        <f>IF(OR(O986="", J986=""), "", NETWORKDAYS(J986, O986,#REF!))</f>
        <v/>
      </c>
    </row>
    <row r="987" spans="1:16" ht="15.75" x14ac:dyDescent="0.25">
      <c r="A987" s="3"/>
      <c r="B987" s="18"/>
      <c r="C987" s="18"/>
      <c r="D987" s="18"/>
      <c r="E987" s="16"/>
      <c r="F987" s="17"/>
      <c r="G987" s="3"/>
      <c r="H987" s="3" t="str">
        <f t="shared" si="49"/>
        <v/>
      </c>
      <c r="I987" s="3" t="str">
        <f ca="1">IF(AND(F987&lt;&gt;"", J987&lt;&gt;""), NETWORKDAYS(TODAY(), J987-1, FESTIVOS!A$1:A$55), "")</f>
        <v/>
      </c>
      <c r="J987" s="4" t="str">
        <f>IF(AND(F987&lt;&gt;"", H987&lt;&gt;""), WORKDAY(F987, H987, FESTIVOS!A$1:A$55), "")</f>
        <v/>
      </c>
      <c r="K987" s="3"/>
      <c r="L987" s="3" t="str">
        <f t="shared" ca="1" si="50"/>
        <v/>
      </c>
      <c r="M987" s="3" t="str">
        <f t="shared" ca="1" si="51"/>
        <v/>
      </c>
      <c r="N987" s="3"/>
      <c r="O987" s="3"/>
      <c r="P987" s="4" t="str">
        <f>IF(OR(O987="", J987=""), "", NETWORKDAYS(J987, O987,#REF!))</f>
        <v/>
      </c>
    </row>
    <row r="988" spans="1:16" ht="15.75" x14ac:dyDescent="0.25">
      <c r="A988" s="3"/>
      <c r="B988" s="18"/>
      <c r="C988" s="18"/>
      <c r="D988" s="18"/>
      <c r="E988" s="16"/>
      <c r="F988" s="17"/>
      <c r="G988" s="3"/>
      <c r="H988" s="3" t="str">
        <f t="shared" si="49"/>
        <v/>
      </c>
      <c r="I988" s="3" t="str">
        <f ca="1">IF(AND(F988&lt;&gt;"", J988&lt;&gt;""), NETWORKDAYS(TODAY(), J988-1, FESTIVOS!A$1:A$55), "")</f>
        <v/>
      </c>
      <c r="J988" s="4" t="str">
        <f>IF(AND(F988&lt;&gt;"", H988&lt;&gt;""), WORKDAY(F988, H988, FESTIVOS!A$1:A$55), "")</f>
        <v/>
      </c>
      <c r="K988" s="3"/>
      <c r="L988" s="3" t="str">
        <f t="shared" ca="1" si="50"/>
        <v/>
      </c>
      <c r="M988" s="3" t="str">
        <f t="shared" ca="1" si="51"/>
        <v/>
      </c>
      <c r="N988" s="3"/>
      <c r="O988" s="3"/>
      <c r="P988" s="4" t="str">
        <f>IF(OR(O988="", J988=""), "", NETWORKDAYS(J988, O988,#REF!))</f>
        <v/>
      </c>
    </row>
    <row r="989" spans="1:16" ht="15.75" x14ac:dyDescent="0.25">
      <c r="A989" s="3"/>
      <c r="B989" s="18"/>
      <c r="C989" s="18"/>
      <c r="D989" s="18"/>
      <c r="E989" s="16"/>
      <c r="F989" s="17"/>
      <c r="G989" s="3"/>
      <c r="H989" s="3" t="str">
        <f t="shared" si="49"/>
        <v/>
      </c>
      <c r="I989" s="3" t="str">
        <f ca="1">IF(AND(F989&lt;&gt;"", J989&lt;&gt;""), NETWORKDAYS(TODAY(), J989-1, FESTIVOS!A$1:A$55), "")</f>
        <v/>
      </c>
      <c r="J989" s="4" t="str">
        <f>IF(AND(F989&lt;&gt;"", H989&lt;&gt;""), WORKDAY(F989, H989, FESTIVOS!A$1:A$55), "")</f>
        <v/>
      </c>
      <c r="K989" s="3"/>
      <c r="L989" s="3" t="str">
        <f t="shared" ca="1" si="50"/>
        <v/>
      </c>
      <c r="M989" s="3" t="str">
        <f t="shared" ca="1" si="51"/>
        <v/>
      </c>
      <c r="N989" s="3"/>
      <c r="O989" s="3"/>
      <c r="P989" s="4" t="str">
        <f>IF(OR(O989="", J989=""), "", NETWORKDAYS(J989, O989,#REF!))</f>
        <v/>
      </c>
    </row>
    <row r="990" spans="1:16" ht="15.75" x14ac:dyDescent="0.25">
      <c r="A990" s="3"/>
      <c r="B990" s="18"/>
      <c r="C990" s="18"/>
      <c r="D990" s="18"/>
      <c r="E990" s="16"/>
      <c r="F990" s="17"/>
      <c r="G990" s="3"/>
      <c r="H990" s="3" t="str">
        <f t="shared" si="49"/>
        <v/>
      </c>
      <c r="I990" s="3" t="str">
        <f ca="1">IF(AND(F990&lt;&gt;"", J990&lt;&gt;""), NETWORKDAYS(TODAY(), J990-1, FESTIVOS!A$1:A$55), "")</f>
        <v/>
      </c>
      <c r="J990" s="4" t="str">
        <f>IF(AND(F990&lt;&gt;"", H990&lt;&gt;""), WORKDAY(F990, H990, FESTIVOS!A$1:A$55), "")</f>
        <v/>
      </c>
      <c r="K990" s="3"/>
      <c r="L990" s="3" t="str">
        <f t="shared" ca="1" si="50"/>
        <v/>
      </c>
      <c r="M990" s="3" t="str">
        <f t="shared" ca="1" si="51"/>
        <v/>
      </c>
      <c r="N990" s="3"/>
      <c r="O990" s="3"/>
      <c r="P990" s="4" t="str">
        <f>IF(OR(O990="", J990=""), "", NETWORKDAYS(J990, O990,#REF!))</f>
        <v/>
      </c>
    </row>
    <row r="991" spans="1:16" ht="15.75" x14ac:dyDescent="0.25">
      <c r="A991" s="3"/>
      <c r="B991" s="18"/>
      <c r="C991" s="18"/>
      <c r="D991" s="18"/>
      <c r="E991" s="16"/>
      <c r="F991" s="17"/>
      <c r="G991" s="3"/>
      <c r="H991" s="3" t="str">
        <f t="shared" si="49"/>
        <v/>
      </c>
      <c r="I991" s="3" t="str">
        <f ca="1">IF(AND(F991&lt;&gt;"", J991&lt;&gt;""), NETWORKDAYS(TODAY(), J991-1, FESTIVOS!A$1:A$55), "")</f>
        <v/>
      </c>
      <c r="J991" s="4" t="str">
        <f>IF(AND(F991&lt;&gt;"", H991&lt;&gt;""), WORKDAY(F991, H991, FESTIVOS!A$1:A$55), "")</f>
        <v/>
      </c>
      <c r="K991" s="3"/>
      <c r="L991" s="3" t="str">
        <f t="shared" ca="1" si="50"/>
        <v/>
      </c>
      <c r="M991" s="3" t="str">
        <f t="shared" ca="1" si="51"/>
        <v/>
      </c>
      <c r="N991" s="3"/>
      <c r="O991" s="3"/>
      <c r="P991" s="4" t="str">
        <f>IF(OR(O991="", J991=""), "", NETWORKDAYS(J991, O991,#REF!))</f>
        <v/>
      </c>
    </row>
    <row r="992" spans="1:16" ht="15.75" x14ac:dyDescent="0.25">
      <c r="A992" s="3"/>
      <c r="B992" s="18"/>
      <c r="C992" s="18"/>
      <c r="D992" s="18"/>
      <c r="E992" s="16"/>
      <c r="F992" s="17"/>
      <c r="G992" s="3"/>
      <c r="H992" s="3" t="str">
        <f t="shared" si="49"/>
        <v/>
      </c>
      <c r="I992" s="3" t="str">
        <f ca="1">IF(AND(F992&lt;&gt;"", J992&lt;&gt;""), NETWORKDAYS(TODAY(), J992-1, FESTIVOS!A$1:A$55), "")</f>
        <v/>
      </c>
      <c r="J992" s="4" t="str">
        <f>IF(AND(F992&lt;&gt;"", H992&lt;&gt;""), WORKDAY(F992, H992, FESTIVOS!A$1:A$55), "")</f>
        <v/>
      </c>
      <c r="K992" s="3"/>
      <c r="L992" s="3" t="str">
        <f t="shared" ca="1" si="50"/>
        <v/>
      </c>
      <c r="M992" s="3" t="str">
        <f t="shared" ca="1" si="51"/>
        <v/>
      </c>
      <c r="N992" s="3"/>
      <c r="O992" s="3"/>
      <c r="P992" s="4" t="str">
        <f>IF(OR(O992="", J992=""), "", NETWORKDAYS(J992, O992,#REF!))</f>
        <v/>
      </c>
    </row>
    <row r="993" spans="1:16" ht="15.75" x14ac:dyDescent="0.25">
      <c r="A993" s="3"/>
      <c r="B993" s="18"/>
      <c r="C993" s="18"/>
      <c r="D993" s="18"/>
      <c r="E993" s="16"/>
      <c r="F993" s="17"/>
      <c r="G993" s="3"/>
      <c r="H993" s="3" t="str">
        <f t="shared" si="49"/>
        <v/>
      </c>
      <c r="I993" s="3" t="str">
        <f ca="1">IF(AND(F993&lt;&gt;"", J993&lt;&gt;""), NETWORKDAYS(TODAY(), J993-1, FESTIVOS!A$1:A$55), "")</f>
        <v/>
      </c>
      <c r="J993" s="4" t="str">
        <f>IF(AND(F993&lt;&gt;"", H993&lt;&gt;""), WORKDAY(F993, H993, FESTIVOS!A$1:A$55), "")</f>
        <v/>
      </c>
      <c r="K993" s="3"/>
      <c r="L993" s="3" t="str">
        <f t="shared" ca="1" si="50"/>
        <v/>
      </c>
      <c r="M993" s="3" t="str">
        <f t="shared" ca="1" si="51"/>
        <v/>
      </c>
      <c r="N993" s="3"/>
      <c r="O993" s="3"/>
      <c r="P993" s="4" t="str">
        <f>IF(OR(O993="", J993=""), "", NETWORKDAYS(J993, O993,#REF!))</f>
        <v/>
      </c>
    </row>
    <row r="994" spans="1:16" ht="15.75" x14ac:dyDescent="0.25">
      <c r="A994" s="3"/>
      <c r="B994" s="18"/>
      <c r="C994" s="18"/>
      <c r="D994" s="18"/>
      <c r="E994" s="16"/>
      <c r="F994" s="17"/>
      <c r="G994" s="3"/>
      <c r="H994" s="3" t="str">
        <f t="shared" si="49"/>
        <v/>
      </c>
      <c r="I994" s="3" t="str">
        <f ca="1">IF(AND(F994&lt;&gt;"", J994&lt;&gt;""), NETWORKDAYS(TODAY(), J994-1, FESTIVOS!A$1:A$55), "")</f>
        <v/>
      </c>
      <c r="J994" s="4" t="str">
        <f>IF(AND(F994&lt;&gt;"", H994&lt;&gt;""), WORKDAY(F994, H994, FESTIVOS!A$1:A$55), "")</f>
        <v/>
      </c>
      <c r="K994" s="3"/>
      <c r="L994" s="3" t="str">
        <f t="shared" ca="1" si="50"/>
        <v/>
      </c>
      <c r="M994" s="3" t="str">
        <f t="shared" ca="1" si="51"/>
        <v/>
      </c>
      <c r="N994" s="3"/>
      <c r="O994" s="3"/>
      <c r="P994" s="4" t="str">
        <f>IF(OR(O994="", J994=""), "", NETWORKDAYS(J994, O994,#REF!))</f>
        <v/>
      </c>
    </row>
    <row r="995" spans="1:16" ht="15.75" x14ac:dyDescent="0.25">
      <c r="A995" s="3"/>
      <c r="B995" s="18"/>
      <c r="C995" s="18"/>
      <c r="D995" s="18"/>
      <c r="E995" s="16"/>
      <c r="F995" s="17"/>
      <c r="G995" s="3"/>
      <c r="H995" s="3" t="str">
        <f t="shared" si="49"/>
        <v/>
      </c>
      <c r="I995" s="3" t="str">
        <f ca="1">IF(AND(F995&lt;&gt;"", J995&lt;&gt;""), NETWORKDAYS(TODAY(), J995-1, FESTIVOS!A$1:A$55), "")</f>
        <v/>
      </c>
      <c r="J995" s="4" t="str">
        <f>IF(AND(F995&lt;&gt;"", H995&lt;&gt;""), WORKDAY(F995, H995, FESTIVOS!A$1:A$55), "")</f>
        <v/>
      </c>
      <c r="K995" s="3"/>
      <c r="L995" s="3" t="str">
        <f t="shared" ca="1" si="50"/>
        <v/>
      </c>
      <c r="M995" s="3" t="str">
        <f t="shared" ca="1" si="51"/>
        <v/>
      </c>
      <c r="N995" s="3"/>
      <c r="O995" s="3"/>
      <c r="P995" s="4" t="str">
        <f>IF(OR(O995="", J995=""), "", NETWORKDAYS(J995, O995,#REF!))</f>
        <v/>
      </c>
    </row>
    <row r="996" spans="1:16" ht="15.75" x14ac:dyDescent="0.25">
      <c r="A996" s="3"/>
      <c r="B996" s="18"/>
      <c r="C996" s="18"/>
      <c r="D996" s="18"/>
      <c r="E996" s="16"/>
      <c r="F996" s="17"/>
      <c r="G996" s="3"/>
      <c r="H996" s="3" t="str">
        <f t="shared" si="49"/>
        <v/>
      </c>
      <c r="I996" s="3" t="str">
        <f ca="1">IF(AND(F996&lt;&gt;"", J996&lt;&gt;""), NETWORKDAYS(TODAY(), J996-1, FESTIVOS!A$1:A$55), "")</f>
        <v/>
      </c>
      <c r="J996" s="4" t="str">
        <f>IF(AND(F996&lt;&gt;"", H996&lt;&gt;""), WORKDAY(F996, H996, FESTIVOS!A$1:A$55), "")</f>
        <v/>
      </c>
      <c r="K996" s="3"/>
      <c r="L996" s="3" t="str">
        <f t="shared" ca="1" si="50"/>
        <v/>
      </c>
      <c r="M996" s="3" t="str">
        <f t="shared" ca="1" si="51"/>
        <v/>
      </c>
      <c r="N996" s="3"/>
      <c r="O996" s="3"/>
      <c r="P996" s="4" t="str">
        <f>IF(OR(O996="", J996=""), "", NETWORKDAYS(J996, O996,#REF!))</f>
        <v/>
      </c>
    </row>
    <row r="997" spans="1:16" ht="15.75" x14ac:dyDescent="0.25">
      <c r="A997" s="3"/>
      <c r="B997" s="18"/>
      <c r="C997" s="18"/>
      <c r="D997" s="18"/>
      <c r="E997" s="16"/>
      <c r="F997" s="17"/>
      <c r="G997" s="3"/>
      <c r="H997" s="3" t="str">
        <f t="shared" si="49"/>
        <v/>
      </c>
      <c r="I997" s="3" t="str">
        <f ca="1">IF(AND(F997&lt;&gt;"", J997&lt;&gt;""), NETWORKDAYS(TODAY(), J997-1, FESTIVOS!A$1:A$55), "")</f>
        <v/>
      </c>
      <c r="J997" s="4" t="str">
        <f>IF(AND(F997&lt;&gt;"", H997&lt;&gt;""), WORKDAY(F997, H997, FESTIVOS!A$1:A$55), "")</f>
        <v/>
      </c>
      <c r="K997" s="3"/>
      <c r="L997" s="3" t="str">
        <f t="shared" ca="1" si="50"/>
        <v/>
      </c>
      <c r="M997" s="3" t="str">
        <f t="shared" ca="1" si="51"/>
        <v/>
      </c>
      <c r="N997" s="3"/>
      <c r="O997" s="3"/>
      <c r="P997" s="4" t="str">
        <f>IF(OR(O997="", J997=""), "", NETWORKDAYS(J997, O997,#REF!))</f>
        <v/>
      </c>
    </row>
    <row r="998" spans="1:16" ht="15.75" x14ac:dyDescent="0.25">
      <c r="A998" s="3"/>
      <c r="B998" s="18"/>
      <c r="C998" s="18"/>
      <c r="D998" s="18"/>
      <c r="E998" s="16"/>
      <c r="F998" s="17"/>
      <c r="G998" s="3"/>
      <c r="H998" s="3" t="str">
        <f t="shared" si="49"/>
        <v/>
      </c>
      <c r="I998" s="3" t="str">
        <f ca="1">IF(AND(F998&lt;&gt;"", J998&lt;&gt;""), NETWORKDAYS(TODAY(), J998-1, FESTIVOS!A$1:A$55), "")</f>
        <v/>
      </c>
      <c r="J998" s="4" t="str">
        <f>IF(AND(F998&lt;&gt;"", H998&lt;&gt;""), WORKDAY(F998, H998, FESTIVOS!A$1:A$55), "")</f>
        <v/>
      </c>
      <c r="K998" s="3"/>
      <c r="L998" s="3" t="str">
        <f t="shared" ca="1" si="50"/>
        <v/>
      </c>
      <c r="M998" s="3" t="str">
        <f t="shared" ca="1" si="51"/>
        <v/>
      </c>
      <c r="N998" s="3"/>
      <c r="O998" s="3"/>
      <c r="P998" s="4" t="str">
        <f>IF(OR(O998="", J998=""), "", NETWORKDAYS(J998, O998,#REF!))</f>
        <v/>
      </c>
    </row>
    <row r="999" spans="1:16" ht="15.75" x14ac:dyDescent="0.25">
      <c r="A999" s="3"/>
      <c r="B999" s="18"/>
      <c r="C999" s="18"/>
      <c r="D999" s="18"/>
      <c r="E999" s="16"/>
      <c r="F999" s="17"/>
      <c r="G999" s="3"/>
      <c r="H999" s="3" t="str">
        <f t="shared" si="49"/>
        <v/>
      </c>
      <c r="I999" s="3" t="str">
        <f ca="1">IF(AND(F999&lt;&gt;"", J999&lt;&gt;""), NETWORKDAYS(TODAY(), J999-1, FESTIVOS!A$1:A$55), "")</f>
        <v/>
      </c>
      <c r="J999" s="4" t="str">
        <f>IF(AND(F999&lt;&gt;"", H999&lt;&gt;""), WORKDAY(F999, H999, FESTIVOS!A$1:A$55), "")</f>
        <v/>
      </c>
      <c r="K999" s="3"/>
      <c r="L999" s="3" t="str">
        <f t="shared" ca="1" si="50"/>
        <v/>
      </c>
      <c r="M999" s="3" t="str">
        <f t="shared" ca="1" si="51"/>
        <v/>
      </c>
      <c r="N999" s="3"/>
      <c r="O999" s="3"/>
      <c r="P999" s="4" t="str">
        <f>IF(OR(O999="", J999=""), "", NETWORKDAYS(J999, O999,#REF!))</f>
        <v/>
      </c>
    </row>
    <row r="1000" spans="1:16" ht="15.75" x14ac:dyDescent="0.25">
      <c r="A1000" s="3"/>
      <c r="B1000" s="18"/>
      <c r="C1000" s="18"/>
      <c r="D1000" s="18"/>
      <c r="E1000" s="16"/>
      <c r="F1000" s="17"/>
      <c r="G1000" s="3"/>
      <c r="H1000" s="3" t="str">
        <f t="shared" si="49"/>
        <v/>
      </c>
      <c r="I1000" s="3" t="str">
        <f ca="1">IF(AND(F1000&lt;&gt;"", J1000&lt;&gt;""), NETWORKDAYS(TODAY(), J1000-1, FESTIVOS!A$1:A$55), "")</f>
        <v/>
      </c>
      <c r="J1000" s="4" t="str">
        <f>IF(AND(F1000&lt;&gt;"", H1000&lt;&gt;""), WORKDAY(F1000, H1000, FESTIVOS!A$1:A$55), "")</f>
        <v/>
      </c>
      <c r="K1000" s="3"/>
      <c r="L1000" s="3" t="str">
        <f t="shared" ca="1" si="50"/>
        <v/>
      </c>
      <c r="M1000" s="3" t="str">
        <f t="shared" ca="1" si="51"/>
        <v/>
      </c>
      <c r="N1000" s="3"/>
      <c r="O1000" s="3"/>
      <c r="P1000" s="4" t="str">
        <f>IF(OR(O1000="", J1000=""), "", NETWORKDAYS(J1000, O1000,#REF!))</f>
        <v/>
      </c>
    </row>
    <row r="1001" spans="1:16" ht="15.75" x14ac:dyDescent="0.25">
      <c r="A1001" s="3"/>
      <c r="B1001" s="18"/>
      <c r="C1001" s="18"/>
      <c r="D1001" s="18"/>
      <c r="E1001" s="16"/>
      <c r="F1001" s="17"/>
      <c r="G1001" s="3"/>
      <c r="H1001" s="3" t="str">
        <f t="shared" si="49"/>
        <v/>
      </c>
      <c r="I1001" s="3" t="str">
        <f ca="1">IF(AND(F1001&lt;&gt;"", J1001&lt;&gt;""), NETWORKDAYS(TODAY(), J1001-1, FESTIVOS!A$1:A$55), "")</f>
        <v/>
      </c>
      <c r="J1001" s="4" t="str">
        <f>IF(AND(F1001&lt;&gt;"", H1001&lt;&gt;""), WORKDAY(F1001, H1001, FESTIVOS!A$1:A$55), "")</f>
        <v/>
      </c>
      <c r="K1001" s="3"/>
      <c r="L1001" s="3" t="str">
        <f t="shared" ca="1" si="50"/>
        <v/>
      </c>
      <c r="M1001" s="3" t="str">
        <f t="shared" ca="1" si="51"/>
        <v/>
      </c>
      <c r="N1001" s="3"/>
      <c r="O1001" s="3"/>
      <c r="P1001" s="4" t="str">
        <f>IF(OR(O1001="", J1001=""), "", NETWORKDAYS(J1001, O1001,#REF!))</f>
        <v/>
      </c>
    </row>
    <row r="1002" spans="1:16" ht="15.75" x14ac:dyDescent="0.25">
      <c r="A1002" s="3"/>
      <c r="B1002" s="18"/>
      <c r="C1002" s="18"/>
      <c r="D1002" s="18"/>
      <c r="E1002" s="16"/>
      <c r="F1002" s="17"/>
      <c r="G1002" s="3"/>
      <c r="H1002" s="3" t="str">
        <f t="shared" si="49"/>
        <v/>
      </c>
      <c r="I1002" s="3" t="str">
        <f ca="1">IF(AND(F1002&lt;&gt;"", J1002&lt;&gt;""), NETWORKDAYS(TODAY(), J1002-1, FESTIVOS!A$1:A$55), "")</f>
        <v/>
      </c>
      <c r="J1002" s="4" t="str">
        <f>IF(AND(F1002&lt;&gt;"", H1002&lt;&gt;""), WORKDAY(F1002, H1002, FESTIVOS!A$1:A$55), "")</f>
        <v/>
      </c>
      <c r="K1002" s="3"/>
      <c r="L1002" s="3" t="str">
        <f t="shared" ca="1" si="50"/>
        <v/>
      </c>
      <c r="M1002" s="3" t="str">
        <f t="shared" ca="1" si="51"/>
        <v/>
      </c>
      <c r="N1002" s="3"/>
      <c r="O1002" s="3"/>
      <c r="P1002" s="4" t="str">
        <f>IF(OR(O1002="", J1002=""), "", NETWORKDAYS(J1002, O1002,#REF!))</f>
        <v/>
      </c>
    </row>
    <row r="1003" spans="1:16" ht="15.75" x14ac:dyDescent="0.25">
      <c r="A1003" s="3"/>
      <c r="B1003" s="18"/>
      <c r="C1003" s="18"/>
      <c r="D1003" s="18"/>
      <c r="E1003" s="16"/>
      <c r="F1003" s="17"/>
      <c r="G1003" s="3"/>
      <c r="H1003" s="3" t="str">
        <f t="shared" si="49"/>
        <v/>
      </c>
      <c r="I1003" s="3" t="str">
        <f ca="1">IF(AND(F1003&lt;&gt;"", J1003&lt;&gt;""), NETWORKDAYS(TODAY(), J1003-1, FESTIVOS!A$1:A$55), "")</f>
        <v/>
      </c>
      <c r="J1003" s="4" t="str">
        <f>IF(AND(F1003&lt;&gt;"", H1003&lt;&gt;""), WORKDAY(F1003, H1003, FESTIVOS!A$1:A$55), "")</f>
        <v/>
      </c>
      <c r="K1003" s="3"/>
      <c r="L1003" s="3" t="str">
        <f t="shared" ca="1" si="50"/>
        <v/>
      </c>
      <c r="M1003" s="3" t="str">
        <f t="shared" ca="1" si="51"/>
        <v/>
      </c>
      <c r="N1003" s="3"/>
      <c r="O1003" s="3"/>
      <c r="P1003" s="4" t="str">
        <f>IF(OR(O1003="", J1003=""), "", NETWORKDAYS(J1003, O1003,#REF!))</f>
        <v/>
      </c>
    </row>
    <row r="1004" spans="1:16" ht="15.75" x14ac:dyDescent="0.25">
      <c r="A1004" s="3"/>
      <c r="B1004" s="18"/>
      <c r="C1004" s="18"/>
      <c r="D1004" s="18"/>
      <c r="E1004" s="16"/>
      <c r="F1004" s="17"/>
      <c r="G1004" s="3"/>
      <c r="H1004" s="3" t="str">
        <f t="shared" si="49"/>
        <v/>
      </c>
      <c r="I1004" s="3" t="str">
        <f ca="1">IF(AND(F1004&lt;&gt;"", J1004&lt;&gt;""), NETWORKDAYS(TODAY(), J1004-1, FESTIVOS!A$1:A$55), "")</f>
        <v/>
      </c>
      <c r="J1004" s="4" t="str">
        <f>IF(AND(F1004&lt;&gt;"", H1004&lt;&gt;""), WORKDAY(F1004, H1004, FESTIVOS!A$1:A$55), "")</f>
        <v/>
      </c>
      <c r="K1004" s="3"/>
      <c r="L1004" s="3" t="str">
        <f t="shared" ca="1" si="50"/>
        <v/>
      </c>
      <c r="M1004" s="3" t="str">
        <f t="shared" ca="1" si="51"/>
        <v/>
      </c>
      <c r="N1004" s="3"/>
      <c r="O1004" s="3"/>
      <c r="P1004" s="4" t="str">
        <f>IF(OR(O1004="", J1004=""), "", NETWORKDAYS(J1004, O1004,#REF!))</f>
        <v/>
      </c>
    </row>
    <row r="1005" spans="1:16" ht="15.75" x14ac:dyDescent="0.25">
      <c r="A1005" s="3"/>
      <c r="B1005" s="18"/>
      <c r="C1005" s="18"/>
      <c r="D1005" s="18"/>
      <c r="E1005" s="16"/>
      <c r="F1005" s="17"/>
      <c r="G1005" s="3"/>
      <c r="H1005" s="3" t="str">
        <f t="shared" si="49"/>
        <v/>
      </c>
      <c r="I1005" s="3" t="str">
        <f ca="1">IF(AND(F1005&lt;&gt;"", J1005&lt;&gt;""), NETWORKDAYS(TODAY(), J1005-1, FESTIVOS!A$1:A$55), "")</f>
        <v/>
      </c>
      <c r="J1005" s="4" t="str">
        <f>IF(AND(F1005&lt;&gt;"", H1005&lt;&gt;""), WORKDAY(F1005, H1005, FESTIVOS!A$1:A$55), "")</f>
        <v/>
      </c>
      <c r="K1005" s="3"/>
      <c r="L1005" s="3" t="str">
        <f t="shared" ca="1" si="50"/>
        <v/>
      </c>
      <c r="M1005" s="3" t="str">
        <f t="shared" ca="1" si="51"/>
        <v/>
      </c>
      <c r="N1005" s="3"/>
      <c r="O1005" s="3"/>
      <c r="P1005" s="4" t="str">
        <f>IF(OR(O1005="", J1005=""), "", NETWORKDAYS(J1005, O1005,#REF!))</f>
        <v/>
      </c>
    </row>
    <row r="1006" spans="1:16" ht="15.75" x14ac:dyDescent="0.25">
      <c r="A1006" s="3"/>
      <c r="B1006" s="18"/>
      <c r="C1006" s="18"/>
      <c r="D1006" s="18"/>
      <c r="E1006" s="16"/>
      <c r="F1006" s="17"/>
      <c r="G1006" s="3"/>
      <c r="H1006" s="3" t="str">
        <f t="shared" si="49"/>
        <v/>
      </c>
      <c r="I1006" s="3" t="str">
        <f ca="1">IF(AND(F1006&lt;&gt;"", J1006&lt;&gt;""), NETWORKDAYS(TODAY(), J1006-1, FESTIVOS!A$1:A$55), "")</f>
        <v/>
      </c>
      <c r="J1006" s="4" t="str">
        <f>IF(AND(F1006&lt;&gt;"", H1006&lt;&gt;""), WORKDAY(F1006, H1006, FESTIVOS!A$1:A$55), "")</f>
        <v/>
      </c>
      <c r="K1006" s="3"/>
      <c r="L1006" s="3" t="str">
        <f t="shared" ca="1" si="50"/>
        <v/>
      </c>
      <c r="M1006" s="3" t="str">
        <f t="shared" ca="1" si="51"/>
        <v/>
      </c>
      <c r="N1006" s="3"/>
      <c r="O1006" s="3"/>
      <c r="P1006" s="4" t="str">
        <f>IF(OR(O1006="", J1006=""), "", NETWORKDAYS(J1006, O1006,#REF!))</f>
        <v/>
      </c>
    </row>
    <row r="1007" spans="1:16" ht="15.75" x14ac:dyDescent="0.25">
      <c r="A1007" s="3"/>
      <c r="B1007" s="18"/>
      <c r="C1007" s="18"/>
      <c r="D1007" s="18"/>
      <c r="E1007" s="16"/>
      <c r="F1007" s="17"/>
      <c r="G1007" s="3"/>
      <c r="H1007" s="3" t="str">
        <f t="shared" si="49"/>
        <v/>
      </c>
      <c r="I1007" s="3" t="str">
        <f ca="1">IF(AND(F1007&lt;&gt;"", J1007&lt;&gt;""), NETWORKDAYS(TODAY(), J1007-1, FESTIVOS!A$1:A$55), "")</f>
        <v/>
      </c>
      <c r="J1007" s="4" t="str">
        <f>IF(AND(F1007&lt;&gt;"", H1007&lt;&gt;""), WORKDAY(F1007, H1007, FESTIVOS!A$1:A$55), "")</f>
        <v/>
      </c>
      <c r="K1007" s="3"/>
      <c r="L1007" s="3" t="str">
        <f t="shared" ca="1" si="50"/>
        <v/>
      </c>
      <c r="M1007" s="3" t="str">
        <f t="shared" ca="1" si="51"/>
        <v/>
      </c>
      <c r="N1007" s="3"/>
      <c r="O1007" s="3"/>
      <c r="P1007" s="4" t="str">
        <f>IF(OR(O1007="", J1007=""), "", NETWORKDAYS(J1007, O1007,#REF!))</f>
        <v/>
      </c>
    </row>
    <row r="1008" spans="1:16" ht="15.75" x14ac:dyDescent="0.25">
      <c r="A1008" s="3"/>
      <c r="B1008" s="18"/>
      <c r="C1008" s="18"/>
      <c r="D1008" s="18"/>
      <c r="E1008" s="16"/>
      <c r="F1008" s="17"/>
      <c r="G1008" s="3"/>
      <c r="H1008" s="3" t="str">
        <f t="shared" si="49"/>
        <v/>
      </c>
      <c r="I1008" s="3" t="str">
        <f ca="1">IF(AND(F1008&lt;&gt;"", J1008&lt;&gt;""), NETWORKDAYS(TODAY(), J1008-1, FESTIVOS!A$1:A$55), "")</f>
        <v/>
      </c>
      <c r="J1008" s="4" t="str">
        <f>IF(AND(F1008&lt;&gt;"", H1008&lt;&gt;""), WORKDAY(F1008, H1008, FESTIVOS!A$1:A$55), "")</f>
        <v/>
      </c>
      <c r="K1008" s="3"/>
      <c r="L1008" s="3" t="str">
        <f t="shared" ca="1" si="50"/>
        <v/>
      </c>
      <c r="M1008" s="3" t="str">
        <f t="shared" ca="1" si="51"/>
        <v/>
      </c>
      <c r="N1008" s="3"/>
      <c r="O1008" s="3"/>
      <c r="P1008" s="4" t="str">
        <f>IF(OR(O1008="", J1008=""), "", NETWORKDAYS(J1008, O1008,#REF!))</f>
        <v/>
      </c>
    </row>
    <row r="1009" spans="1:16" ht="15.75" x14ac:dyDescent="0.25">
      <c r="A1009" s="3"/>
      <c r="B1009" s="18"/>
      <c r="C1009" s="18"/>
      <c r="D1009" s="18"/>
      <c r="E1009" s="16"/>
      <c r="F1009" s="17"/>
      <c r="G1009" s="3"/>
      <c r="H1009" s="3" t="str">
        <f t="shared" si="49"/>
        <v/>
      </c>
      <c r="I1009" s="3" t="str">
        <f ca="1">IF(AND(F1009&lt;&gt;"", J1009&lt;&gt;""), NETWORKDAYS(TODAY(), J1009-1, FESTIVOS!A$1:A$55), "")</f>
        <v/>
      </c>
      <c r="J1009" s="4" t="str">
        <f>IF(AND(F1009&lt;&gt;"", H1009&lt;&gt;""), WORKDAY(F1009, H1009, FESTIVOS!A$1:A$55), "")</f>
        <v/>
      </c>
      <c r="K1009" s="3"/>
      <c r="L1009" s="3" t="str">
        <f t="shared" ca="1" si="50"/>
        <v/>
      </c>
      <c r="M1009" s="3" t="str">
        <f t="shared" ca="1" si="51"/>
        <v/>
      </c>
      <c r="N1009" s="3"/>
      <c r="O1009" s="3"/>
      <c r="P1009" s="4" t="str">
        <f>IF(OR(O1009="", J1009=""), "", NETWORKDAYS(J1009, O1009,#REF!))</f>
        <v/>
      </c>
    </row>
    <row r="1010" spans="1:16" ht="15.75" x14ac:dyDescent="0.25">
      <c r="A1010" s="3"/>
      <c r="B1010" s="18"/>
      <c r="C1010" s="18"/>
      <c r="D1010" s="18"/>
      <c r="E1010" s="16"/>
      <c r="F1010" s="17"/>
      <c r="G1010" s="3"/>
      <c r="H1010" s="3" t="str">
        <f t="shared" si="49"/>
        <v/>
      </c>
      <c r="I1010" s="3" t="str">
        <f ca="1">IF(AND(F1010&lt;&gt;"", J1010&lt;&gt;""), NETWORKDAYS(TODAY(), J1010-1, FESTIVOS!A$1:A$55), "")</f>
        <v/>
      </c>
      <c r="J1010" s="4" t="str">
        <f>IF(AND(F1010&lt;&gt;"", H1010&lt;&gt;""), WORKDAY(F1010, H1010, FESTIVOS!A$1:A$55), "")</f>
        <v/>
      </c>
      <c r="K1010" s="3"/>
      <c r="L1010" s="3" t="str">
        <f t="shared" ca="1" si="50"/>
        <v/>
      </c>
      <c r="M1010" s="3" t="str">
        <f t="shared" ca="1" si="51"/>
        <v/>
      </c>
      <c r="N1010" s="3"/>
      <c r="O1010" s="3"/>
      <c r="P1010" s="4" t="str">
        <f>IF(OR(O1010="", J1010=""), "", NETWORKDAYS(J1010, O1010,#REF!))</f>
        <v/>
      </c>
    </row>
    <row r="1011" spans="1:16" ht="15.75" x14ac:dyDescent="0.25">
      <c r="A1011" s="3"/>
      <c r="B1011" s="18"/>
      <c r="C1011" s="18"/>
      <c r="D1011" s="18"/>
      <c r="E1011" s="16"/>
      <c r="F1011" s="17"/>
      <c r="G1011" s="3"/>
      <c r="H1011" s="3" t="str">
        <f t="shared" si="49"/>
        <v/>
      </c>
      <c r="I1011" s="3" t="str">
        <f ca="1">IF(AND(F1011&lt;&gt;"", J1011&lt;&gt;""), NETWORKDAYS(TODAY(), J1011-1, FESTIVOS!A$1:A$55), "")</f>
        <v/>
      </c>
      <c r="J1011" s="4" t="str">
        <f>IF(AND(F1011&lt;&gt;"", H1011&lt;&gt;""), WORKDAY(F1011, H1011, FESTIVOS!A$1:A$55), "")</f>
        <v/>
      </c>
      <c r="K1011" s="3"/>
      <c r="L1011" s="3" t="str">
        <f t="shared" ca="1" si="50"/>
        <v/>
      </c>
      <c r="M1011" s="3" t="str">
        <f t="shared" ca="1" si="51"/>
        <v/>
      </c>
      <c r="N1011" s="3"/>
      <c r="O1011" s="3"/>
      <c r="P1011" s="4" t="str">
        <f>IF(OR(O1011="", J1011=""), "", NETWORKDAYS(J1011, O1011,#REF!))</f>
        <v/>
      </c>
    </row>
    <row r="1012" spans="1:16" ht="15.75" x14ac:dyDescent="0.25">
      <c r="A1012" s="3"/>
      <c r="B1012" s="18"/>
      <c r="C1012" s="18"/>
      <c r="D1012" s="18"/>
      <c r="E1012" s="16"/>
      <c r="F1012" s="17"/>
      <c r="G1012" s="3"/>
      <c r="H1012" s="3" t="str">
        <f t="shared" si="49"/>
        <v/>
      </c>
      <c r="I1012" s="3" t="str">
        <f ca="1">IF(AND(F1012&lt;&gt;"", J1012&lt;&gt;""), NETWORKDAYS(TODAY(), J1012-1, FESTIVOS!A$1:A$55), "")</f>
        <v/>
      </c>
      <c r="J1012" s="4" t="str">
        <f>IF(AND(F1012&lt;&gt;"", H1012&lt;&gt;""), WORKDAY(F1012, H1012, FESTIVOS!A$1:A$55), "")</f>
        <v/>
      </c>
      <c r="K1012" s="3"/>
      <c r="L1012" s="3" t="str">
        <f t="shared" ca="1" si="50"/>
        <v/>
      </c>
      <c r="M1012" s="3" t="str">
        <f t="shared" ca="1" si="51"/>
        <v/>
      </c>
      <c r="N1012" s="3"/>
      <c r="O1012" s="3"/>
      <c r="P1012" s="4" t="str">
        <f>IF(OR(O1012="", J1012=""), "", NETWORKDAYS(J1012, O1012,#REF!))</f>
        <v/>
      </c>
    </row>
    <row r="1013" spans="1:16" ht="15.75" x14ac:dyDescent="0.25">
      <c r="A1013" s="3"/>
      <c r="B1013" s="18"/>
      <c r="C1013" s="18"/>
      <c r="D1013" s="18"/>
      <c r="E1013" s="16"/>
      <c r="F1013" s="17"/>
      <c r="G1013" s="3"/>
      <c r="H1013" s="3" t="str">
        <f t="shared" si="49"/>
        <v/>
      </c>
      <c r="I1013" s="3" t="str">
        <f ca="1">IF(AND(F1013&lt;&gt;"", J1013&lt;&gt;""), NETWORKDAYS(TODAY(), J1013-1, FESTIVOS!A$1:A$55), "")</f>
        <v/>
      </c>
      <c r="J1013" s="4" t="str">
        <f>IF(AND(F1013&lt;&gt;"", H1013&lt;&gt;""), WORKDAY(F1013, H1013, FESTIVOS!A$1:A$55), "")</f>
        <v/>
      </c>
      <c r="K1013" s="3"/>
      <c r="L1013" s="3" t="str">
        <f t="shared" ca="1" si="50"/>
        <v/>
      </c>
      <c r="M1013" s="3" t="str">
        <f t="shared" ca="1" si="51"/>
        <v/>
      </c>
      <c r="N1013" s="3"/>
      <c r="O1013" s="3"/>
      <c r="P1013" s="4" t="str">
        <f>IF(OR(O1013="", J1013=""), "", NETWORKDAYS(J1013, O1013,#REF!))</f>
        <v/>
      </c>
    </row>
    <row r="1014" spans="1:16" ht="15.75" x14ac:dyDescent="0.25">
      <c r="A1014" s="3"/>
      <c r="B1014" s="18"/>
      <c r="C1014" s="18"/>
      <c r="D1014" s="18"/>
      <c r="E1014" s="16"/>
      <c r="F1014" s="17"/>
      <c r="G1014" s="3"/>
      <c r="H1014" s="3" t="str">
        <f t="shared" ref="H1014:H1077" si="52">IF(A1014="INFORMACIÓN O DOCUMENTOS", 10, IF(A1014="CONSULTA", 30, IF(A1014="FACTURACIÓN Y COBROS", 15, IF(A1014="VINCULACIÓN Y DESVINCULACIÓN", 15, IF(A1014="NO ES DE NUESTRA COMPETENCIA", 5, IF(A1014="OTRO", 15, ""))))))</f>
        <v/>
      </c>
      <c r="I1014" s="3" t="str">
        <f ca="1">IF(AND(F1014&lt;&gt;"", J1014&lt;&gt;""), NETWORKDAYS(TODAY(), J1014-1, FESTIVOS!A$1:A$55), "")</f>
        <v/>
      </c>
      <c r="J1014" s="4" t="str">
        <f>IF(AND(F1014&lt;&gt;"", H1014&lt;&gt;""), WORKDAY(F1014, H1014, FESTIVOS!A$1:A$55), "")</f>
        <v/>
      </c>
      <c r="K1014" s="3"/>
      <c r="L1014" s="3" t="str">
        <f t="shared" ref="L1014:L1077" ca="1" si="53">IF(I1014="", "", MAX(0, I1014 - (TODAY() - TODAY())))</f>
        <v/>
      </c>
      <c r="M1014" s="3" t="str">
        <f t="shared" ref="M1014:M1077" ca="1" si="54">IF(OR(I1014="", H1014=""), "", IF(I1014&lt;0, "Vencido", IF(I1014&gt;(H1014/2), "Supere la mitad", "Bajo la mitad")))</f>
        <v/>
      </c>
      <c r="N1014" s="3"/>
      <c r="O1014" s="3"/>
      <c r="P1014" s="4" t="str">
        <f>IF(OR(O1014="", J1014=""), "", NETWORKDAYS(J1014, O1014,#REF!))</f>
        <v/>
      </c>
    </row>
    <row r="1015" spans="1:16" ht="15.75" x14ac:dyDescent="0.25">
      <c r="A1015" s="3"/>
      <c r="B1015" s="18"/>
      <c r="C1015" s="18"/>
      <c r="D1015" s="18"/>
      <c r="E1015" s="16"/>
      <c r="F1015" s="17"/>
      <c r="G1015" s="3"/>
      <c r="H1015" s="3" t="str">
        <f t="shared" si="52"/>
        <v/>
      </c>
      <c r="I1015" s="3" t="str">
        <f ca="1">IF(AND(F1015&lt;&gt;"", J1015&lt;&gt;""), NETWORKDAYS(TODAY(), J1015-1, FESTIVOS!A$1:A$55), "")</f>
        <v/>
      </c>
      <c r="J1015" s="4" t="str">
        <f>IF(AND(F1015&lt;&gt;"", H1015&lt;&gt;""), WORKDAY(F1015, H1015, FESTIVOS!A$1:A$55), "")</f>
        <v/>
      </c>
      <c r="K1015" s="3"/>
      <c r="L1015" s="3" t="str">
        <f t="shared" ca="1" si="53"/>
        <v/>
      </c>
      <c r="M1015" s="3" t="str">
        <f t="shared" ca="1" si="54"/>
        <v/>
      </c>
      <c r="N1015" s="3"/>
      <c r="O1015" s="3"/>
      <c r="P1015" s="4" t="str">
        <f>IF(OR(O1015="", J1015=""), "", NETWORKDAYS(J1015, O1015,#REF!))</f>
        <v/>
      </c>
    </row>
    <row r="1016" spans="1:16" ht="15.75" x14ac:dyDescent="0.25">
      <c r="A1016" s="3"/>
      <c r="B1016" s="18"/>
      <c r="C1016" s="18"/>
      <c r="D1016" s="18"/>
      <c r="E1016" s="16"/>
      <c r="F1016" s="17"/>
      <c r="G1016" s="3"/>
      <c r="H1016" s="3" t="str">
        <f t="shared" si="52"/>
        <v/>
      </c>
      <c r="I1016" s="3" t="str">
        <f ca="1">IF(AND(F1016&lt;&gt;"", J1016&lt;&gt;""), NETWORKDAYS(TODAY(), J1016-1, FESTIVOS!A$1:A$55), "")</f>
        <v/>
      </c>
      <c r="J1016" s="4" t="str">
        <f>IF(AND(F1016&lt;&gt;"", H1016&lt;&gt;""), WORKDAY(F1016, H1016, FESTIVOS!A$1:A$55), "")</f>
        <v/>
      </c>
      <c r="K1016" s="3"/>
      <c r="L1016" s="3" t="str">
        <f t="shared" ca="1" si="53"/>
        <v/>
      </c>
      <c r="M1016" s="3" t="str">
        <f t="shared" ca="1" si="54"/>
        <v/>
      </c>
      <c r="N1016" s="3"/>
      <c r="O1016" s="3"/>
      <c r="P1016" s="4" t="str">
        <f>IF(OR(O1016="", J1016=""), "", NETWORKDAYS(J1016, O1016,#REF!))</f>
        <v/>
      </c>
    </row>
    <row r="1017" spans="1:16" ht="15.75" x14ac:dyDescent="0.25">
      <c r="A1017" s="3"/>
      <c r="B1017" s="18"/>
      <c r="C1017" s="18"/>
      <c r="D1017" s="18"/>
      <c r="E1017" s="16"/>
      <c r="F1017" s="17"/>
      <c r="G1017" s="3"/>
      <c r="H1017" s="3" t="str">
        <f t="shared" si="52"/>
        <v/>
      </c>
      <c r="I1017" s="3" t="str">
        <f ca="1">IF(AND(F1017&lt;&gt;"", J1017&lt;&gt;""), NETWORKDAYS(TODAY(), J1017-1, FESTIVOS!A$1:A$55), "")</f>
        <v/>
      </c>
      <c r="J1017" s="4" t="str">
        <f>IF(AND(F1017&lt;&gt;"", H1017&lt;&gt;""), WORKDAY(F1017, H1017, FESTIVOS!A$1:A$55), "")</f>
        <v/>
      </c>
      <c r="K1017" s="3"/>
      <c r="L1017" s="3" t="str">
        <f t="shared" ca="1" si="53"/>
        <v/>
      </c>
      <c r="M1017" s="3" t="str">
        <f t="shared" ca="1" si="54"/>
        <v/>
      </c>
      <c r="N1017" s="3"/>
      <c r="O1017" s="3"/>
      <c r="P1017" s="4" t="str">
        <f>IF(OR(O1017="", J1017=""), "", NETWORKDAYS(J1017, O1017,#REF!))</f>
        <v/>
      </c>
    </row>
    <row r="1018" spans="1:16" ht="15.75" x14ac:dyDescent="0.25">
      <c r="A1018" s="3"/>
      <c r="B1018" s="18"/>
      <c r="C1018" s="18"/>
      <c r="D1018" s="18"/>
      <c r="E1018" s="16"/>
      <c r="F1018" s="17"/>
      <c r="G1018" s="3"/>
      <c r="H1018" s="3" t="str">
        <f t="shared" si="52"/>
        <v/>
      </c>
      <c r="I1018" s="3" t="str">
        <f ca="1">IF(AND(F1018&lt;&gt;"", J1018&lt;&gt;""), NETWORKDAYS(TODAY(), J1018-1, FESTIVOS!A$1:A$55), "")</f>
        <v/>
      </c>
      <c r="J1018" s="4" t="str">
        <f>IF(AND(F1018&lt;&gt;"", H1018&lt;&gt;""), WORKDAY(F1018, H1018, FESTIVOS!A$1:A$55), "")</f>
        <v/>
      </c>
      <c r="K1018" s="3"/>
      <c r="L1018" s="3" t="str">
        <f t="shared" ca="1" si="53"/>
        <v/>
      </c>
      <c r="M1018" s="3" t="str">
        <f t="shared" ca="1" si="54"/>
        <v/>
      </c>
      <c r="N1018" s="3"/>
      <c r="O1018" s="3"/>
      <c r="P1018" s="4" t="str">
        <f>IF(OR(O1018="", J1018=""), "", NETWORKDAYS(J1018, O1018,#REF!))</f>
        <v/>
      </c>
    </row>
    <row r="1019" spans="1:16" ht="15.75" x14ac:dyDescent="0.25">
      <c r="A1019" s="3"/>
      <c r="B1019" s="18"/>
      <c r="C1019" s="18"/>
      <c r="D1019" s="18"/>
      <c r="E1019" s="16"/>
      <c r="F1019" s="17"/>
      <c r="G1019" s="3"/>
      <c r="H1019" s="3" t="str">
        <f t="shared" si="52"/>
        <v/>
      </c>
      <c r="I1019" s="3" t="str">
        <f ca="1">IF(AND(F1019&lt;&gt;"", J1019&lt;&gt;""), NETWORKDAYS(TODAY(), J1019-1, FESTIVOS!A$1:A$55), "")</f>
        <v/>
      </c>
      <c r="J1019" s="4" t="str">
        <f>IF(AND(F1019&lt;&gt;"", H1019&lt;&gt;""), WORKDAY(F1019, H1019, FESTIVOS!A$1:A$55), "")</f>
        <v/>
      </c>
      <c r="K1019" s="3"/>
      <c r="L1019" s="3" t="str">
        <f t="shared" ca="1" si="53"/>
        <v/>
      </c>
      <c r="M1019" s="3" t="str">
        <f t="shared" ca="1" si="54"/>
        <v/>
      </c>
      <c r="N1019" s="3"/>
      <c r="O1019" s="3"/>
      <c r="P1019" s="4" t="str">
        <f>IF(OR(O1019="", J1019=""), "", NETWORKDAYS(J1019, O1019,#REF!))</f>
        <v/>
      </c>
    </row>
    <row r="1020" spans="1:16" ht="15.75" x14ac:dyDescent="0.25">
      <c r="A1020" s="3"/>
      <c r="B1020" s="18"/>
      <c r="C1020" s="18"/>
      <c r="D1020" s="18"/>
      <c r="E1020" s="16"/>
      <c r="F1020" s="17"/>
      <c r="G1020" s="3"/>
      <c r="H1020" s="3" t="str">
        <f t="shared" si="52"/>
        <v/>
      </c>
      <c r="I1020" s="3" t="str">
        <f ca="1">IF(AND(F1020&lt;&gt;"", J1020&lt;&gt;""), NETWORKDAYS(TODAY(), J1020-1, FESTIVOS!A$1:A$55), "")</f>
        <v/>
      </c>
      <c r="J1020" s="4" t="str">
        <f>IF(AND(F1020&lt;&gt;"", H1020&lt;&gt;""), WORKDAY(F1020, H1020, FESTIVOS!A$1:A$55), "")</f>
        <v/>
      </c>
      <c r="K1020" s="3"/>
      <c r="L1020" s="3" t="str">
        <f t="shared" ca="1" si="53"/>
        <v/>
      </c>
      <c r="M1020" s="3" t="str">
        <f t="shared" ca="1" si="54"/>
        <v/>
      </c>
      <c r="N1020" s="3"/>
      <c r="O1020" s="3"/>
      <c r="P1020" s="4" t="str">
        <f>IF(OR(O1020="", J1020=""), "", NETWORKDAYS(J1020, O1020,#REF!))</f>
        <v/>
      </c>
    </row>
    <row r="1021" spans="1:16" ht="15.75" x14ac:dyDescent="0.25">
      <c r="A1021" s="3"/>
      <c r="B1021" s="18"/>
      <c r="C1021" s="18"/>
      <c r="D1021" s="18"/>
      <c r="E1021" s="16"/>
      <c r="F1021" s="17"/>
      <c r="G1021" s="3"/>
      <c r="H1021" s="3" t="str">
        <f t="shared" si="52"/>
        <v/>
      </c>
      <c r="I1021" s="3" t="str">
        <f ca="1">IF(AND(F1021&lt;&gt;"", J1021&lt;&gt;""), NETWORKDAYS(TODAY(), J1021-1, FESTIVOS!A$1:A$55), "")</f>
        <v/>
      </c>
      <c r="J1021" s="4" t="str">
        <f>IF(AND(F1021&lt;&gt;"", H1021&lt;&gt;""), WORKDAY(F1021, H1021, FESTIVOS!A$1:A$55), "")</f>
        <v/>
      </c>
      <c r="K1021" s="3"/>
      <c r="L1021" s="3" t="str">
        <f t="shared" ca="1" si="53"/>
        <v/>
      </c>
      <c r="M1021" s="3" t="str">
        <f t="shared" ca="1" si="54"/>
        <v/>
      </c>
      <c r="N1021" s="3"/>
      <c r="O1021" s="3"/>
      <c r="P1021" s="4" t="str">
        <f>IF(OR(O1021="", J1021=""), "", NETWORKDAYS(J1021, O1021,#REF!))</f>
        <v/>
      </c>
    </row>
    <row r="1022" spans="1:16" ht="15.75" x14ac:dyDescent="0.25">
      <c r="A1022" s="3"/>
      <c r="B1022" s="18"/>
      <c r="C1022" s="18"/>
      <c r="D1022" s="18"/>
      <c r="E1022" s="16"/>
      <c r="F1022" s="17"/>
      <c r="G1022" s="3"/>
      <c r="H1022" s="3" t="str">
        <f t="shared" si="52"/>
        <v/>
      </c>
      <c r="I1022" s="3" t="str">
        <f ca="1">IF(AND(F1022&lt;&gt;"", J1022&lt;&gt;""), NETWORKDAYS(TODAY(), J1022-1, FESTIVOS!A$1:A$55), "")</f>
        <v/>
      </c>
      <c r="J1022" s="4" t="str">
        <f>IF(AND(F1022&lt;&gt;"", H1022&lt;&gt;""), WORKDAY(F1022, H1022, FESTIVOS!A$1:A$55), "")</f>
        <v/>
      </c>
      <c r="K1022" s="3"/>
      <c r="L1022" s="3" t="str">
        <f t="shared" ca="1" si="53"/>
        <v/>
      </c>
      <c r="M1022" s="3" t="str">
        <f t="shared" ca="1" si="54"/>
        <v/>
      </c>
      <c r="N1022" s="3"/>
      <c r="O1022" s="3"/>
      <c r="P1022" s="4" t="str">
        <f>IF(OR(O1022="", J1022=""), "", NETWORKDAYS(J1022, O1022,#REF!))</f>
        <v/>
      </c>
    </row>
    <row r="1023" spans="1:16" ht="15.75" x14ac:dyDescent="0.25">
      <c r="A1023" s="3"/>
      <c r="B1023" s="18"/>
      <c r="C1023" s="18"/>
      <c r="D1023" s="18"/>
      <c r="E1023" s="16"/>
      <c r="F1023" s="17"/>
      <c r="G1023" s="3"/>
      <c r="H1023" s="3" t="str">
        <f t="shared" si="52"/>
        <v/>
      </c>
      <c r="I1023" s="3" t="str">
        <f ca="1">IF(AND(F1023&lt;&gt;"", J1023&lt;&gt;""), NETWORKDAYS(TODAY(), J1023-1, FESTIVOS!A$1:A$55), "")</f>
        <v/>
      </c>
      <c r="J1023" s="4" t="str">
        <f>IF(AND(F1023&lt;&gt;"", H1023&lt;&gt;""), WORKDAY(F1023, H1023, FESTIVOS!A$1:A$55), "")</f>
        <v/>
      </c>
      <c r="K1023" s="3"/>
      <c r="L1023" s="3" t="str">
        <f t="shared" ca="1" si="53"/>
        <v/>
      </c>
      <c r="M1023" s="3" t="str">
        <f t="shared" ca="1" si="54"/>
        <v/>
      </c>
      <c r="N1023" s="3"/>
      <c r="O1023" s="3"/>
      <c r="P1023" s="4" t="str">
        <f>IF(OR(O1023="", J1023=""), "", NETWORKDAYS(J1023, O1023,#REF!))</f>
        <v/>
      </c>
    </row>
    <row r="1024" spans="1:16" ht="15.75" x14ac:dyDescent="0.25">
      <c r="A1024" s="3"/>
      <c r="B1024" s="18"/>
      <c r="C1024" s="18"/>
      <c r="D1024" s="18"/>
      <c r="E1024" s="16"/>
      <c r="F1024" s="17"/>
      <c r="G1024" s="3"/>
      <c r="H1024" s="3" t="str">
        <f t="shared" si="52"/>
        <v/>
      </c>
      <c r="I1024" s="3" t="str">
        <f ca="1">IF(AND(F1024&lt;&gt;"", J1024&lt;&gt;""), NETWORKDAYS(TODAY(), J1024-1, FESTIVOS!A$1:A$55), "")</f>
        <v/>
      </c>
      <c r="J1024" s="4" t="str">
        <f>IF(AND(F1024&lt;&gt;"", H1024&lt;&gt;""), WORKDAY(F1024, H1024, FESTIVOS!A$1:A$55), "")</f>
        <v/>
      </c>
      <c r="K1024" s="3"/>
      <c r="L1024" s="3" t="str">
        <f t="shared" ca="1" si="53"/>
        <v/>
      </c>
      <c r="M1024" s="3" t="str">
        <f t="shared" ca="1" si="54"/>
        <v/>
      </c>
      <c r="N1024" s="3"/>
      <c r="O1024" s="3"/>
      <c r="P1024" s="4" t="str">
        <f>IF(OR(O1024="", J1024=""), "", NETWORKDAYS(J1024, O1024,#REF!))</f>
        <v/>
      </c>
    </row>
    <row r="1025" spans="1:16" ht="15.75" x14ac:dyDescent="0.25">
      <c r="A1025" s="3"/>
      <c r="B1025" s="18"/>
      <c r="C1025" s="18"/>
      <c r="D1025" s="18"/>
      <c r="E1025" s="16"/>
      <c r="F1025" s="17"/>
      <c r="G1025" s="3"/>
      <c r="H1025" s="3" t="str">
        <f t="shared" si="52"/>
        <v/>
      </c>
      <c r="I1025" s="3" t="str">
        <f ca="1">IF(AND(F1025&lt;&gt;"", J1025&lt;&gt;""), NETWORKDAYS(TODAY(), J1025-1, FESTIVOS!A$1:A$55), "")</f>
        <v/>
      </c>
      <c r="J1025" s="4" t="str">
        <f>IF(AND(F1025&lt;&gt;"", H1025&lt;&gt;""), WORKDAY(F1025, H1025, FESTIVOS!A$1:A$55), "")</f>
        <v/>
      </c>
      <c r="K1025" s="3"/>
      <c r="L1025" s="3" t="str">
        <f t="shared" ca="1" si="53"/>
        <v/>
      </c>
      <c r="M1025" s="3" t="str">
        <f t="shared" ca="1" si="54"/>
        <v/>
      </c>
      <c r="N1025" s="3"/>
      <c r="O1025" s="3"/>
      <c r="P1025" s="4" t="str">
        <f>IF(OR(O1025="", J1025=""), "", NETWORKDAYS(J1025, O1025,#REF!))</f>
        <v/>
      </c>
    </row>
    <row r="1026" spans="1:16" ht="15.75" x14ac:dyDescent="0.25">
      <c r="A1026" s="3"/>
      <c r="B1026" s="18"/>
      <c r="C1026" s="18"/>
      <c r="D1026" s="18"/>
      <c r="E1026" s="16"/>
      <c r="F1026" s="17"/>
      <c r="G1026" s="3"/>
      <c r="H1026" s="3" t="str">
        <f t="shared" si="52"/>
        <v/>
      </c>
      <c r="I1026" s="3" t="str">
        <f ca="1">IF(AND(F1026&lt;&gt;"", J1026&lt;&gt;""), NETWORKDAYS(TODAY(), J1026-1, FESTIVOS!A$1:A$55), "")</f>
        <v/>
      </c>
      <c r="J1026" s="4" t="str">
        <f>IF(AND(F1026&lt;&gt;"", H1026&lt;&gt;""), WORKDAY(F1026, H1026, FESTIVOS!A$1:A$55), "")</f>
        <v/>
      </c>
      <c r="K1026" s="3"/>
      <c r="L1026" s="3" t="str">
        <f t="shared" ca="1" si="53"/>
        <v/>
      </c>
      <c r="M1026" s="3" t="str">
        <f t="shared" ca="1" si="54"/>
        <v/>
      </c>
      <c r="N1026" s="3"/>
      <c r="O1026" s="3"/>
      <c r="P1026" s="4" t="str">
        <f>IF(OR(O1026="", J1026=""), "", NETWORKDAYS(J1026, O1026,#REF!))</f>
        <v/>
      </c>
    </row>
    <row r="1027" spans="1:16" ht="15.75" x14ac:dyDescent="0.25">
      <c r="A1027" s="3"/>
      <c r="B1027" s="18"/>
      <c r="C1027" s="18"/>
      <c r="D1027" s="18"/>
      <c r="E1027" s="16"/>
      <c r="F1027" s="17"/>
      <c r="G1027" s="3"/>
      <c r="H1027" s="3" t="str">
        <f t="shared" si="52"/>
        <v/>
      </c>
      <c r="I1027" s="3" t="str">
        <f ca="1">IF(AND(F1027&lt;&gt;"", J1027&lt;&gt;""), NETWORKDAYS(TODAY(), J1027-1, FESTIVOS!A$1:A$55), "")</f>
        <v/>
      </c>
      <c r="J1027" s="4" t="str">
        <f>IF(AND(F1027&lt;&gt;"", H1027&lt;&gt;""), WORKDAY(F1027, H1027, FESTIVOS!A$1:A$55), "")</f>
        <v/>
      </c>
      <c r="K1027" s="3"/>
      <c r="L1027" s="3" t="str">
        <f t="shared" ca="1" si="53"/>
        <v/>
      </c>
      <c r="M1027" s="3" t="str">
        <f t="shared" ca="1" si="54"/>
        <v/>
      </c>
      <c r="N1027" s="3"/>
      <c r="O1027" s="3"/>
      <c r="P1027" s="4" t="str">
        <f>IF(OR(O1027="", J1027=""), "", NETWORKDAYS(J1027, O1027,#REF!))</f>
        <v/>
      </c>
    </row>
    <row r="1028" spans="1:16" ht="15.75" x14ac:dyDescent="0.25">
      <c r="A1028" s="3"/>
      <c r="B1028" s="18"/>
      <c r="C1028" s="18"/>
      <c r="D1028" s="18"/>
      <c r="E1028" s="16"/>
      <c r="F1028" s="17"/>
      <c r="G1028" s="3"/>
      <c r="H1028" s="3" t="str">
        <f t="shared" si="52"/>
        <v/>
      </c>
      <c r="I1028" s="3" t="str">
        <f ca="1">IF(AND(F1028&lt;&gt;"", J1028&lt;&gt;""), NETWORKDAYS(TODAY(), J1028-1, FESTIVOS!A$1:A$55), "")</f>
        <v/>
      </c>
      <c r="J1028" s="4" t="str">
        <f>IF(AND(F1028&lt;&gt;"", H1028&lt;&gt;""), WORKDAY(F1028, H1028, FESTIVOS!A$1:A$55), "")</f>
        <v/>
      </c>
      <c r="K1028" s="3"/>
      <c r="L1028" s="3" t="str">
        <f t="shared" ca="1" si="53"/>
        <v/>
      </c>
      <c r="M1028" s="3" t="str">
        <f t="shared" ca="1" si="54"/>
        <v/>
      </c>
      <c r="N1028" s="3"/>
      <c r="O1028" s="3"/>
      <c r="P1028" s="4" t="str">
        <f>IF(OR(O1028="", J1028=""), "", NETWORKDAYS(J1028, O1028,#REF!))</f>
        <v/>
      </c>
    </row>
    <row r="1029" spans="1:16" ht="15.75" x14ac:dyDescent="0.25">
      <c r="A1029" s="3"/>
      <c r="B1029" s="18"/>
      <c r="C1029" s="18"/>
      <c r="D1029" s="18"/>
      <c r="E1029" s="16"/>
      <c r="F1029" s="17"/>
      <c r="G1029" s="3"/>
      <c r="H1029" s="3" t="str">
        <f t="shared" si="52"/>
        <v/>
      </c>
      <c r="I1029" s="3" t="str">
        <f ca="1">IF(AND(F1029&lt;&gt;"", J1029&lt;&gt;""), NETWORKDAYS(TODAY(), J1029-1, FESTIVOS!A$1:A$55), "")</f>
        <v/>
      </c>
      <c r="J1029" s="4" t="str">
        <f>IF(AND(F1029&lt;&gt;"", H1029&lt;&gt;""), WORKDAY(F1029, H1029, FESTIVOS!A$1:A$55), "")</f>
        <v/>
      </c>
      <c r="K1029" s="3"/>
      <c r="L1029" s="3" t="str">
        <f t="shared" ca="1" si="53"/>
        <v/>
      </c>
      <c r="M1029" s="3" t="str">
        <f t="shared" ca="1" si="54"/>
        <v/>
      </c>
      <c r="N1029" s="3"/>
      <c r="O1029" s="3"/>
      <c r="P1029" s="4" t="str">
        <f>IF(OR(O1029="", J1029=""), "", NETWORKDAYS(J1029, O1029,#REF!))</f>
        <v/>
      </c>
    </row>
    <row r="1030" spans="1:16" ht="15.75" x14ac:dyDescent="0.25">
      <c r="A1030" s="3"/>
      <c r="B1030" s="18"/>
      <c r="C1030" s="18"/>
      <c r="D1030" s="18"/>
      <c r="E1030" s="16"/>
      <c r="F1030" s="17"/>
      <c r="G1030" s="3"/>
      <c r="H1030" s="3" t="str">
        <f t="shared" si="52"/>
        <v/>
      </c>
      <c r="I1030" s="3" t="str">
        <f ca="1">IF(AND(F1030&lt;&gt;"", J1030&lt;&gt;""), NETWORKDAYS(TODAY(), J1030-1, FESTIVOS!A$1:A$55), "")</f>
        <v/>
      </c>
      <c r="J1030" s="4" t="str">
        <f>IF(AND(F1030&lt;&gt;"", H1030&lt;&gt;""), WORKDAY(F1030, H1030, FESTIVOS!A$1:A$55), "")</f>
        <v/>
      </c>
      <c r="K1030" s="3"/>
      <c r="L1030" s="3" t="str">
        <f t="shared" ca="1" si="53"/>
        <v/>
      </c>
      <c r="M1030" s="3" t="str">
        <f t="shared" ca="1" si="54"/>
        <v/>
      </c>
      <c r="N1030" s="3"/>
      <c r="O1030" s="3"/>
      <c r="P1030" s="4" t="str">
        <f>IF(OR(O1030="", J1030=""), "", NETWORKDAYS(J1030, O1030,#REF!))</f>
        <v/>
      </c>
    </row>
    <row r="1031" spans="1:16" ht="15.75" x14ac:dyDescent="0.25">
      <c r="A1031" s="3"/>
      <c r="B1031" s="18"/>
      <c r="C1031" s="18"/>
      <c r="D1031" s="18"/>
      <c r="E1031" s="16"/>
      <c r="F1031" s="17"/>
      <c r="G1031" s="3"/>
      <c r="H1031" s="3" t="str">
        <f t="shared" si="52"/>
        <v/>
      </c>
      <c r="I1031" s="3" t="str">
        <f ca="1">IF(AND(F1031&lt;&gt;"", J1031&lt;&gt;""), NETWORKDAYS(TODAY(), J1031-1, FESTIVOS!A$1:A$55), "")</f>
        <v/>
      </c>
      <c r="J1031" s="4" t="str">
        <f>IF(AND(F1031&lt;&gt;"", H1031&lt;&gt;""), WORKDAY(F1031, H1031, FESTIVOS!A$1:A$55), "")</f>
        <v/>
      </c>
      <c r="K1031" s="3"/>
      <c r="L1031" s="3" t="str">
        <f t="shared" ca="1" si="53"/>
        <v/>
      </c>
      <c r="M1031" s="3" t="str">
        <f t="shared" ca="1" si="54"/>
        <v/>
      </c>
      <c r="N1031" s="3"/>
      <c r="O1031" s="3"/>
      <c r="P1031" s="4" t="str">
        <f>IF(OR(O1031="", J1031=""), "", NETWORKDAYS(J1031, O1031,#REF!))</f>
        <v/>
      </c>
    </row>
    <row r="1032" spans="1:16" ht="15.75" x14ac:dyDescent="0.25">
      <c r="A1032" s="3"/>
      <c r="B1032" s="18"/>
      <c r="C1032" s="18"/>
      <c r="D1032" s="18"/>
      <c r="E1032" s="16"/>
      <c r="F1032" s="17"/>
      <c r="G1032" s="3"/>
      <c r="H1032" s="3" t="str">
        <f t="shared" si="52"/>
        <v/>
      </c>
      <c r="I1032" s="3" t="str">
        <f ca="1">IF(AND(F1032&lt;&gt;"", J1032&lt;&gt;""), NETWORKDAYS(TODAY(), J1032-1, FESTIVOS!A$1:A$55), "")</f>
        <v/>
      </c>
      <c r="J1032" s="4" t="str">
        <f>IF(AND(F1032&lt;&gt;"", H1032&lt;&gt;""), WORKDAY(F1032, H1032, FESTIVOS!A$1:A$55), "")</f>
        <v/>
      </c>
      <c r="K1032" s="3"/>
      <c r="L1032" s="3" t="str">
        <f t="shared" ca="1" si="53"/>
        <v/>
      </c>
      <c r="M1032" s="3" t="str">
        <f t="shared" ca="1" si="54"/>
        <v/>
      </c>
      <c r="N1032" s="3"/>
      <c r="O1032" s="3"/>
      <c r="P1032" s="4" t="str">
        <f>IF(OR(O1032="", J1032=""), "", NETWORKDAYS(J1032, O1032,#REF!))</f>
        <v/>
      </c>
    </row>
    <row r="1033" spans="1:16" ht="15.75" x14ac:dyDescent="0.25">
      <c r="A1033" s="3"/>
      <c r="B1033" s="18"/>
      <c r="C1033" s="18"/>
      <c r="D1033" s="18"/>
      <c r="E1033" s="16"/>
      <c r="F1033" s="17"/>
      <c r="G1033" s="3"/>
      <c r="H1033" s="3" t="str">
        <f t="shared" si="52"/>
        <v/>
      </c>
      <c r="I1033" s="3" t="str">
        <f ca="1">IF(AND(F1033&lt;&gt;"", J1033&lt;&gt;""), NETWORKDAYS(TODAY(), J1033-1, FESTIVOS!A$1:A$55), "")</f>
        <v/>
      </c>
      <c r="J1033" s="4" t="str">
        <f>IF(AND(F1033&lt;&gt;"", H1033&lt;&gt;""), WORKDAY(F1033, H1033, FESTIVOS!A$1:A$55), "")</f>
        <v/>
      </c>
      <c r="K1033" s="3"/>
      <c r="L1033" s="3" t="str">
        <f t="shared" ca="1" si="53"/>
        <v/>
      </c>
      <c r="M1033" s="3" t="str">
        <f t="shared" ca="1" si="54"/>
        <v/>
      </c>
      <c r="N1033" s="3"/>
      <c r="O1033" s="3"/>
      <c r="P1033" s="4" t="str">
        <f>IF(OR(O1033="", J1033=""), "", NETWORKDAYS(J1033, O1033,#REF!))</f>
        <v/>
      </c>
    </row>
    <row r="1034" spans="1:16" ht="15.75" x14ac:dyDescent="0.25">
      <c r="A1034" s="3"/>
      <c r="B1034" s="18"/>
      <c r="C1034" s="18"/>
      <c r="D1034" s="18"/>
      <c r="E1034" s="16"/>
      <c r="F1034" s="17"/>
      <c r="G1034" s="3"/>
      <c r="H1034" s="3" t="str">
        <f t="shared" si="52"/>
        <v/>
      </c>
      <c r="I1034" s="3" t="str">
        <f ca="1">IF(AND(F1034&lt;&gt;"", J1034&lt;&gt;""), NETWORKDAYS(TODAY(), J1034-1, FESTIVOS!A$1:A$55), "")</f>
        <v/>
      </c>
      <c r="J1034" s="4" t="str">
        <f>IF(AND(F1034&lt;&gt;"", H1034&lt;&gt;""), WORKDAY(F1034, H1034, FESTIVOS!A$1:A$55), "")</f>
        <v/>
      </c>
      <c r="K1034" s="3"/>
      <c r="L1034" s="3" t="str">
        <f t="shared" ca="1" si="53"/>
        <v/>
      </c>
      <c r="M1034" s="3" t="str">
        <f t="shared" ca="1" si="54"/>
        <v/>
      </c>
      <c r="N1034" s="3"/>
      <c r="O1034" s="3"/>
      <c r="P1034" s="4" t="str">
        <f>IF(OR(O1034="", J1034=""), "", NETWORKDAYS(J1034, O1034,#REF!))</f>
        <v/>
      </c>
    </row>
    <row r="1035" spans="1:16" ht="15.75" x14ac:dyDescent="0.25">
      <c r="A1035" s="3"/>
      <c r="B1035" s="18"/>
      <c r="C1035" s="18"/>
      <c r="D1035" s="18"/>
      <c r="E1035" s="16"/>
      <c r="F1035" s="17"/>
      <c r="G1035" s="3"/>
      <c r="H1035" s="3" t="str">
        <f t="shared" si="52"/>
        <v/>
      </c>
      <c r="I1035" s="3" t="str">
        <f ca="1">IF(AND(F1035&lt;&gt;"", J1035&lt;&gt;""), NETWORKDAYS(TODAY(), J1035-1, FESTIVOS!A$1:A$55), "")</f>
        <v/>
      </c>
      <c r="J1035" s="4" t="str">
        <f>IF(AND(F1035&lt;&gt;"", H1035&lt;&gt;""), WORKDAY(F1035, H1035, FESTIVOS!A$1:A$55), "")</f>
        <v/>
      </c>
      <c r="K1035" s="3"/>
      <c r="L1035" s="3" t="str">
        <f t="shared" ca="1" si="53"/>
        <v/>
      </c>
      <c r="M1035" s="3" t="str">
        <f t="shared" ca="1" si="54"/>
        <v/>
      </c>
      <c r="N1035" s="3"/>
      <c r="O1035" s="3"/>
      <c r="P1035" s="4" t="str">
        <f>IF(OR(O1035="", J1035=""), "", NETWORKDAYS(J1035, O1035,#REF!))</f>
        <v/>
      </c>
    </row>
    <row r="1036" spans="1:16" ht="15.75" x14ac:dyDescent="0.25">
      <c r="A1036" s="3"/>
      <c r="B1036" s="18"/>
      <c r="C1036" s="18"/>
      <c r="D1036" s="18"/>
      <c r="E1036" s="16"/>
      <c r="F1036" s="17"/>
      <c r="G1036" s="3"/>
      <c r="H1036" s="3" t="str">
        <f t="shared" si="52"/>
        <v/>
      </c>
      <c r="I1036" s="3" t="str">
        <f ca="1">IF(AND(F1036&lt;&gt;"", J1036&lt;&gt;""), NETWORKDAYS(TODAY(), J1036-1, FESTIVOS!A$1:A$55), "")</f>
        <v/>
      </c>
      <c r="J1036" s="4" t="str">
        <f>IF(AND(F1036&lt;&gt;"", H1036&lt;&gt;""), WORKDAY(F1036, H1036, FESTIVOS!A$1:A$55), "")</f>
        <v/>
      </c>
      <c r="K1036" s="3"/>
      <c r="L1036" s="3" t="str">
        <f t="shared" ca="1" si="53"/>
        <v/>
      </c>
      <c r="M1036" s="3" t="str">
        <f t="shared" ca="1" si="54"/>
        <v/>
      </c>
      <c r="N1036" s="3"/>
      <c r="O1036" s="3"/>
      <c r="P1036" s="4" t="str">
        <f>IF(OR(O1036="", J1036=""), "", NETWORKDAYS(J1036, O1036,#REF!))</f>
        <v/>
      </c>
    </row>
    <row r="1037" spans="1:16" ht="15.75" x14ac:dyDescent="0.25">
      <c r="A1037" s="3"/>
      <c r="B1037" s="18"/>
      <c r="C1037" s="18"/>
      <c r="D1037" s="18"/>
      <c r="E1037" s="16"/>
      <c r="F1037" s="17"/>
      <c r="G1037" s="3"/>
      <c r="H1037" s="3" t="str">
        <f t="shared" si="52"/>
        <v/>
      </c>
      <c r="I1037" s="3" t="str">
        <f ca="1">IF(AND(F1037&lt;&gt;"", J1037&lt;&gt;""), NETWORKDAYS(TODAY(), J1037-1, FESTIVOS!A$1:A$55), "")</f>
        <v/>
      </c>
      <c r="J1037" s="4" t="str">
        <f>IF(AND(F1037&lt;&gt;"", H1037&lt;&gt;""), WORKDAY(F1037, H1037, FESTIVOS!A$1:A$55), "")</f>
        <v/>
      </c>
      <c r="K1037" s="3"/>
      <c r="L1037" s="3" t="str">
        <f t="shared" ca="1" si="53"/>
        <v/>
      </c>
      <c r="M1037" s="3" t="str">
        <f t="shared" ca="1" si="54"/>
        <v/>
      </c>
      <c r="N1037" s="3"/>
      <c r="O1037" s="3"/>
      <c r="P1037" s="4" t="str">
        <f>IF(OR(O1037="", J1037=""), "", NETWORKDAYS(J1037, O1037,#REF!))</f>
        <v/>
      </c>
    </row>
    <row r="1038" spans="1:16" ht="15.75" x14ac:dyDescent="0.25">
      <c r="A1038" s="3"/>
      <c r="B1038" s="18"/>
      <c r="C1038" s="18"/>
      <c r="D1038" s="18"/>
      <c r="E1038" s="16"/>
      <c r="F1038" s="17"/>
      <c r="G1038" s="3"/>
      <c r="H1038" s="3" t="str">
        <f t="shared" si="52"/>
        <v/>
      </c>
      <c r="I1038" s="3" t="str">
        <f ca="1">IF(AND(F1038&lt;&gt;"", J1038&lt;&gt;""), NETWORKDAYS(TODAY(), J1038-1, FESTIVOS!A$1:A$55), "")</f>
        <v/>
      </c>
      <c r="J1038" s="4" t="str">
        <f>IF(AND(F1038&lt;&gt;"", H1038&lt;&gt;""), WORKDAY(F1038, H1038, FESTIVOS!A$1:A$55), "")</f>
        <v/>
      </c>
      <c r="K1038" s="3"/>
      <c r="L1038" s="3" t="str">
        <f t="shared" ca="1" si="53"/>
        <v/>
      </c>
      <c r="M1038" s="3" t="str">
        <f t="shared" ca="1" si="54"/>
        <v/>
      </c>
      <c r="N1038" s="3"/>
      <c r="O1038" s="3"/>
      <c r="P1038" s="4" t="str">
        <f>IF(OR(O1038="", J1038=""), "", NETWORKDAYS(J1038, O1038,#REF!))</f>
        <v/>
      </c>
    </row>
    <row r="1039" spans="1:16" ht="15.75" x14ac:dyDescent="0.25">
      <c r="A1039" s="3"/>
      <c r="B1039" s="18"/>
      <c r="C1039" s="18"/>
      <c r="D1039" s="18"/>
      <c r="E1039" s="16"/>
      <c r="F1039" s="17"/>
      <c r="G1039" s="3"/>
      <c r="H1039" s="3" t="str">
        <f t="shared" si="52"/>
        <v/>
      </c>
      <c r="I1039" s="3" t="str">
        <f ca="1">IF(AND(F1039&lt;&gt;"", J1039&lt;&gt;""), NETWORKDAYS(TODAY(), J1039-1, FESTIVOS!A$1:A$55), "")</f>
        <v/>
      </c>
      <c r="J1039" s="4" t="str">
        <f>IF(AND(F1039&lt;&gt;"", H1039&lt;&gt;""), WORKDAY(F1039, H1039, FESTIVOS!A$1:A$55), "")</f>
        <v/>
      </c>
      <c r="K1039" s="3"/>
      <c r="L1039" s="3" t="str">
        <f t="shared" ca="1" si="53"/>
        <v/>
      </c>
      <c r="M1039" s="3" t="str">
        <f t="shared" ca="1" si="54"/>
        <v/>
      </c>
      <c r="N1039" s="3"/>
      <c r="O1039" s="3"/>
      <c r="P1039" s="4" t="str">
        <f>IF(OR(O1039="", J1039=""), "", NETWORKDAYS(J1039, O1039,#REF!))</f>
        <v/>
      </c>
    </row>
    <row r="1040" spans="1:16" ht="15.75" x14ac:dyDescent="0.25">
      <c r="A1040" s="3"/>
      <c r="B1040" s="18"/>
      <c r="C1040" s="18"/>
      <c r="D1040" s="18"/>
      <c r="E1040" s="16"/>
      <c r="F1040" s="17"/>
      <c r="G1040" s="3"/>
      <c r="H1040" s="3" t="str">
        <f t="shared" si="52"/>
        <v/>
      </c>
      <c r="I1040" s="3" t="str">
        <f ca="1">IF(AND(F1040&lt;&gt;"", J1040&lt;&gt;""), NETWORKDAYS(TODAY(), J1040-1, FESTIVOS!A$1:A$55), "")</f>
        <v/>
      </c>
      <c r="J1040" s="4" t="str">
        <f>IF(AND(F1040&lt;&gt;"", H1040&lt;&gt;""), WORKDAY(F1040, H1040, FESTIVOS!A$1:A$55), "")</f>
        <v/>
      </c>
      <c r="K1040" s="3"/>
      <c r="L1040" s="3" t="str">
        <f t="shared" ca="1" si="53"/>
        <v/>
      </c>
      <c r="M1040" s="3" t="str">
        <f t="shared" ca="1" si="54"/>
        <v/>
      </c>
      <c r="N1040" s="3"/>
      <c r="O1040" s="3"/>
      <c r="P1040" s="4" t="str">
        <f>IF(OR(O1040="", J1040=""), "", NETWORKDAYS(J1040, O1040,#REF!))</f>
        <v/>
      </c>
    </row>
    <row r="1041" spans="1:16" ht="15.75" x14ac:dyDescent="0.25">
      <c r="A1041" s="3"/>
      <c r="B1041" s="18"/>
      <c r="C1041" s="18"/>
      <c r="D1041" s="18"/>
      <c r="E1041" s="16"/>
      <c r="F1041" s="17"/>
      <c r="G1041" s="3"/>
      <c r="H1041" s="3" t="str">
        <f t="shared" si="52"/>
        <v/>
      </c>
      <c r="I1041" s="3" t="str">
        <f ca="1">IF(AND(F1041&lt;&gt;"", J1041&lt;&gt;""), NETWORKDAYS(TODAY(), J1041-1, FESTIVOS!A$1:A$55), "")</f>
        <v/>
      </c>
      <c r="J1041" s="4" t="str">
        <f>IF(AND(F1041&lt;&gt;"", H1041&lt;&gt;""), WORKDAY(F1041, H1041, FESTIVOS!A$1:A$55), "")</f>
        <v/>
      </c>
      <c r="K1041" s="3"/>
      <c r="L1041" s="3" t="str">
        <f t="shared" ca="1" si="53"/>
        <v/>
      </c>
      <c r="M1041" s="3" t="str">
        <f t="shared" ca="1" si="54"/>
        <v/>
      </c>
      <c r="N1041" s="3"/>
      <c r="O1041" s="3"/>
      <c r="P1041" s="4" t="str">
        <f>IF(OR(O1041="", J1041=""), "", NETWORKDAYS(J1041, O1041,#REF!))</f>
        <v/>
      </c>
    </row>
    <row r="1042" spans="1:16" ht="15.75" x14ac:dyDescent="0.25">
      <c r="A1042" s="3"/>
      <c r="B1042" s="18"/>
      <c r="C1042" s="18"/>
      <c r="D1042" s="18"/>
      <c r="E1042" s="16"/>
      <c r="F1042" s="17"/>
      <c r="G1042" s="3"/>
      <c r="H1042" s="3" t="str">
        <f t="shared" si="52"/>
        <v/>
      </c>
      <c r="I1042" s="3" t="str">
        <f ca="1">IF(AND(F1042&lt;&gt;"", J1042&lt;&gt;""), NETWORKDAYS(TODAY(), J1042-1, FESTIVOS!A$1:A$55), "")</f>
        <v/>
      </c>
      <c r="J1042" s="4" t="str">
        <f>IF(AND(F1042&lt;&gt;"", H1042&lt;&gt;""), WORKDAY(F1042, H1042, FESTIVOS!A$1:A$55), "")</f>
        <v/>
      </c>
      <c r="K1042" s="3"/>
      <c r="L1042" s="3" t="str">
        <f t="shared" ca="1" si="53"/>
        <v/>
      </c>
      <c r="M1042" s="3" t="str">
        <f t="shared" ca="1" si="54"/>
        <v/>
      </c>
      <c r="N1042" s="3"/>
      <c r="O1042" s="3"/>
      <c r="P1042" s="4" t="str">
        <f>IF(OR(O1042="", J1042=""), "", NETWORKDAYS(J1042, O1042,#REF!))</f>
        <v/>
      </c>
    </row>
    <row r="1043" spans="1:16" ht="15.75" x14ac:dyDescent="0.25">
      <c r="A1043" s="3"/>
      <c r="B1043" s="18"/>
      <c r="C1043" s="18"/>
      <c r="D1043" s="18"/>
      <c r="E1043" s="16"/>
      <c r="F1043" s="17"/>
      <c r="G1043" s="3"/>
      <c r="H1043" s="3" t="str">
        <f t="shared" si="52"/>
        <v/>
      </c>
      <c r="I1043" s="3" t="str">
        <f ca="1">IF(AND(F1043&lt;&gt;"", J1043&lt;&gt;""), NETWORKDAYS(TODAY(), J1043-1, FESTIVOS!A$1:A$55), "")</f>
        <v/>
      </c>
      <c r="J1043" s="4" t="str">
        <f>IF(AND(F1043&lt;&gt;"", H1043&lt;&gt;""), WORKDAY(F1043, H1043, FESTIVOS!A$1:A$55), "")</f>
        <v/>
      </c>
      <c r="K1043" s="3"/>
      <c r="L1043" s="3" t="str">
        <f t="shared" ca="1" si="53"/>
        <v/>
      </c>
      <c r="M1043" s="3" t="str">
        <f t="shared" ca="1" si="54"/>
        <v/>
      </c>
      <c r="N1043" s="3"/>
      <c r="O1043" s="3"/>
      <c r="P1043" s="4" t="str">
        <f>IF(OR(O1043="", J1043=""), "", NETWORKDAYS(J1043, O1043,#REF!))</f>
        <v/>
      </c>
    </row>
    <row r="1044" spans="1:16" ht="15.75" x14ac:dyDescent="0.25">
      <c r="A1044" s="3"/>
      <c r="B1044" s="18"/>
      <c r="C1044" s="18"/>
      <c r="D1044" s="18"/>
      <c r="E1044" s="16"/>
      <c r="F1044" s="17"/>
      <c r="G1044" s="3"/>
      <c r="H1044" s="3" t="str">
        <f t="shared" si="52"/>
        <v/>
      </c>
      <c r="I1044" s="3" t="str">
        <f ca="1">IF(AND(F1044&lt;&gt;"", J1044&lt;&gt;""), NETWORKDAYS(TODAY(), J1044-1, FESTIVOS!A$1:A$55), "")</f>
        <v/>
      </c>
      <c r="J1044" s="4" t="str">
        <f>IF(AND(F1044&lt;&gt;"", H1044&lt;&gt;""), WORKDAY(F1044, H1044, FESTIVOS!A$1:A$55), "")</f>
        <v/>
      </c>
      <c r="K1044" s="3"/>
      <c r="L1044" s="3" t="str">
        <f t="shared" ca="1" si="53"/>
        <v/>
      </c>
      <c r="M1044" s="3" t="str">
        <f t="shared" ca="1" si="54"/>
        <v/>
      </c>
      <c r="N1044" s="3"/>
      <c r="O1044" s="3"/>
      <c r="P1044" s="4" t="str">
        <f>IF(OR(O1044="", J1044=""), "", NETWORKDAYS(J1044, O1044,#REF!))</f>
        <v/>
      </c>
    </row>
    <row r="1045" spans="1:16" ht="15.75" x14ac:dyDescent="0.25">
      <c r="A1045" s="3"/>
      <c r="B1045" s="18"/>
      <c r="C1045" s="18"/>
      <c r="D1045" s="18"/>
      <c r="E1045" s="16"/>
      <c r="F1045" s="17"/>
      <c r="G1045" s="3"/>
      <c r="H1045" s="3" t="str">
        <f t="shared" si="52"/>
        <v/>
      </c>
      <c r="I1045" s="3" t="str">
        <f ca="1">IF(AND(F1045&lt;&gt;"", J1045&lt;&gt;""), NETWORKDAYS(TODAY(), J1045-1, FESTIVOS!A$1:A$55), "")</f>
        <v/>
      </c>
      <c r="J1045" s="4" t="str">
        <f>IF(AND(F1045&lt;&gt;"", H1045&lt;&gt;""), WORKDAY(F1045, H1045, FESTIVOS!A$1:A$55), "")</f>
        <v/>
      </c>
      <c r="K1045" s="3"/>
      <c r="L1045" s="3" t="str">
        <f t="shared" ca="1" si="53"/>
        <v/>
      </c>
      <c r="M1045" s="3" t="str">
        <f t="shared" ca="1" si="54"/>
        <v/>
      </c>
      <c r="N1045" s="3"/>
      <c r="O1045" s="3"/>
      <c r="P1045" s="4" t="str">
        <f>IF(OR(O1045="", J1045=""), "", NETWORKDAYS(J1045, O1045,#REF!))</f>
        <v/>
      </c>
    </row>
    <row r="1046" spans="1:16" ht="15.75" x14ac:dyDescent="0.25">
      <c r="A1046" s="3"/>
      <c r="B1046" s="18"/>
      <c r="C1046" s="18"/>
      <c r="D1046" s="18"/>
      <c r="E1046" s="16"/>
      <c r="F1046" s="17"/>
      <c r="G1046" s="3"/>
      <c r="H1046" s="3" t="str">
        <f t="shared" si="52"/>
        <v/>
      </c>
      <c r="I1046" s="3" t="str">
        <f ca="1">IF(AND(F1046&lt;&gt;"", J1046&lt;&gt;""), NETWORKDAYS(TODAY(), J1046-1, FESTIVOS!A$1:A$55), "")</f>
        <v/>
      </c>
      <c r="J1046" s="4" t="str">
        <f>IF(AND(F1046&lt;&gt;"", H1046&lt;&gt;""), WORKDAY(F1046, H1046, FESTIVOS!A$1:A$55), "")</f>
        <v/>
      </c>
      <c r="K1046" s="3"/>
      <c r="L1046" s="3" t="str">
        <f t="shared" ca="1" si="53"/>
        <v/>
      </c>
      <c r="M1046" s="3" t="str">
        <f t="shared" ca="1" si="54"/>
        <v/>
      </c>
      <c r="N1046" s="3"/>
      <c r="O1046" s="3"/>
      <c r="P1046" s="4" t="str">
        <f>IF(OR(O1046="", J1046=""), "", NETWORKDAYS(J1046, O1046,#REF!))</f>
        <v/>
      </c>
    </row>
    <row r="1047" spans="1:16" ht="15.75" x14ac:dyDescent="0.25">
      <c r="A1047" s="3"/>
      <c r="B1047" s="18"/>
      <c r="C1047" s="18"/>
      <c r="D1047" s="18"/>
      <c r="E1047" s="16"/>
      <c r="F1047" s="17"/>
      <c r="G1047" s="3"/>
      <c r="H1047" s="3" t="str">
        <f t="shared" si="52"/>
        <v/>
      </c>
      <c r="I1047" s="3" t="str">
        <f ca="1">IF(AND(F1047&lt;&gt;"", J1047&lt;&gt;""), NETWORKDAYS(TODAY(), J1047-1, FESTIVOS!A$1:A$55), "")</f>
        <v/>
      </c>
      <c r="J1047" s="4" t="str">
        <f>IF(AND(F1047&lt;&gt;"", H1047&lt;&gt;""), WORKDAY(F1047, H1047, FESTIVOS!A$1:A$55), "")</f>
        <v/>
      </c>
      <c r="K1047" s="3"/>
      <c r="L1047" s="3" t="str">
        <f t="shared" ca="1" si="53"/>
        <v/>
      </c>
      <c r="M1047" s="3" t="str">
        <f t="shared" ca="1" si="54"/>
        <v/>
      </c>
      <c r="N1047" s="3"/>
      <c r="O1047" s="3"/>
      <c r="P1047" s="4" t="str">
        <f>IF(OR(O1047="", J1047=""), "", NETWORKDAYS(J1047, O1047,#REF!))</f>
        <v/>
      </c>
    </row>
    <row r="1048" spans="1:16" ht="15.75" x14ac:dyDescent="0.25">
      <c r="A1048" s="3"/>
      <c r="B1048" s="18"/>
      <c r="C1048" s="18"/>
      <c r="D1048" s="18"/>
      <c r="E1048" s="16"/>
      <c r="F1048" s="17"/>
      <c r="G1048" s="3"/>
      <c r="H1048" s="3" t="str">
        <f t="shared" si="52"/>
        <v/>
      </c>
      <c r="I1048" s="3" t="str">
        <f ca="1">IF(AND(F1048&lt;&gt;"", J1048&lt;&gt;""), NETWORKDAYS(TODAY(), J1048-1, FESTIVOS!A$1:A$55), "")</f>
        <v/>
      </c>
      <c r="J1048" s="4" t="str">
        <f>IF(AND(F1048&lt;&gt;"", H1048&lt;&gt;""), WORKDAY(F1048, H1048, FESTIVOS!A$1:A$55), "")</f>
        <v/>
      </c>
      <c r="K1048" s="3"/>
      <c r="L1048" s="3" t="str">
        <f t="shared" ca="1" si="53"/>
        <v/>
      </c>
      <c r="M1048" s="3" t="str">
        <f t="shared" ca="1" si="54"/>
        <v/>
      </c>
      <c r="N1048" s="3"/>
      <c r="O1048" s="3"/>
      <c r="P1048" s="4" t="str">
        <f>IF(OR(O1048="", J1048=""), "", NETWORKDAYS(J1048, O1048,#REF!))</f>
        <v/>
      </c>
    </row>
    <row r="1049" spans="1:16" ht="15.75" x14ac:dyDescent="0.25">
      <c r="A1049" s="3"/>
      <c r="B1049" s="18"/>
      <c r="C1049" s="18"/>
      <c r="D1049" s="18"/>
      <c r="E1049" s="16"/>
      <c r="F1049" s="17"/>
      <c r="G1049" s="3"/>
      <c r="H1049" s="3" t="str">
        <f t="shared" si="52"/>
        <v/>
      </c>
      <c r="I1049" s="3" t="str">
        <f ca="1">IF(AND(F1049&lt;&gt;"", J1049&lt;&gt;""), NETWORKDAYS(TODAY(), J1049-1, FESTIVOS!A$1:A$55), "")</f>
        <v/>
      </c>
      <c r="J1049" s="4" t="str">
        <f>IF(AND(F1049&lt;&gt;"", H1049&lt;&gt;""), WORKDAY(F1049, H1049, FESTIVOS!A$1:A$55), "")</f>
        <v/>
      </c>
      <c r="K1049" s="3"/>
      <c r="L1049" s="3" t="str">
        <f t="shared" ca="1" si="53"/>
        <v/>
      </c>
      <c r="M1049" s="3" t="str">
        <f t="shared" ca="1" si="54"/>
        <v/>
      </c>
      <c r="N1049" s="3"/>
      <c r="O1049" s="3"/>
      <c r="P1049" s="4" t="str">
        <f>IF(OR(O1049="", J1049=""), "", NETWORKDAYS(J1049, O1049,#REF!))</f>
        <v/>
      </c>
    </row>
    <row r="1050" spans="1:16" ht="15.75" x14ac:dyDescent="0.25">
      <c r="A1050" s="3"/>
      <c r="B1050" s="18"/>
      <c r="C1050" s="18"/>
      <c r="D1050" s="18"/>
      <c r="E1050" s="16"/>
      <c r="F1050" s="17"/>
      <c r="G1050" s="3"/>
      <c r="H1050" s="3" t="str">
        <f t="shared" si="52"/>
        <v/>
      </c>
      <c r="I1050" s="3" t="str">
        <f ca="1">IF(AND(F1050&lt;&gt;"", J1050&lt;&gt;""), NETWORKDAYS(TODAY(), J1050-1, FESTIVOS!A$1:A$55), "")</f>
        <v/>
      </c>
      <c r="J1050" s="4" t="str">
        <f>IF(AND(F1050&lt;&gt;"", H1050&lt;&gt;""), WORKDAY(F1050, H1050, FESTIVOS!A$1:A$55), "")</f>
        <v/>
      </c>
      <c r="K1050" s="3"/>
      <c r="L1050" s="3" t="str">
        <f t="shared" ca="1" si="53"/>
        <v/>
      </c>
      <c r="M1050" s="3" t="str">
        <f t="shared" ca="1" si="54"/>
        <v/>
      </c>
      <c r="N1050" s="3"/>
      <c r="O1050" s="3"/>
      <c r="P1050" s="4" t="str">
        <f>IF(OR(O1050="", J1050=""), "", NETWORKDAYS(J1050, O1050,#REF!))</f>
        <v/>
      </c>
    </row>
    <row r="1051" spans="1:16" ht="15.75" x14ac:dyDescent="0.25">
      <c r="A1051" s="3"/>
      <c r="B1051" s="18"/>
      <c r="C1051" s="18"/>
      <c r="D1051" s="18"/>
      <c r="E1051" s="16"/>
      <c r="F1051" s="17"/>
      <c r="G1051" s="3"/>
      <c r="H1051" s="3" t="str">
        <f t="shared" si="52"/>
        <v/>
      </c>
      <c r="I1051" s="3" t="str">
        <f ca="1">IF(AND(F1051&lt;&gt;"", J1051&lt;&gt;""), NETWORKDAYS(TODAY(), J1051-1, FESTIVOS!A$1:A$55), "")</f>
        <v/>
      </c>
      <c r="J1051" s="4" t="str">
        <f>IF(AND(F1051&lt;&gt;"", H1051&lt;&gt;""), WORKDAY(F1051, H1051, FESTIVOS!A$1:A$55), "")</f>
        <v/>
      </c>
      <c r="K1051" s="3"/>
      <c r="L1051" s="3" t="str">
        <f t="shared" ca="1" si="53"/>
        <v/>
      </c>
      <c r="M1051" s="3" t="str">
        <f t="shared" ca="1" si="54"/>
        <v/>
      </c>
      <c r="N1051" s="3"/>
      <c r="O1051" s="3"/>
      <c r="P1051" s="4" t="str">
        <f>IF(OR(O1051="", J1051=""), "", NETWORKDAYS(J1051, O1051,#REF!))</f>
        <v/>
      </c>
    </row>
    <row r="1052" spans="1:16" ht="15.75" x14ac:dyDescent="0.25">
      <c r="A1052" s="3"/>
      <c r="B1052" s="18"/>
      <c r="C1052" s="18"/>
      <c r="D1052" s="18"/>
      <c r="E1052" s="16"/>
      <c r="F1052" s="17"/>
      <c r="G1052" s="3"/>
      <c r="H1052" s="3" t="str">
        <f t="shared" si="52"/>
        <v/>
      </c>
      <c r="I1052" s="3" t="str">
        <f ca="1">IF(AND(F1052&lt;&gt;"", J1052&lt;&gt;""), NETWORKDAYS(TODAY(), J1052-1, FESTIVOS!A$1:A$55), "")</f>
        <v/>
      </c>
      <c r="J1052" s="4" t="str">
        <f>IF(AND(F1052&lt;&gt;"", H1052&lt;&gt;""), WORKDAY(F1052, H1052, FESTIVOS!A$1:A$55), "")</f>
        <v/>
      </c>
      <c r="K1052" s="3"/>
      <c r="L1052" s="3" t="str">
        <f t="shared" ca="1" si="53"/>
        <v/>
      </c>
      <c r="M1052" s="3" t="str">
        <f t="shared" ca="1" si="54"/>
        <v/>
      </c>
      <c r="N1052" s="3"/>
      <c r="O1052" s="3"/>
      <c r="P1052" s="4" t="str">
        <f>IF(OR(O1052="", J1052=""), "", NETWORKDAYS(J1052, O1052,#REF!))</f>
        <v/>
      </c>
    </row>
    <row r="1053" spans="1:16" ht="15.75" x14ac:dyDescent="0.25">
      <c r="A1053" s="3"/>
      <c r="B1053" s="18"/>
      <c r="C1053" s="18"/>
      <c r="D1053" s="18"/>
      <c r="E1053" s="16"/>
      <c r="F1053" s="17"/>
      <c r="G1053" s="3"/>
      <c r="H1053" s="3" t="str">
        <f t="shared" si="52"/>
        <v/>
      </c>
      <c r="I1053" s="3" t="str">
        <f ca="1">IF(AND(F1053&lt;&gt;"", J1053&lt;&gt;""), NETWORKDAYS(TODAY(), J1053-1, FESTIVOS!A$1:A$55), "")</f>
        <v/>
      </c>
      <c r="J1053" s="4" t="str">
        <f>IF(AND(F1053&lt;&gt;"", H1053&lt;&gt;""), WORKDAY(F1053, H1053, FESTIVOS!A$1:A$55), "")</f>
        <v/>
      </c>
      <c r="K1053" s="3"/>
      <c r="L1053" s="3" t="str">
        <f t="shared" ca="1" si="53"/>
        <v/>
      </c>
      <c r="M1053" s="3" t="str">
        <f t="shared" ca="1" si="54"/>
        <v/>
      </c>
      <c r="N1053" s="3"/>
      <c r="O1053" s="3"/>
      <c r="P1053" s="4" t="str">
        <f>IF(OR(O1053="", J1053=""), "", NETWORKDAYS(J1053, O1053,#REF!))</f>
        <v/>
      </c>
    </row>
    <row r="1054" spans="1:16" ht="15.75" x14ac:dyDescent="0.25">
      <c r="A1054" s="3"/>
      <c r="B1054" s="18"/>
      <c r="C1054" s="18"/>
      <c r="D1054" s="18"/>
      <c r="E1054" s="16"/>
      <c r="F1054" s="17"/>
      <c r="G1054" s="3"/>
      <c r="H1054" s="3" t="str">
        <f t="shared" si="52"/>
        <v/>
      </c>
      <c r="I1054" s="3" t="str">
        <f ca="1">IF(AND(F1054&lt;&gt;"", J1054&lt;&gt;""), NETWORKDAYS(TODAY(), J1054-1, FESTIVOS!A$1:A$55), "")</f>
        <v/>
      </c>
      <c r="J1054" s="4" t="str">
        <f>IF(AND(F1054&lt;&gt;"", H1054&lt;&gt;""), WORKDAY(F1054, H1054, FESTIVOS!A$1:A$55), "")</f>
        <v/>
      </c>
      <c r="K1054" s="3"/>
      <c r="L1054" s="3" t="str">
        <f t="shared" ca="1" si="53"/>
        <v/>
      </c>
      <c r="M1054" s="3" t="str">
        <f t="shared" ca="1" si="54"/>
        <v/>
      </c>
      <c r="N1054" s="3"/>
      <c r="O1054" s="3"/>
      <c r="P1054" s="4" t="str">
        <f>IF(OR(O1054="", J1054=""), "", NETWORKDAYS(J1054, O1054,#REF!))</f>
        <v/>
      </c>
    </row>
    <row r="1055" spans="1:16" ht="15.75" x14ac:dyDescent="0.25">
      <c r="A1055" s="3"/>
      <c r="B1055" s="18"/>
      <c r="C1055" s="18"/>
      <c r="D1055" s="18"/>
      <c r="E1055" s="16"/>
      <c r="F1055" s="17"/>
      <c r="G1055" s="3"/>
      <c r="H1055" s="3" t="str">
        <f t="shared" si="52"/>
        <v/>
      </c>
      <c r="I1055" s="3" t="str">
        <f ca="1">IF(AND(F1055&lt;&gt;"", J1055&lt;&gt;""), NETWORKDAYS(TODAY(), J1055-1, FESTIVOS!A$1:A$55), "")</f>
        <v/>
      </c>
      <c r="J1055" s="4" t="str">
        <f>IF(AND(F1055&lt;&gt;"", H1055&lt;&gt;""), WORKDAY(F1055, H1055, FESTIVOS!A$1:A$55), "")</f>
        <v/>
      </c>
      <c r="K1055" s="3"/>
      <c r="L1055" s="3" t="str">
        <f t="shared" ca="1" si="53"/>
        <v/>
      </c>
      <c r="M1055" s="3" t="str">
        <f t="shared" ca="1" si="54"/>
        <v/>
      </c>
      <c r="N1055" s="3"/>
      <c r="O1055" s="3"/>
      <c r="P1055" s="4" t="str">
        <f>IF(OR(O1055="", J1055=""), "", NETWORKDAYS(J1055, O1055,#REF!))</f>
        <v/>
      </c>
    </row>
    <row r="1056" spans="1:16" ht="15.75" x14ac:dyDescent="0.25">
      <c r="A1056" s="3"/>
      <c r="B1056" s="18"/>
      <c r="C1056" s="18"/>
      <c r="D1056" s="18"/>
      <c r="E1056" s="16"/>
      <c r="F1056" s="17"/>
      <c r="G1056" s="3"/>
      <c r="H1056" s="3" t="str">
        <f t="shared" si="52"/>
        <v/>
      </c>
      <c r="I1056" s="3" t="str">
        <f ca="1">IF(AND(F1056&lt;&gt;"", J1056&lt;&gt;""), NETWORKDAYS(TODAY(), J1056-1, FESTIVOS!A$1:A$55), "")</f>
        <v/>
      </c>
      <c r="J1056" s="4" t="str">
        <f>IF(AND(F1056&lt;&gt;"", H1056&lt;&gt;""), WORKDAY(F1056, H1056, FESTIVOS!A$1:A$55), "")</f>
        <v/>
      </c>
      <c r="K1056" s="3"/>
      <c r="L1056" s="3" t="str">
        <f t="shared" ca="1" si="53"/>
        <v/>
      </c>
      <c r="M1056" s="3" t="str">
        <f t="shared" ca="1" si="54"/>
        <v/>
      </c>
      <c r="N1056" s="3"/>
      <c r="O1056" s="3"/>
      <c r="P1056" s="4" t="str">
        <f>IF(OR(O1056="", J1056=""), "", NETWORKDAYS(J1056, O1056,#REF!))</f>
        <v/>
      </c>
    </row>
    <row r="1057" spans="1:16" ht="15.75" x14ac:dyDescent="0.25">
      <c r="A1057" s="3"/>
      <c r="B1057" s="18"/>
      <c r="C1057" s="18"/>
      <c r="D1057" s="18"/>
      <c r="E1057" s="16"/>
      <c r="F1057" s="17"/>
      <c r="G1057" s="3"/>
      <c r="H1057" s="3" t="str">
        <f t="shared" si="52"/>
        <v/>
      </c>
      <c r="I1057" s="3" t="str">
        <f ca="1">IF(AND(F1057&lt;&gt;"", J1057&lt;&gt;""), NETWORKDAYS(TODAY(), J1057-1, FESTIVOS!A$1:A$55), "")</f>
        <v/>
      </c>
      <c r="J1057" s="4" t="str">
        <f>IF(AND(F1057&lt;&gt;"", H1057&lt;&gt;""), WORKDAY(F1057, H1057, FESTIVOS!A$1:A$55), "")</f>
        <v/>
      </c>
      <c r="K1057" s="3"/>
      <c r="L1057" s="3" t="str">
        <f t="shared" ca="1" si="53"/>
        <v/>
      </c>
      <c r="M1057" s="3" t="str">
        <f t="shared" ca="1" si="54"/>
        <v/>
      </c>
      <c r="N1057" s="3"/>
      <c r="O1057" s="3"/>
      <c r="P1057" s="4" t="str">
        <f>IF(OR(O1057="", J1057=""), "", NETWORKDAYS(J1057, O1057,#REF!))</f>
        <v/>
      </c>
    </row>
    <row r="1058" spans="1:16" ht="15.75" x14ac:dyDescent="0.25">
      <c r="A1058" s="3"/>
      <c r="B1058" s="18"/>
      <c r="C1058" s="18"/>
      <c r="D1058" s="18"/>
      <c r="E1058" s="16"/>
      <c r="F1058" s="17"/>
      <c r="G1058" s="3"/>
      <c r="H1058" s="3" t="str">
        <f t="shared" si="52"/>
        <v/>
      </c>
      <c r="I1058" s="3" t="str">
        <f ca="1">IF(AND(F1058&lt;&gt;"", J1058&lt;&gt;""), NETWORKDAYS(TODAY(), J1058-1, FESTIVOS!A$1:A$55), "")</f>
        <v/>
      </c>
      <c r="J1058" s="4" t="str">
        <f>IF(AND(F1058&lt;&gt;"", H1058&lt;&gt;""), WORKDAY(F1058, H1058, FESTIVOS!A$1:A$55), "")</f>
        <v/>
      </c>
      <c r="K1058" s="3"/>
      <c r="L1058" s="3" t="str">
        <f t="shared" ca="1" si="53"/>
        <v/>
      </c>
      <c r="M1058" s="3" t="str">
        <f t="shared" ca="1" si="54"/>
        <v/>
      </c>
      <c r="N1058" s="3"/>
      <c r="O1058" s="3"/>
      <c r="P1058" s="4" t="str">
        <f>IF(OR(O1058="", J1058=""), "", NETWORKDAYS(J1058, O1058,#REF!))</f>
        <v/>
      </c>
    </row>
    <row r="1059" spans="1:16" ht="15.75" x14ac:dyDescent="0.25">
      <c r="A1059" s="3"/>
      <c r="B1059" s="18"/>
      <c r="C1059" s="18"/>
      <c r="D1059" s="18"/>
      <c r="E1059" s="16"/>
      <c r="F1059" s="17"/>
      <c r="G1059" s="3"/>
      <c r="H1059" s="3" t="str">
        <f t="shared" si="52"/>
        <v/>
      </c>
      <c r="I1059" s="3" t="str">
        <f ca="1">IF(AND(F1059&lt;&gt;"", J1059&lt;&gt;""), NETWORKDAYS(TODAY(), J1059-1, FESTIVOS!A$1:A$55), "")</f>
        <v/>
      </c>
      <c r="J1059" s="4" t="str">
        <f>IF(AND(F1059&lt;&gt;"", H1059&lt;&gt;""), WORKDAY(F1059, H1059, FESTIVOS!A$1:A$55), "")</f>
        <v/>
      </c>
      <c r="K1059" s="3"/>
      <c r="L1059" s="3" t="str">
        <f t="shared" ca="1" si="53"/>
        <v/>
      </c>
      <c r="M1059" s="3" t="str">
        <f t="shared" ca="1" si="54"/>
        <v/>
      </c>
      <c r="N1059" s="3"/>
      <c r="O1059" s="3"/>
      <c r="P1059" s="4" t="str">
        <f>IF(OR(O1059="", J1059=""), "", NETWORKDAYS(J1059, O1059,#REF!))</f>
        <v/>
      </c>
    </row>
    <row r="1060" spans="1:16" ht="15.75" x14ac:dyDescent="0.25">
      <c r="A1060" s="3"/>
      <c r="B1060" s="18"/>
      <c r="C1060" s="18"/>
      <c r="D1060" s="18"/>
      <c r="E1060" s="16"/>
      <c r="F1060" s="17"/>
      <c r="G1060" s="3"/>
      <c r="H1060" s="3" t="str">
        <f t="shared" si="52"/>
        <v/>
      </c>
      <c r="I1060" s="3" t="str">
        <f ca="1">IF(AND(F1060&lt;&gt;"", J1060&lt;&gt;""), NETWORKDAYS(TODAY(), J1060-1, FESTIVOS!A$1:A$55), "")</f>
        <v/>
      </c>
      <c r="J1060" s="4" t="str">
        <f>IF(AND(F1060&lt;&gt;"", H1060&lt;&gt;""), WORKDAY(F1060, H1060, FESTIVOS!A$1:A$55), "")</f>
        <v/>
      </c>
      <c r="K1060" s="3"/>
      <c r="L1060" s="3" t="str">
        <f t="shared" ca="1" si="53"/>
        <v/>
      </c>
      <c r="M1060" s="3" t="str">
        <f t="shared" ca="1" si="54"/>
        <v/>
      </c>
      <c r="N1060" s="3"/>
      <c r="O1060" s="3"/>
      <c r="P1060" s="4" t="str">
        <f>IF(OR(O1060="", J1060=""), "", NETWORKDAYS(J1060, O1060,#REF!))</f>
        <v/>
      </c>
    </row>
    <row r="1061" spans="1:16" ht="15.75" x14ac:dyDescent="0.25">
      <c r="A1061" s="3"/>
      <c r="B1061" s="18"/>
      <c r="C1061" s="18"/>
      <c r="D1061" s="18"/>
      <c r="E1061" s="16"/>
      <c r="F1061" s="17"/>
      <c r="G1061" s="3"/>
      <c r="H1061" s="3" t="str">
        <f t="shared" si="52"/>
        <v/>
      </c>
      <c r="I1061" s="3" t="str">
        <f ca="1">IF(AND(F1061&lt;&gt;"", J1061&lt;&gt;""), NETWORKDAYS(TODAY(), J1061-1, FESTIVOS!A$1:A$55), "")</f>
        <v/>
      </c>
      <c r="J1061" s="4" t="str">
        <f>IF(AND(F1061&lt;&gt;"", H1061&lt;&gt;""), WORKDAY(F1061, H1061, FESTIVOS!A$1:A$55), "")</f>
        <v/>
      </c>
      <c r="K1061" s="3"/>
      <c r="L1061" s="3" t="str">
        <f t="shared" ca="1" si="53"/>
        <v/>
      </c>
      <c r="M1061" s="3" t="str">
        <f t="shared" ca="1" si="54"/>
        <v/>
      </c>
      <c r="N1061" s="3"/>
      <c r="O1061" s="3"/>
      <c r="P1061" s="4" t="str">
        <f>IF(OR(O1061="", J1061=""), "", NETWORKDAYS(J1061, O1061,#REF!))</f>
        <v/>
      </c>
    </row>
    <row r="1062" spans="1:16" ht="15.75" x14ac:dyDescent="0.25">
      <c r="A1062" s="3"/>
      <c r="B1062" s="18"/>
      <c r="C1062" s="18"/>
      <c r="D1062" s="18"/>
      <c r="E1062" s="16"/>
      <c r="F1062" s="17"/>
      <c r="G1062" s="3"/>
      <c r="H1062" s="3" t="str">
        <f t="shared" si="52"/>
        <v/>
      </c>
      <c r="I1062" s="3" t="str">
        <f ca="1">IF(AND(F1062&lt;&gt;"", J1062&lt;&gt;""), NETWORKDAYS(TODAY(), J1062-1, FESTIVOS!A$1:A$55), "")</f>
        <v/>
      </c>
      <c r="J1062" s="4" t="str">
        <f>IF(AND(F1062&lt;&gt;"", H1062&lt;&gt;""), WORKDAY(F1062, H1062, FESTIVOS!A$1:A$55), "")</f>
        <v/>
      </c>
      <c r="K1062" s="3"/>
      <c r="L1062" s="3" t="str">
        <f t="shared" ca="1" si="53"/>
        <v/>
      </c>
      <c r="M1062" s="3" t="str">
        <f t="shared" ca="1" si="54"/>
        <v/>
      </c>
      <c r="N1062" s="3"/>
      <c r="O1062" s="3"/>
      <c r="P1062" s="4" t="str">
        <f>IF(OR(O1062="", J1062=""), "", NETWORKDAYS(J1062, O1062,#REF!))</f>
        <v/>
      </c>
    </row>
    <row r="1063" spans="1:16" ht="15.75" x14ac:dyDescent="0.25">
      <c r="A1063" s="3"/>
      <c r="B1063" s="18"/>
      <c r="C1063" s="18"/>
      <c r="D1063" s="18"/>
      <c r="E1063" s="16"/>
      <c r="F1063" s="17"/>
      <c r="G1063" s="3"/>
      <c r="H1063" s="3" t="str">
        <f t="shared" si="52"/>
        <v/>
      </c>
      <c r="I1063" s="3" t="str">
        <f ca="1">IF(AND(F1063&lt;&gt;"", J1063&lt;&gt;""), NETWORKDAYS(TODAY(), J1063-1, FESTIVOS!A$1:A$55), "")</f>
        <v/>
      </c>
      <c r="J1063" s="4" t="str">
        <f>IF(AND(F1063&lt;&gt;"", H1063&lt;&gt;""), WORKDAY(F1063, H1063, FESTIVOS!A$1:A$55), "")</f>
        <v/>
      </c>
      <c r="K1063" s="3"/>
      <c r="L1063" s="3" t="str">
        <f t="shared" ca="1" si="53"/>
        <v/>
      </c>
      <c r="M1063" s="3" t="str">
        <f t="shared" ca="1" si="54"/>
        <v/>
      </c>
      <c r="N1063" s="3"/>
      <c r="O1063" s="3"/>
      <c r="P1063" s="4" t="str">
        <f>IF(OR(O1063="", J1063=""), "", NETWORKDAYS(J1063, O1063,#REF!))</f>
        <v/>
      </c>
    </row>
    <row r="1064" spans="1:16" ht="15.75" x14ac:dyDescent="0.25">
      <c r="A1064" s="3"/>
      <c r="B1064" s="18"/>
      <c r="C1064" s="18"/>
      <c r="D1064" s="18"/>
      <c r="E1064" s="16"/>
      <c r="F1064" s="17"/>
      <c r="G1064" s="3"/>
      <c r="H1064" s="3" t="str">
        <f t="shared" si="52"/>
        <v/>
      </c>
      <c r="I1064" s="3" t="str">
        <f ca="1">IF(AND(F1064&lt;&gt;"", J1064&lt;&gt;""), NETWORKDAYS(TODAY(), J1064-1, FESTIVOS!A$1:A$55), "")</f>
        <v/>
      </c>
      <c r="J1064" s="4" t="str">
        <f>IF(AND(F1064&lt;&gt;"", H1064&lt;&gt;""), WORKDAY(F1064, H1064, FESTIVOS!A$1:A$55), "")</f>
        <v/>
      </c>
      <c r="K1064" s="3"/>
      <c r="L1064" s="3" t="str">
        <f t="shared" ca="1" si="53"/>
        <v/>
      </c>
      <c r="M1064" s="3" t="str">
        <f t="shared" ca="1" si="54"/>
        <v/>
      </c>
      <c r="N1064" s="3"/>
      <c r="O1064" s="3"/>
      <c r="P1064" s="4" t="str">
        <f>IF(OR(O1064="", J1064=""), "", NETWORKDAYS(J1064, O1064,#REF!))</f>
        <v/>
      </c>
    </row>
    <row r="1065" spans="1:16" ht="15.75" x14ac:dyDescent="0.25">
      <c r="A1065" s="3"/>
      <c r="B1065" s="18"/>
      <c r="C1065" s="18"/>
      <c r="D1065" s="18"/>
      <c r="E1065" s="16"/>
      <c r="F1065" s="17"/>
      <c r="G1065" s="3"/>
      <c r="H1065" s="3" t="str">
        <f t="shared" si="52"/>
        <v/>
      </c>
      <c r="I1065" s="3" t="str">
        <f ca="1">IF(AND(F1065&lt;&gt;"", J1065&lt;&gt;""), NETWORKDAYS(TODAY(), J1065-1, FESTIVOS!A$1:A$55), "")</f>
        <v/>
      </c>
      <c r="J1065" s="4" t="str">
        <f>IF(AND(F1065&lt;&gt;"", H1065&lt;&gt;""), WORKDAY(F1065, H1065, FESTIVOS!A$1:A$55), "")</f>
        <v/>
      </c>
      <c r="K1065" s="3"/>
      <c r="L1065" s="3" t="str">
        <f t="shared" ca="1" si="53"/>
        <v/>
      </c>
      <c r="M1065" s="3" t="str">
        <f t="shared" ca="1" si="54"/>
        <v/>
      </c>
      <c r="N1065" s="3"/>
      <c r="O1065" s="3"/>
      <c r="P1065" s="4" t="str">
        <f>IF(OR(O1065="", J1065=""), "", NETWORKDAYS(J1065, O1065,#REF!))</f>
        <v/>
      </c>
    </row>
    <row r="1066" spans="1:16" ht="15.75" x14ac:dyDescent="0.25">
      <c r="A1066" s="3"/>
      <c r="B1066" s="18"/>
      <c r="C1066" s="18"/>
      <c r="D1066" s="18"/>
      <c r="E1066" s="16"/>
      <c r="F1066" s="17"/>
      <c r="G1066" s="3"/>
      <c r="H1066" s="3" t="str">
        <f t="shared" si="52"/>
        <v/>
      </c>
      <c r="I1066" s="3" t="str">
        <f ca="1">IF(AND(F1066&lt;&gt;"", J1066&lt;&gt;""), NETWORKDAYS(TODAY(), J1066-1, FESTIVOS!A$1:A$55), "")</f>
        <v/>
      </c>
      <c r="J1066" s="4" t="str">
        <f>IF(AND(F1066&lt;&gt;"", H1066&lt;&gt;""), WORKDAY(F1066, H1066, FESTIVOS!A$1:A$55), "")</f>
        <v/>
      </c>
      <c r="K1066" s="3"/>
      <c r="L1066" s="3" t="str">
        <f t="shared" ca="1" si="53"/>
        <v/>
      </c>
      <c r="M1066" s="3" t="str">
        <f t="shared" ca="1" si="54"/>
        <v/>
      </c>
      <c r="N1066" s="3"/>
      <c r="O1066" s="3"/>
      <c r="P1066" s="4" t="str">
        <f>IF(OR(O1066="", J1066=""), "", NETWORKDAYS(J1066, O1066,#REF!))</f>
        <v/>
      </c>
    </row>
    <row r="1067" spans="1:16" ht="15.75" x14ac:dyDescent="0.25">
      <c r="A1067" s="3"/>
      <c r="B1067" s="18"/>
      <c r="C1067" s="18"/>
      <c r="D1067" s="18"/>
      <c r="E1067" s="16"/>
      <c r="F1067" s="17"/>
      <c r="G1067" s="3"/>
      <c r="H1067" s="3" t="str">
        <f t="shared" si="52"/>
        <v/>
      </c>
      <c r="I1067" s="3" t="str">
        <f ca="1">IF(AND(F1067&lt;&gt;"", J1067&lt;&gt;""), NETWORKDAYS(TODAY(), J1067-1, FESTIVOS!A$1:A$55), "")</f>
        <v/>
      </c>
      <c r="J1067" s="4" t="str">
        <f>IF(AND(F1067&lt;&gt;"", H1067&lt;&gt;""), WORKDAY(F1067, H1067, FESTIVOS!A$1:A$55), "")</f>
        <v/>
      </c>
      <c r="K1067" s="3"/>
      <c r="L1067" s="3" t="str">
        <f t="shared" ca="1" si="53"/>
        <v/>
      </c>
      <c r="M1067" s="3" t="str">
        <f t="shared" ca="1" si="54"/>
        <v/>
      </c>
      <c r="N1067" s="3"/>
      <c r="O1067" s="3"/>
      <c r="P1067" s="4" t="str">
        <f>IF(OR(O1067="", J1067=""), "", NETWORKDAYS(J1067, O1067,#REF!))</f>
        <v/>
      </c>
    </row>
    <row r="1068" spans="1:16" ht="15.75" x14ac:dyDescent="0.25">
      <c r="A1068" s="3"/>
      <c r="B1068" s="18"/>
      <c r="C1068" s="18"/>
      <c r="D1068" s="18"/>
      <c r="E1068" s="16"/>
      <c r="F1068" s="17"/>
      <c r="G1068" s="3"/>
      <c r="H1068" s="3" t="str">
        <f t="shared" si="52"/>
        <v/>
      </c>
      <c r="I1068" s="3" t="str">
        <f ca="1">IF(AND(F1068&lt;&gt;"", J1068&lt;&gt;""), NETWORKDAYS(TODAY(), J1068-1, FESTIVOS!A$1:A$55), "")</f>
        <v/>
      </c>
      <c r="J1068" s="4" t="str">
        <f>IF(AND(F1068&lt;&gt;"", H1068&lt;&gt;""), WORKDAY(F1068, H1068, FESTIVOS!A$1:A$55), "")</f>
        <v/>
      </c>
      <c r="K1068" s="3"/>
      <c r="L1068" s="3" t="str">
        <f t="shared" ca="1" si="53"/>
        <v/>
      </c>
      <c r="M1068" s="3" t="str">
        <f t="shared" ca="1" si="54"/>
        <v/>
      </c>
      <c r="N1068" s="3"/>
      <c r="O1068" s="3"/>
      <c r="P1068" s="4" t="str">
        <f>IF(OR(O1068="", J1068=""), "", NETWORKDAYS(J1068, O1068,#REF!))</f>
        <v/>
      </c>
    </row>
    <row r="1069" spans="1:16" ht="15.75" x14ac:dyDescent="0.25">
      <c r="A1069" s="3"/>
      <c r="B1069" s="18"/>
      <c r="C1069" s="18"/>
      <c r="D1069" s="18"/>
      <c r="E1069" s="16"/>
      <c r="F1069" s="17"/>
      <c r="G1069" s="3"/>
      <c r="H1069" s="3" t="str">
        <f t="shared" si="52"/>
        <v/>
      </c>
      <c r="I1069" s="3" t="str">
        <f ca="1">IF(AND(F1069&lt;&gt;"", J1069&lt;&gt;""), NETWORKDAYS(TODAY(), J1069-1, FESTIVOS!A$1:A$55), "")</f>
        <v/>
      </c>
      <c r="J1069" s="4" t="str">
        <f>IF(AND(F1069&lt;&gt;"", H1069&lt;&gt;""), WORKDAY(F1069, H1069, FESTIVOS!A$1:A$55), "")</f>
        <v/>
      </c>
      <c r="K1069" s="3"/>
      <c r="L1069" s="3" t="str">
        <f t="shared" ca="1" si="53"/>
        <v/>
      </c>
      <c r="M1069" s="3" t="str">
        <f t="shared" ca="1" si="54"/>
        <v/>
      </c>
      <c r="N1069" s="3"/>
      <c r="O1069" s="3"/>
      <c r="P1069" s="4" t="str">
        <f>IF(OR(O1069="", J1069=""), "", NETWORKDAYS(J1069, O1069,#REF!))</f>
        <v/>
      </c>
    </row>
    <row r="1070" spans="1:16" ht="15.75" x14ac:dyDescent="0.25">
      <c r="A1070" s="3"/>
      <c r="B1070" s="18"/>
      <c r="C1070" s="18"/>
      <c r="D1070" s="18"/>
      <c r="E1070" s="16"/>
      <c r="F1070" s="17"/>
      <c r="G1070" s="3"/>
      <c r="H1070" s="3" t="str">
        <f t="shared" si="52"/>
        <v/>
      </c>
      <c r="I1070" s="3" t="str">
        <f ca="1">IF(AND(F1070&lt;&gt;"", J1070&lt;&gt;""), NETWORKDAYS(TODAY(), J1070-1, FESTIVOS!A$1:A$55), "")</f>
        <v/>
      </c>
      <c r="J1070" s="4" t="str">
        <f>IF(AND(F1070&lt;&gt;"", H1070&lt;&gt;""), WORKDAY(F1070, H1070, FESTIVOS!A$1:A$55), "")</f>
        <v/>
      </c>
      <c r="K1070" s="3"/>
      <c r="L1070" s="3" t="str">
        <f t="shared" ca="1" si="53"/>
        <v/>
      </c>
      <c r="M1070" s="3" t="str">
        <f t="shared" ca="1" si="54"/>
        <v/>
      </c>
      <c r="N1070" s="3"/>
      <c r="O1070" s="3"/>
      <c r="P1070" s="4" t="str">
        <f>IF(OR(O1070="", J1070=""), "", NETWORKDAYS(J1070, O1070,#REF!))</f>
        <v/>
      </c>
    </row>
    <row r="1071" spans="1:16" ht="15.75" x14ac:dyDescent="0.25">
      <c r="A1071" s="3"/>
      <c r="B1071" s="18"/>
      <c r="C1071" s="18"/>
      <c r="D1071" s="18"/>
      <c r="E1071" s="16"/>
      <c r="F1071" s="17"/>
      <c r="G1071" s="3"/>
      <c r="H1071" s="3" t="str">
        <f t="shared" si="52"/>
        <v/>
      </c>
      <c r="I1071" s="3" t="str">
        <f ca="1">IF(AND(F1071&lt;&gt;"", J1071&lt;&gt;""), NETWORKDAYS(TODAY(), J1071-1, FESTIVOS!A$1:A$55), "")</f>
        <v/>
      </c>
      <c r="J1071" s="4" t="str">
        <f>IF(AND(F1071&lt;&gt;"", H1071&lt;&gt;""), WORKDAY(F1071, H1071, FESTIVOS!A$1:A$55), "")</f>
        <v/>
      </c>
      <c r="K1071" s="3"/>
      <c r="L1071" s="3" t="str">
        <f t="shared" ca="1" si="53"/>
        <v/>
      </c>
      <c r="M1071" s="3" t="str">
        <f t="shared" ca="1" si="54"/>
        <v/>
      </c>
      <c r="N1071" s="3"/>
      <c r="O1071" s="3"/>
      <c r="P1071" s="4" t="str">
        <f>IF(OR(O1071="", J1071=""), "", NETWORKDAYS(J1071, O1071,#REF!))</f>
        <v/>
      </c>
    </row>
    <row r="1072" spans="1:16" ht="15.75" x14ac:dyDescent="0.25">
      <c r="A1072" s="3"/>
      <c r="B1072" s="18"/>
      <c r="C1072" s="18"/>
      <c r="D1072" s="18"/>
      <c r="E1072" s="16"/>
      <c r="F1072" s="17"/>
      <c r="G1072" s="3"/>
      <c r="H1072" s="3" t="str">
        <f t="shared" si="52"/>
        <v/>
      </c>
      <c r="I1072" s="3" t="str">
        <f ca="1">IF(AND(F1072&lt;&gt;"", J1072&lt;&gt;""), NETWORKDAYS(TODAY(), J1072-1, FESTIVOS!A$1:A$55), "")</f>
        <v/>
      </c>
      <c r="J1072" s="4" t="str">
        <f>IF(AND(F1072&lt;&gt;"", H1072&lt;&gt;""), WORKDAY(F1072, H1072, FESTIVOS!A$1:A$55), "")</f>
        <v/>
      </c>
      <c r="K1072" s="3"/>
      <c r="L1072" s="3" t="str">
        <f t="shared" ca="1" si="53"/>
        <v/>
      </c>
      <c r="M1072" s="3" t="str">
        <f t="shared" ca="1" si="54"/>
        <v/>
      </c>
      <c r="N1072" s="3"/>
      <c r="O1072" s="3"/>
      <c r="P1072" s="4" t="str">
        <f>IF(OR(O1072="", J1072=""), "", NETWORKDAYS(J1072, O1072,#REF!))</f>
        <v/>
      </c>
    </row>
    <row r="1073" spans="1:16" ht="15.75" x14ac:dyDescent="0.25">
      <c r="A1073" s="3"/>
      <c r="B1073" s="18"/>
      <c r="C1073" s="18"/>
      <c r="D1073" s="18"/>
      <c r="E1073" s="16"/>
      <c r="F1073" s="17"/>
      <c r="G1073" s="3"/>
      <c r="H1073" s="3" t="str">
        <f t="shared" si="52"/>
        <v/>
      </c>
      <c r="I1073" s="3" t="str">
        <f ca="1">IF(AND(F1073&lt;&gt;"", J1073&lt;&gt;""), NETWORKDAYS(TODAY(), J1073-1, FESTIVOS!A$1:A$55), "")</f>
        <v/>
      </c>
      <c r="J1073" s="4" t="str">
        <f>IF(AND(F1073&lt;&gt;"", H1073&lt;&gt;""), WORKDAY(F1073, H1073, FESTIVOS!A$1:A$55), "")</f>
        <v/>
      </c>
      <c r="K1073" s="3"/>
      <c r="L1073" s="3" t="str">
        <f t="shared" ca="1" si="53"/>
        <v/>
      </c>
      <c r="M1073" s="3" t="str">
        <f t="shared" ca="1" si="54"/>
        <v/>
      </c>
      <c r="N1073" s="3"/>
      <c r="O1073" s="3"/>
      <c r="P1073" s="4" t="str">
        <f>IF(OR(O1073="", J1073=""), "", NETWORKDAYS(J1073, O1073,#REF!))</f>
        <v/>
      </c>
    </row>
    <row r="1074" spans="1:16" ht="15.75" x14ac:dyDescent="0.25">
      <c r="A1074" s="3"/>
      <c r="B1074" s="18"/>
      <c r="C1074" s="18"/>
      <c r="D1074" s="18"/>
      <c r="E1074" s="16"/>
      <c r="F1074" s="17"/>
      <c r="G1074" s="3"/>
      <c r="H1074" s="3" t="str">
        <f t="shared" si="52"/>
        <v/>
      </c>
      <c r="I1074" s="3" t="str">
        <f ca="1">IF(AND(F1074&lt;&gt;"", J1074&lt;&gt;""), NETWORKDAYS(TODAY(), J1074-1, FESTIVOS!A$1:A$55), "")</f>
        <v/>
      </c>
      <c r="J1074" s="4" t="str">
        <f>IF(AND(F1074&lt;&gt;"", H1074&lt;&gt;""), WORKDAY(F1074, H1074, FESTIVOS!A$1:A$55), "")</f>
        <v/>
      </c>
      <c r="K1074" s="3"/>
      <c r="L1074" s="3" t="str">
        <f t="shared" ca="1" si="53"/>
        <v/>
      </c>
      <c r="M1074" s="3" t="str">
        <f t="shared" ca="1" si="54"/>
        <v/>
      </c>
      <c r="N1074" s="3"/>
      <c r="O1074" s="3"/>
      <c r="P1074" s="4" t="str">
        <f>IF(OR(O1074="", J1074=""), "", NETWORKDAYS(J1074, O1074,#REF!))</f>
        <v/>
      </c>
    </row>
    <row r="1075" spans="1:16" ht="15.75" x14ac:dyDescent="0.25">
      <c r="A1075" s="3"/>
      <c r="B1075" s="18"/>
      <c r="C1075" s="18"/>
      <c r="D1075" s="18"/>
      <c r="E1075" s="16"/>
      <c r="F1075" s="17"/>
      <c r="G1075" s="3"/>
      <c r="H1075" s="3" t="str">
        <f t="shared" si="52"/>
        <v/>
      </c>
      <c r="I1075" s="3" t="str">
        <f ca="1">IF(AND(F1075&lt;&gt;"", J1075&lt;&gt;""), NETWORKDAYS(TODAY(), J1075-1, FESTIVOS!A$1:A$55), "")</f>
        <v/>
      </c>
      <c r="J1075" s="4" t="str">
        <f>IF(AND(F1075&lt;&gt;"", H1075&lt;&gt;""), WORKDAY(F1075, H1075, FESTIVOS!A$1:A$55), "")</f>
        <v/>
      </c>
      <c r="K1075" s="3"/>
      <c r="L1075" s="3" t="str">
        <f t="shared" ca="1" si="53"/>
        <v/>
      </c>
      <c r="M1075" s="3" t="str">
        <f t="shared" ca="1" si="54"/>
        <v/>
      </c>
      <c r="N1075" s="3"/>
      <c r="O1075" s="3"/>
      <c r="P1075" s="4" t="str">
        <f>IF(OR(O1075="", J1075=""), "", NETWORKDAYS(J1075, O1075,#REF!))</f>
        <v/>
      </c>
    </row>
    <row r="1076" spans="1:16" ht="15.75" x14ac:dyDescent="0.25">
      <c r="A1076" s="3"/>
      <c r="B1076" s="18"/>
      <c r="C1076" s="18"/>
      <c r="D1076" s="18"/>
      <c r="E1076" s="16"/>
      <c r="F1076" s="17"/>
      <c r="G1076" s="3"/>
      <c r="H1076" s="3" t="str">
        <f t="shared" si="52"/>
        <v/>
      </c>
      <c r="I1076" s="3" t="str">
        <f ca="1">IF(AND(F1076&lt;&gt;"", J1076&lt;&gt;""), NETWORKDAYS(TODAY(), J1076-1, FESTIVOS!A$1:A$55), "")</f>
        <v/>
      </c>
      <c r="J1076" s="4" t="str">
        <f>IF(AND(F1076&lt;&gt;"", H1076&lt;&gt;""), WORKDAY(F1076, H1076, FESTIVOS!A$1:A$55), "")</f>
        <v/>
      </c>
      <c r="K1076" s="3"/>
      <c r="L1076" s="3" t="str">
        <f t="shared" ca="1" si="53"/>
        <v/>
      </c>
      <c r="M1076" s="3" t="str">
        <f t="shared" ca="1" si="54"/>
        <v/>
      </c>
      <c r="N1076" s="3"/>
      <c r="O1076" s="3"/>
      <c r="P1076" s="4" t="str">
        <f>IF(OR(O1076="", J1076=""), "", NETWORKDAYS(J1076, O1076,#REF!))</f>
        <v/>
      </c>
    </row>
    <row r="1077" spans="1:16" ht="15.75" x14ac:dyDescent="0.25">
      <c r="A1077" s="3"/>
      <c r="B1077" s="18"/>
      <c r="C1077" s="18"/>
      <c r="D1077" s="18"/>
      <c r="E1077" s="16"/>
      <c r="F1077" s="17"/>
      <c r="G1077" s="3"/>
      <c r="H1077" s="3" t="str">
        <f t="shared" si="52"/>
        <v/>
      </c>
      <c r="I1077" s="3" t="str">
        <f ca="1">IF(AND(F1077&lt;&gt;"", J1077&lt;&gt;""), NETWORKDAYS(TODAY(), J1077-1, FESTIVOS!A$1:A$55), "")</f>
        <v/>
      </c>
      <c r="J1077" s="4" t="str">
        <f>IF(AND(F1077&lt;&gt;"", H1077&lt;&gt;""), WORKDAY(F1077, H1077, FESTIVOS!A$1:A$55), "")</f>
        <v/>
      </c>
      <c r="K1077" s="3"/>
      <c r="L1077" s="3" t="str">
        <f t="shared" ca="1" si="53"/>
        <v/>
      </c>
      <c r="M1077" s="3" t="str">
        <f t="shared" ca="1" si="54"/>
        <v/>
      </c>
      <c r="N1077" s="3"/>
      <c r="O1077" s="3"/>
      <c r="P1077" s="4" t="str">
        <f>IF(OR(O1077="", J1077=""), "", NETWORKDAYS(J1077, O1077,#REF!))</f>
        <v/>
      </c>
    </row>
    <row r="1078" spans="1:16" ht="15.75" x14ac:dyDescent="0.25">
      <c r="A1078" s="3"/>
      <c r="B1078" s="18"/>
      <c r="C1078" s="18"/>
      <c r="D1078" s="18"/>
      <c r="E1078" s="16"/>
      <c r="F1078" s="17"/>
      <c r="G1078" s="3"/>
      <c r="H1078" s="3" t="str">
        <f t="shared" ref="H1078:H1141" si="55">IF(A1078="INFORMACIÓN O DOCUMENTOS", 10, IF(A1078="CONSULTA", 30, IF(A1078="FACTURACIÓN Y COBROS", 15, IF(A1078="VINCULACIÓN Y DESVINCULACIÓN", 15, IF(A1078="NO ES DE NUESTRA COMPETENCIA", 5, IF(A1078="OTRO", 15, ""))))))</f>
        <v/>
      </c>
      <c r="I1078" s="3" t="str">
        <f ca="1">IF(AND(F1078&lt;&gt;"", J1078&lt;&gt;""), NETWORKDAYS(TODAY(), J1078-1, FESTIVOS!A$1:A$55), "")</f>
        <v/>
      </c>
      <c r="J1078" s="4" t="str">
        <f>IF(AND(F1078&lt;&gt;"", H1078&lt;&gt;""), WORKDAY(F1078, H1078, FESTIVOS!A$1:A$55), "")</f>
        <v/>
      </c>
      <c r="K1078" s="3"/>
      <c r="L1078" s="3" t="str">
        <f t="shared" ref="L1078:L1141" ca="1" si="56">IF(I1078="", "", MAX(0, I1078 - (TODAY() - TODAY())))</f>
        <v/>
      </c>
      <c r="M1078" s="3" t="str">
        <f t="shared" ref="M1078:M1141" ca="1" si="57">IF(OR(I1078="", H1078=""), "", IF(I1078&lt;0, "Vencido", IF(I1078&gt;(H1078/2), "Supere la mitad", "Bajo la mitad")))</f>
        <v/>
      </c>
      <c r="N1078" s="3"/>
      <c r="O1078" s="3"/>
      <c r="P1078" s="4" t="str">
        <f>IF(OR(O1078="", J1078=""), "", NETWORKDAYS(J1078, O1078,#REF!))</f>
        <v/>
      </c>
    </row>
    <row r="1079" spans="1:16" ht="15.75" x14ac:dyDescent="0.25">
      <c r="A1079" s="3"/>
      <c r="B1079" s="18"/>
      <c r="C1079" s="18"/>
      <c r="D1079" s="18"/>
      <c r="E1079" s="16"/>
      <c r="F1079" s="17"/>
      <c r="G1079" s="3"/>
      <c r="H1079" s="3" t="str">
        <f t="shared" si="55"/>
        <v/>
      </c>
      <c r="I1079" s="3" t="str">
        <f ca="1">IF(AND(F1079&lt;&gt;"", J1079&lt;&gt;""), NETWORKDAYS(TODAY(), J1079-1, FESTIVOS!A$1:A$55), "")</f>
        <v/>
      </c>
      <c r="J1079" s="4" t="str">
        <f>IF(AND(F1079&lt;&gt;"", H1079&lt;&gt;""), WORKDAY(F1079, H1079, FESTIVOS!A$1:A$55), "")</f>
        <v/>
      </c>
      <c r="K1079" s="3"/>
      <c r="L1079" s="3" t="str">
        <f t="shared" ca="1" si="56"/>
        <v/>
      </c>
      <c r="M1079" s="3" t="str">
        <f t="shared" ca="1" si="57"/>
        <v/>
      </c>
      <c r="N1079" s="3"/>
      <c r="O1079" s="3"/>
      <c r="P1079" s="4" t="str">
        <f>IF(OR(O1079="", J1079=""), "", NETWORKDAYS(J1079, O1079,#REF!))</f>
        <v/>
      </c>
    </row>
    <row r="1080" spans="1:16" ht="15.75" x14ac:dyDescent="0.25">
      <c r="A1080" s="3"/>
      <c r="B1080" s="18"/>
      <c r="C1080" s="18"/>
      <c r="D1080" s="18"/>
      <c r="E1080" s="16"/>
      <c r="F1080" s="17"/>
      <c r="G1080" s="3"/>
      <c r="H1080" s="3" t="str">
        <f t="shared" si="55"/>
        <v/>
      </c>
      <c r="I1080" s="3" t="str">
        <f ca="1">IF(AND(F1080&lt;&gt;"", J1080&lt;&gt;""), NETWORKDAYS(TODAY(), J1080-1, FESTIVOS!A$1:A$55), "")</f>
        <v/>
      </c>
      <c r="J1080" s="4" t="str">
        <f>IF(AND(F1080&lt;&gt;"", H1080&lt;&gt;""), WORKDAY(F1080, H1080, FESTIVOS!A$1:A$55), "")</f>
        <v/>
      </c>
      <c r="K1080" s="3"/>
      <c r="L1080" s="3" t="str">
        <f t="shared" ca="1" si="56"/>
        <v/>
      </c>
      <c r="M1080" s="3" t="str">
        <f t="shared" ca="1" si="57"/>
        <v/>
      </c>
      <c r="N1080" s="3"/>
      <c r="O1080" s="3"/>
      <c r="P1080" s="4" t="str">
        <f>IF(OR(O1080="", J1080=""), "", NETWORKDAYS(J1080, O1080,#REF!))</f>
        <v/>
      </c>
    </row>
    <row r="1081" spans="1:16" ht="15.75" x14ac:dyDescent="0.25">
      <c r="A1081" s="3"/>
      <c r="B1081" s="18"/>
      <c r="C1081" s="18"/>
      <c r="D1081" s="18"/>
      <c r="E1081" s="16"/>
      <c r="F1081" s="17"/>
      <c r="G1081" s="3"/>
      <c r="H1081" s="3" t="str">
        <f t="shared" si="55"/>
        <v/>
      </c>
      <c r="I1081" s="3" t="str">
        <f ca="1">IF(AND(F1081&lt;&gt;"", J1081&lt;&gt;""), NETWORKDAYS(TODAY(), J1081-1, FESTIVOS!A$1:A$55), "")</f>
        <v/>
      </c>
      <c r="J1081" s="4" t="str">
        <f>IF(AND(F1081&lt;&gt;"", H1081&lt;&gt;""), WORKDAY(F1081, H1081, FESTIVOS!A$1:A$55), "")</f>
        <v/>
      </c>
      <c r="K1081" s="3"/>
      <c r="L1081" s="3" t="str">
        <f t="shared" ca="1" si="56"/>
        <v/>
      </c>
      <c r="M1081" s="3" t="str">
        <f t="shared" ca="1" si="57"/>
        <v/>
      </c>
      <c r="N1081" s="3"/>
      <c r="O1081" s="3"/>
      <c r="P1081" s="4" t="str">
        <f>IF(OR(O1081="", J1081=""), "", NETWORKDAYS(J1081, O1081,#REF!))</f>
        <v/>
      </c>
    </row>
    <row r="1082" spans="1:16" ht="15.75" x14ac:dyDescent="0.25">
      <c r="A1082" s="3"/>
      <c r="B1082" s="18"/>
      <c r="C1082" s="18"/>
      <c r="D1082" s="18"/>
      <c r="E1082" s="16"/>
      <c r="F1082" s="17"/>
      <c r="G1082" s="3"/>
      <c r="H1082" s="3" t="str">
        <f t="shared" si="55"/>
        <v/>
      </c>
      <c r="I1082" s="3" t="str">
        <f ca="1">IF(AND(F1082&lt;&gt;"", J1082&lt;&gt;""), NETWORKDAYS(TODAY(), J1082-1, FESTIVOS!A$1:A$55), "")</f>
        <v/>
      </c>
      <c r="J1082" s="4" t="str">
        <f>IF(AND(F1082&lt;&gt;"", H1082&lt;&gt;""), WORKDAY(F1082, H1082, FESTIVOS!A$1:A$55), "")</f>
        <v/>
      </c>
      <c r="K1082" s="3"/>
      <c r="L1082" s="3" t="str">
        <f t="shared" ca="1" si="56"/>
        <v/>
      </c>
      <c r="M1082" s="3" t="str">
        <f t="shared" ca="1" si="57"/>
        <v/>
      </c>
      <c r="N1082" s="3"/>
      <c r="O1082" s="3"/>
      <c r="P1082" s="4" t="str">
        <f>IF(OR(O1082="", J1082=""), "", NETWORKDAYS(J1082, O1082,#REF!))</f>
        <v/>
      </c>
    </row>
    <row r="1083" spans="1:16" ht="15.75" x14ac:dyDescent="0.25">
      <c r="A1083" s="3"/>
      <c r="B1083" s="18"/>
      <c r="C1083" s="18"/>
      <c r="D1083" s="18"/>
      <c r="E1083" s="16"/>
      <c r="F1083" s="17"/>
      <c r="G1083" s="3"/>
      <c r="H1083" s="3" t="str">
        <f t="shared" si="55"/>
        <v/>
      </c>
      <c r="I1083" s="3" t="str">
        <f ca="1">IF(AND(F1083&lt;&gt;"", J1083&lt;&gt;""), NETWORKDAYS(TODAY(), J1083-1, FESTIVOS!A$1:A$55), "")</f>
        <v/>
      </c>
      <c r="J1083" s="4" t="str">
        <f>IF(AND(F1083&lt;&gt;"", H1083&lt;&gt;""), WORKDAY(F1083, H1083, FESTIVOS!A$1:A$55), "")</f>
        <v/>
      </c>
      <c r="K1083" s="3"/>
      <c r="L1083" s="3" t="str">
        <f t="shared" ca="1" si="56"/>
        <v/>
      </c>
      <c r="M1083" s="3" t="str">
        <f t="shared" ca="1" si="57"/>
        <v/>
      </c>
      <c r="N1083" s="3"/>
      <c r="O1083" s="3"/>
      <c r="P1083" s="4" t="str">
        <f>IF(OR(O1083="", J1083=""), "", NETWORKDAYS(J1083, O1083,#REF!))</f>
        <v/>
      </c>
    </row>
    <row r="1084" spans="1:16" ht="15.75" x14ac:dyDescent="0.25">
      <c r="A1084" s="3"/>
      <c r="B1084" s="18"/>
      <c r="C1084" s="18"/>
      <c r="D1084" s="18"/>
      <c r="E1084" s="16"/>
      <c r="F1084" s="17"/>
      <c r="G1084" s="3"/>
      <c r="H1084" s="3" t="str">
        <f t="shared" si="55"/>
        <v/>
      </c>
      <c r="I1084" s="3" t="str">
        <f ca="1">IF(AND(F1084&lt;&gt;"", J1084&lt;&gt;""), NETWORKDAYS(TODAY(), J1084-1, FESTIVOS!A$1:A$55), "")</f>
        <v/>
      </c>
      <c r="J1084" s="4" t="str">
        <f>IF(AND(F1084&lt;&gt;"", H1084&lt;&gt;""), WORKDAY(F1084, H1084, FESTIVOS!A$1:A$55), "")</f>
        <v/>
      </c>
      <c r="K1084" s="3"/>
      <c r="L1084" s="3" t="str">
        <f t="shared" ca="1" si="56"/>
        <v/>
      </c>
      <c r="M1084" s="3" t="str">
        <f t="shared" ca="1" si="57"/>
        <v/>
      </c>
      <c r="N1084" s="3"/>
      <c r="O1084" s="3"/>
      <c r="P1084" s="4" t="str">
        <f>IF(OR(O1084="", J1084=""), "", NETWORKDAYS(J1084, O1084,#REF!))</f>
        <v/>
      </c>
    </row>
    <row r="1085" spans="1:16" ht="15.75" x14ac:dyDescent="0.25">
      <c r="A1085" s="3"/>
      <c r="B1085" s="18"/>
      <c r="C1085" s="18"/>
      <c r="D1085" s="18"/>
      <c r="E1085" s="16"/>
      <c r="F1085" s="17"/>
      <c r="G1085" s="3"/>
      <c r="H1085" s="3" t="str">
        <f t="shared" si="55"/>
        <v/>
      </c>
      <c r="I1085" s="3" t="str">
        <f ca="1">IF(AND(F1085&lt;&gt;"", J1085&lt;&gt;""), NETWORKDAYS(TODAY(), J1085-1, FESTIVOS!A$1:A$55), "")</f>
        <v/>
      </c>
      <c r="J1085" s="4" t="str">
        <f>IF(AND(F1085&lt;&gt;"", H1085&lt;&gt;""), WORKDAY(F1085, H1085, FESTIVOS!A$1:A$55), "")</f>
        <v/>
      </c>
      <c r="K1085" s="3"/>
      <c r="L1085" s="3" t="str">
        <f t="shared" ca="1" si="56"/>
        <v/>
      </c>
      <c r="M1085" s="3" t="str">
        <f t="shared" ca="1" si="57"/>
        <v/>
      </c>
      <c r="N1085" s="3"/>
      <c r="O1085" s="3"/>
      <c r="P1085" s="4" t="str">
        <f>IF(OR(O1085="", J1085=""), "", NETWORKDAYS(J1085, O1085,#REF!))</f>
        <v/>
      </c>
    </row>
    <row r="1086" spans="1:16" ht="15.75" x14ac:dyDescent="0.25">
      <c r="A1086" s="3"/>
      <c r="B1086" s="18"/>
      <c r="C1086" s="18"/>
      <c r="D1086" s="18"/>
      <c r="E1086" s="16"/>
      <c r="F1086" s="17"/>
      <c r="G1086" s="3"/>
      <c r="H1086" s="3" t="str">
        <f t="shared" si="55"/>
        <v/>
      </c>
      <c r="I1086" s="3" t="str">
        <f ca="1">IF(AND(F1086&lt;&gt;"", J1086&lt;&gt;""), NETWORKDAYS(TODAY(), J1086-1, FESTIVOS!A$1:A$55), "")</f>
        <v/>
      </c>
      <c r="J1086" s="4" t="str">
        <f>IF(AND(F1086&lt;&gt;"", H1086&lt;&gt;""), WORKDAY(F1086, H1086, FESTIVOS!A$1:A$55), "")</f>
        <v/>
      </c>
      <c r="K1086" s="3"/>
      <c r="L1086" s="3" t="str">
        <f t="shared" ca="1" si="56"/>
        <v/>
      </c>
      <c r="M1086" s="3" t="str">
        <f t="shared" ca="1" si="57"/>
        <v/>
      </c>
      <c r="N1086" s="3"/>
      <c r="O1086" s="3"/>
      <c r="P1086" s="4" t="str">
        <f>IF(OR(O1086="", J1086=""), "", NETWORKDAYS(J1086, O1086,#REF!))</f>
        <v/>
      </c>
    </row>
    <row r="1087" spans="1:16" ht="15.75" x14ac:dyDescent="0.25">
      <c r="A1087" s="3"/>
      <c r="B1087" s="18"/>
      <c r="C1087" s="18"/>
      <c r="D1087" s="18"/>
      <c r="E1087" s="16"/>
      <c r="F1087" s="17"/>
      <c r="G1087" s="3"/>
      <c r="H1087" s="3" t="str">
        <f t="shared" si="55"/>
        <v/>
      </c>
      <c r="I1087" s="3" t="str">
        <f ca="1">IF(AND(F1087&lt;&gt;"", J1087&lt;&gt;""), NETWORKDAYS(TODAY(), J1087-1, FESTIVOS!A$1:A$55), "")</f>
        <v/>
      </c>
      <c r="J1087" s="4" t="str">
        <f>IF(AND(F1087&lt;&gt;"", H1087&lt;&gt;""), WORKDAY(F1087, H1087, FESTIVOS!A$1:A$55), "")</f>
        <v/>
      </c>
      <c r="K1087" s="3"/>
      <c r="L1087" s="3" t="str">
        <f t="shared" ca="1" si="56"/>
        <v/>
      </c>
      <c r="M1087" s="3" t="str">
        <f t="shared" ca="1" si="57"/>
        <v/>
      </c>
      <c r="N1087" s="3"/>
      <c r="O1087" s="3"/>
      <c r="P1087" s="4" t="str">
        <f>IF(OR(O1087="", J1087=""), "", NETWORKDAYS(J1087, O1087,#REF!))</f>
        <v/>
      </c>
    </row>
    <row r="1088" spans="1:16" ht="15.75" x14ac:dyDescent="0.25">
      <c r="A1088" s="3"/>
      <c r="B1088" s="18"/>
      <c r="C1088" s="18"/>
      <c r="D1088" s="18"/>
      <c r="E1088" s="16"/>
      <c r="F1088" s="17"/>
      <c r="G1088" s="3"/>
      <c r="H1088" s="3" t="str">
        <f t="shared" si="55"/>
        <v/>
      </c>
      <c r="I1088" s="3" t="str">
        <f ca="1">IF(AND(F1088&lt;&gt;"", J1088&lt;&gt;""), NETWORKDAYS(TODAY(), J1088-1, FESTIVOS!A$1:A$55), "")</f>
        <v/>
      </c>
      <c r="J1088" s="4" t="str">
        <f>IF(AND(F1088&lt;&gt;"", H1088&lt;&gt;""), WORKDAY(F1088, H1088, FESTIVOS!A$1:A$55), "")</f>
        <v/>
      </c>
      <c r="K1088" s="3"/>
      <c r="L1088" s="3" t="str">
        <f t="shared" ca="1" si="56"/>
        <v/>
      </c>
      <c r="M1088" s="3" t="str">
        <f t="shared" ca="1" si="57"/>
        <v/>
      </c>
      <c r="N1088" s="3"/>
      <c r="O1088" s="3"/>
      <c r="P1088" s="4" t="str">
        <f>IF(OR(O1088="", J1088=""), "", NETWORKDAYS(J1088, O1088,#REF!))</f>
        <v/>
      </c>
    </row>
    <row r="1089" spans="1:16" ht="15.75" x14ac:dyDescent="0.25">
      <c r="A1089" s="3"/>
      <c r="B1089" s="18"/>
      <c r="C1089" s="18"/>
      <c r="D1089" s="18"/>
      <c r="E1089" s="16"/>
      <c r="F1089" s="17"/>
      <c r="G1089" s="3"/>
      <c r="H1089" s="3" t="str">
        <f t="shared" si="55"/>
        <v/>
      </c>
      <c r="I1089" s="3" t="str">
        <f ca="1">IF(AND(F1089&lt;&gt;"", J1089&lt;&gt;""), NETWORKDAYS(TODAY(), J1089-1, FESTIVOS!A$1:A$55), "")</f>
        <v/>
      </c>
      <c r="J1089" s="4" t="str">
        <f>IF(AND(F1089&lt;&gt;"", H1089&lt;&gt;""), WORKDAY(F1089, H1089, FESTIVOS!A$1:A$55), "")</f>
        <v/>
      </c>
      <c r="K1089" s="3"/>
      <c r="L1089" s="3" t="str">
        <f t="shared" ca="1" si="56"/>
        <v/>
      </c>
      <c r="M1089" s="3" t="str">
        <f t="shared" ca="1" si="57"/>
        <v/>
      </c>
      <c r="N1089" s="3"/>
      <c r="O1089" s="3"/>
      <c r="P1089" s="4" t="str">
        <f>IF(OR(O1089="", J1089=""), "", NETWORKDAYS(J1089, O1089,#REF!))</f>
        <v/>
      </c>
    </row>
    <row r="1090" spans="1:16" ht="15.75" x14ac:dyDescent="0.25">
      <c r="A1090" s="3"/>
      <c r="B1090" s="18"/>
      <c r="C1090" s="18"/>
      <c r="D1090" s="18"/>
      <c r="E1090" s="16"/>
      <c r="F1090" s="17"/>
      <c r="G1090" s="3"/>
      <c r="H1090" s="3" t="str">
        <f t="shared" si="55"/>
        <v/>
      </c>
      <c r="I1090" s="3" t="str">
        <f ca="1">IF(AND(F1090&lt;&gt;"", J1090&lt;&gt;""), NETWORKDAYS(TODAY(), J1090-1, FESTIVOS!A$1:A$55), "")</f>
        <v/>
      </c>
      <c r="J1090" s="4" t="str">
        <f>IF(AND(F1090&lt;&gt;"", H1090&lt;&gt;""), WORKDAY(F1090, H1090, FESTIVOS!A$1:A$55), "")</f>
        <v/>
      </c>
      <c r="K1090" s="3"/>
      <c r="L1090" s="3" t="str">
        <f t="shared" ca="1" si="56"/>
        <v/>
      </c>
      <c r="M1090" s="3" t="str">
        <f t="shared" ca="1" si="57"/>
        <v/>
      </c>
      <c r="N1090" s="3"/>
      <c r="O1090" s="3"/>
      <c r="P1090" s="4" t="str">
        <f>IF(OR(O1090="", J1090=""), "", NETWORKDAYS(J1090, O1090,#REF!))</f>
        <v/>
      </c>
    </row>
    <row r="1091" spans="1:16" ht="15.75" x14ac:dyDescent="0.25">
      <c r="A1091" s="3"/>
      <c r="B1091" s="18"/>
      <c r="C1091" s="18"/>
      <c r="D1091" s="18"/>
      <c r="E1091" s="16"/>
      <c r="F1091" s="17"/>
      <c r="G1091" s="3"/>
      <c r="H1091" s="3" t="str">
        <f t="shared" si="55"/>
        <v/>
      </c>
      <c r="I1091" s="3" t="str">
        <f ca="1">IF(AND(F1091&lt;&gt;"", J1091&lt;&gt;""), NETWORKDAYS(TODAY(), J1091-1, FESTIVOS!A$1:A$55), "")</f>
        <v/>
      </c>
      <c r="J1091" s="4" t="str">
        <f>IF(AND(F1091&lt;&gt;"", H1091&lt;&gt;""), WORKDAY(F1091, H1091, FESTIVOS!A$1:A$55), "")</f>
        <v/>
      </c>
      <c r="K1091" s="3"/>
      <c r="L1091" s="3" t="str">
        <f t="shared" ca="1" si="56"/>
        <v/>
      </c>
      <c r="M1091" s="3" t="str">
        <f t="shared" ca="1" si="57"/>
        <v/>
      </c>
      <c r="N1091" s="3"/>
      <c r="O1091" s="3"/>
      <c r="P1091" s="4" t="str">
        <f>IF(OR(O1091="", J1091=""), "", NETWORKDAYS(J1091, O1091,#REF!))</f>
        <v/>
      </c>
    </row>
    <row r="1092" spans="1:16" ht="15.75" x14ac:dyDescent="0.25">
      <c r="A1092" s="3"/>
      <c r="B1092" s="18"/>
      <c r="C1092" s="18"/>
      <c r="D1092" s="18"/>
      <c r="E1092" s="16"/>
      <c r="F1092" s="17"/>
      <c r="G1092" s="3"/>
      <c r="H1092" s="3" t="str">
        <f t="shared" si="55"/>
        <v/>
      </c>
      <c r="I1092" s="3" t="str">
        <f ca="1">IF(AND(F1092&lt;&gt;"", J1092&lt;&gt;""), NETWORKDAYS(TODAY(), J1092-1, FESTIVOS!A$1:A$55), "")</f>
        <v/>
      </c>
      <c r="J1092" s="4" t="str">
        <f>IF(AND(F1092&lt;&gt;"", H1092&lt;&gt;""), WORKDAY(F1092, H1092, FESTIVOS!A$1:A$55), "")</f>
        <v/>
      </c>
      <c r="K1092" s="3"/>
      <c r="L1092" s="3" t="str">
        <f t="shared" ca="1" si="56"/>
        <v/>
      </c>
      <c r="M1092" s="3" t="str">
        <f t="shared" ca="1" si="57"/>
        <v/>
      </c>
      <c r="N1092" s="3"/>
      <c r="O1092" s="3"/>
      <c r="P1092" s="4" t="str">
        <f>IF(OR(O1092="", J1092=""), "", NETWORKDAYS(J1092, O1092,#REF!))</f>
        <v/>
      </c>
    </row>
    <row r="1093" spans="1:16" ht="15.75" x14ac:dyDescent="0.25">
      <c r="A1093" s="3"/>
      <c r="B1093" s="18"/>
      <c r="C1093" s="18"/>
      <c r="D1093" s="18"/>
      <c r="E1093" s="16"/>
      <c r="F1093" s="17"/>
      <c r="G1093" s="3"/>
      <c r="H1093" s="3" t="str">
        <f t="shared" si="55"/>
        <v/>
      </c>
      <c r="I1093" s="3" t="str">
        <f ca="1">IF(AND(F1093&lt;&gt;"", J1093&lt;&gt;""), NETWORKDAYS(TODAY(), J1093-1, FESTIVOS!A$1:A$55), "")</f>
        <v/>
      </c>
      <c r="J1093" s="4" t="str">
        <f>IF(AND(F1093&lt;&gt;"", H1093&lt;&gt;""), WORKDAY(F1093, H1093, FESTIVOS!A$1:A$55), "")</f>
        <v/>
      </c>
      <c r="K1093" s="3"/>
      <c r="L1093" s="3" t="str">
        <f t="shared" ca="1" si="56"/>
        <v/>
      </c>
      <c r="M1093" s="3" t="str">
        <f t="shared" ca="1" si="57"/>
        <v/>
      </c>
      <c r="N1093" s="3"/>
      <c r="O1093" s="3"/>
      <c r="P1093" s="4" t="str">
        <f>IF(OR(O1093="", J1093=""), "", NETWORKDAYS(J1093, O1093,#REF!))</f>
        <v/>
      </c>
    </row>
    <row r="1094" spans="1:16" ht="15.75" x14ac:dyDescent="0.25">
      <c r="A1094" s="3"/>
      <c r="B1094" s="18"/>
      <c r="C1094" s="18"/>
      <c r="D1094" s="18"/>
      <c r="E1094" s="16"/>
      <c r="F1094" s="17"/>
      <c r="G1094" s="3"/>
      <c r="H1094" s="3" t="str">
        <f t="shared" si="55"/>
        <v/>
      </c>
      <c r="I1094" s="3" t="str">
        <f ca="1">IF(AND(F1094&lt;&gt;"", J1094&lt;&gt;""), NETWORKDAYS(TODAY(), J1094-1, FESTIVOS!A$1:A$55), "")</f>
        <v/>
      </c>
      <c r="J1094" s="4" t="str">
        <f>IF(AND(F1094&lt;&gt;"", H1094&lt;&gt;""), WORKDAY(F1094, H1094, FESTIVOS!A$1:A$55), "")</f>
        <v/>
      </c>
      <c r="K1094" s="3"/>
      <c r="L1094" s="3" t="str">
        <f t="shared" ca="1" si="56"/>
        <v/>
      </c>
      <c r="M1094" s="3" t="str">
        <f t="shared" ca="1" si="57"/>
        <v/>
      </c>
      <c r="N1094" s="3"/>
      <c r="O1094" s="3"/>
      <c r="P1094" s="4" t="str">
        <f>IF(OR(O1094="", J1094=""), "", NETWORKDAYS(J1094, O1094,#REF!))</f>
        <v/>
      </c>
    </row>
    <row r="1095" spans="1:16" ht="15.75" x14ac:dyDescent="0.25">
      <c r="A1095" s="3"/>
      <c r="B1095" s="18"/>
      <c r="C1095" s="18"/>
      <c r="D1095" s="18"/>
      <c r="E1095" s="16"/>
      <c r="F1095" s="17"/>
      <c r="G1095" s="3"/>
      <c r="H1095" s="3" t="str">
        <f t="shared" si="55"/>
        <v/>
      </c>
      <c r="I1095" s="3" t="str">
        <f ca="1">IF(AND(F1095&lt;&gt;"", J1095&lt;&gt;""), NETWORKDAYS(TODAY(), J1095-1, FESTIVOS!A$1:A$55), "")</f>
        <v/>
      </c>
      <c r="J1095" s="4" t="str">
        <f>IF(AND(F1095&lt;&gt;"", H1095&lt;&gt;""), WORKDAY(F1095, H1095, FESTIVOS!A$1:A$55), "")</f>
        <v/>
      </c>
      <c r="K1095" s="3"/>
      <c r="L1095" s="3" t="str">
        <f t="shared" ca="1" si="56"/>
        <v/>
      </c>
      <c r="M1095" s="3" t="str">
        <f t="shared" ca="1" si="57"/>
        <v/>
      </c>
      <c r="N1095" s="3"/>
      <c r="O1095" s="3"/>
      <c r="P1095" s="4" t="str">
        <f>IF(OR(O1095="", J1095=""), "", NETWORKDAYS(J1095, O1095,#REF!))</f>
        <v/>
      </c>
    </row>
    <row r="1096" spans="1:16" ht="15.75" x14ac:dyDescent="0.25">
      <c r="A1096" s="3"/>
      <c r="B1096" s="18"/>
      <c r="C1096" s="18"/>
      <c r="D1096" s="18"/>
      <c r="E1096" s="16"/>
      <c r="F1096" s="17"/>
      <c r="G1096" s="3"/>
      <c r="H1096" s="3" t="str">
        <f t="shared" si="55"/>
        <v/>
      </c>
      <c r="I1096" s="3" t="str">
        <f ca="1">IF(AND(F1096&lt;&gt;"", J1096&lt;&gt;""), NETWORKDAYS(TODAY(), J1096-1, FESTIVOS!A$1:A$55), "")</f>
        <v/>
      </c>
      <c r="J1096" s="4" t="str">
        <f>IF(AND(F1096&lt;&gt;"", H1096&lt;&gt;""), WORKDAY(F1096, H1096, FESTIVOS!A$1:A$55), "")</f>
        <v/>
      </c>
      <c r="K1096" s="3"/>
      <c r="L1096" s="3" t="str">
        <f t="shared" ca="1" si="56"/>
        <v/>
      </c>
      <c r="M1096" s="3" t="str">
        <f t="shared" ca="1" si="57"/>
        <v/>
      </c>
      <c r="N1096" s="3"/>
      <c r="O1096" s="3"/>
      <c r="P1096" s="4" t="str">
        <f>IF(OR(O1096="", J1096=""), "", NETWORKDAYS(J1096, O1096,#REF!))</f>
        <v/>
      </c>
    </row>
    <row r="1097" spans="1:16" ht="15.75" x14ac:dyDescent="0.25">
      <c r="A1097" s="3"/>
      <c r="B1097" s="18"/>
      <c r="C1097" s="18"/>
      <c r="D1097" s="18"/>
      <c r="E1097" s="16"/>
      <c r="F1097" s="17"/>
      <c r="G1097" s="3"/>
      <c r="H1097" s="3" t="str">
        <f t="shared" si="55"/>
        <v/>
      </c>
      <c r="I1097" s="3" t="str">
        <f ca="1">IF(AND(F1097&lt;&gt;"", J1097&lt;&gt;""), NETWORKDAYS(TODAY(), J1097-1, FESTIVOS!A$1:A$55), "")</f>
        <v/>
      </c>
      <c r="J1097" s="4" t="str">
        <f>IF(AND(F1097&lt;&gt;"", H1097&lt;&gt;""), WORKDAY(F1097, H1097, FESTIVOS!A$1:A$55), "")</f>
        <v/>
      </c>
      <c r="K1097" s="3"/>
      <c r="L1097" s="3" t="str">
        <f t="shared" ca="1" si="56"/>
        <v/>
      </c>
      <c r="M1097" s="3" t="str">
        <f t="shared" ca="1" si="57"/>
        <v/>
      </c>
      <c r="N1097" s="3"/>
      <c r="O1097" s="3"/>
      <c r="P1097" s="4" t="str">
        <f>IF(OR(O1097="", J1097=""), "", NETWORKDAYS(J1097, O1097,#REF!))</f>
        <v/>
      </c>
    </row>
    <row r="1098" spans="1:16" ht="15.75" x14ac:dyDescent="0.25">
      <c r="A1098" s="3"/>
      <c r="B1098" s="18"/>
      <c r="C1098" s="18"/>
      <c r="D1098" s="18"/>
      <c r="E1098" s="16"/>
      <c r="F1098" s="17"/>
      <c r="G1098" s="3"/>
      <c r="H1098" s="3" t="str">
        <f t="shared" si="55"/>
        <v/>
      </c>
      <c r="I1098" s="3" t="str">
        <f ca="1">IF(AND(F1098&lt;&gt;"", J1098&lt;&gt;""), NETWORKDAYS(TODAY(), J1098-1, FESTIVOS!A$1:A$55), "")</f>
        <v/>
      </c>
      <c r="J1098" s="4" t="str">
        <f>IF(AND(F1098&lt;&gt;"", H1098&lt;&gt;""), WORKDAY(F1098, H1098, FESTIVOS!A$1:A$55), "")</f>
        <v/>
      </c>
      <c r="K1098" s="3"/>
      <c r="L1098" s="3" t="str">
        <f t="shared" ca="1" si="56"/>
        <v/>
      </c>
      <c r="M1098" s="3" t="str">
        <f t="shared" ca="1" si="57"/>
        <v/>
      </c>
      <c r="N1098" s="3"/>
      <c r="O1098" s="3"/>
      <c r="P1098" s="4" t="str">
        <f>IF(OR(O1098="", J1098=""), "", NETWORKDAYS(J1098, O1098,#REF!))</f>
        <v/>
      </c>
    </row>
    <row r="1099" spans="1:16" ht="15.75" x14ac:dyDescent="0.25">
      <c r="A1099" s="3"/>
      <c r="B1099" s="18"/>
      <c r="C1099" s="18"/>
      <c r="D1099" s="18"/>
      <c r="E1099" s="16"/>
      <c r="F1099" s="17"/>
      <c r="G1099" s="3"/>
      <c r="H1099" s="3" t="str">
        <f t="shared" si="55"/>
        <v/>
      </c>
      <c r="I1099" s="3" t="str">
        <f ca="1">IF(AND(F1099&lt;&gt;"", J1099&lt;&gt;""), NETWORKDAYS(TODAY(), J1099-1, FESTIVOS!A$1:A$55), "")</f>
        <v/>
      </c>
      <c r="J1099" s="4" t="str">
        <f>IF(AND(F1099&lt;&gt;"", H1099&lt;&gt;""), WORKDAY(F1099, H1099, FESTIVOS!A$1:A$55), "")</f>
        <v/>
      </c>
      <c r="K1099" s="3"/>
      <c r="L1099" s="3" t="str">
        <f t="shared" ca="1" si="56"/>
        <v/>
      </c>
      <c r="M1099" s="3" t="str">
        <f t="shared" ca="1" si="57"/>
        <v/>
      </c>
      <c r="N1099" s="3"/>
      <c r="O1099" s="3"/>
      <c r="P1099" s="4" t="str">
        <f>IF(OR(O1099="", J1099=""), "", NETWORKDAYS(J1099, O1099,#REF!))</f>
        <v/>
      </c>
    </row>
    <row r="1100" spans="1:16" ht="15.75" x14ac:dyDescent="0.25">
      <c r="A1100" s="3"/>
      <c r="B1100" s="18"/>
      <c r="C1100" s="18"/>
      <c r="D1100" s="18"/>
      <c r="E1100" s="16"/>
      <c r="F1100" s="17"/>
      <c r="G1100" s="3"/>
      <c r="H1100" s="3" t="str">
        <f t="shared" si="55"/>
        <v/>
      </c>
      <c r="I1100" s="3" t="str">
        <f ca="1">IF(AND(F1100&lt;&gt;"", J1100&lt;&gt;""), NETWORKDAYS(TODAY(), J1100-1, FESTIVOS!A$1:A$55), "")</f>
        <v/>
      </c>
      <c r="J1100" s="4" t="str">
        <f>IF(AND(F1100&lt;&gt;"", H1100&lt;&gt;""), WORKDAY(F1100, H1100, FESTIVOS!A$1:A$55), "")</f>
        <v/>
      </c>
      <c r="K1100" s="3"/>
      <c r="L1100" s="3" t="str">
        <f t="shared" ca="1" si="56"/>
        <v/>
      </c>
      <c r="M1100" s="3" t="str">
        <f t="shared" ca="1" si="57"/>
        <v/>
      </c>
      <c r="N1100" s="3"/>
      <c r="O1100" s="3"/>
      <c r="P1100" s="4" t="str">
        <f>IF(OR(O1100="", J1100=""), "", NETWORKDAYS(J1100, O1100,#REF!))</f>
        <v/>
      </c>
    </row>
    <row r="1101" spans="1:16" ht="15.75" x14ac:dyDescent="0.25">
      <c r="A1101" s="3"/>
      <c r="B1101" s="18"/>
      <c r="C1101" s="18"/>
      <c r="D1101" s="18"/>
      <c r="E1101" s="16"/>
      <c r="F1101" s="17"/>
      <c r="G1101" s="3"/>
      <c r="H1101" s="3" t="str">
        <f t="shared" si="55"/>
        <v/>
      </c>
      <c r="I1101" s="3" t="str">
        <f ca="1">IF(AND(F1101&lt;&gt;"", J1101&lt;&gt;""), NETWORKDAYS(TODAY(), J1101-1, FESTIVOS!A$1:A$55), "")</f>
        <v/>
      </c>
      <c r="J1101" s="4" t="str">
        <f>IF(AND(F1101&lt;&gt;"", H1101&lt;&gt;""), WORKDAY(F1101, H1101, FESTIVOS!A$1:A$55), "")</f>
        <v/>
      </c>
      <c r="K1101" s="3"/>
      <c r="L1101" s="3" t="str">
        <f t="shared" ca="1" si="56"/>
        <v/>
      </c>
      <c r="M1101" s="3" t="str">
        <f t="shared" ca="1" si="57"/>
        <v/>
      </c>
      <c r="N1101" s="3"/>
      <c r="O1101" s="3"/>
      <c r="P1101" s="4" t="str">
        <f>IF(OR(O1101="", J1101=""), "", NETWORKDAYS(J1101, O1101,#REF!))</f>
        <v/>
      </c>
    </row>
    <row r="1102" spans="1:16" ht="15.75" x14ac:dyDescent="0.25">
      <c r="A1102" s="3"/>
      <c r="B1102" s="18"/>
      <c r="C1102" s="18"/>
      <c r="D1102" s="18"/>
      <c r="E1102" s="16"/>
      <c r="F1102" s="17"/>
      <c r="G1102" s="3"/>
      <c r="H1102" s="3" t="str">
        <f t="shared" si="55"/>
        <v/>
      </c>
      <c r="I1102" s="3" t="str">
        <f ca="1">IF(AND(F1102&lt;&gt;"", J1102&lt;&gt;""), NETWORKDAYS(TODAY(), J1102-1, FESTIVOS!A$1:A$55), "")</f>
        <v/>
      </c>
      <c r="J1102" s="4" t="str">
        <f>IF(AND(F1102&lt;&gt;"", H1102&lt;&gt;""), WORKDAY(F1102, H1102, FESTIVOS!A$1:A$55), "")</f>
        <v/>
      </c>
      <c r="K1102" s="3"/>
      <c r="L1102" s="3" t="str">
        <f t="shared" ca="1" si="56"/>
        <v/>
      </c>
      <c r="M1102" s="3" t="str">
        <f t="shared" ca="1" si="57"/>
        <v/>
      </c>
      <c r="N1102" s="3"/>
      <c r="O1102" s="3"/>
      <c r="P1102" s="4" t="str">
        <f>IF(OR(O1102="", J1102=""), "", NETWORKDAYS(J1102, O1102,#REF!))</f>
        <v/>
      </c>
    </row>
    <row r="1103" spans="1:16" ht="15.75" x14ac:dyDescent="0.25">
      <c r="A1103" s="3"/>
      <c r="B1103" s="18"/>
      <c r="C1103" s="18"/>
      <c r="D1103" s="18"/>
      <c r="E1103" s="16"/>
      <c r="F1103" s="17"/>
      <c r="G1103" s="3"/>
      <c r="H1103" s="3" t="str">
        <f t="shared" si="55"/>
        <v/>
      </c>
      <c r="I1103" s="3" t="str">
        <f ca="1">IF(AND(F1103&lt;&gt;"", J1103&lt;&gt;""), NETWORKDAYS(TODAY(), J1103-1, FESTIVOS!A$1:A$55), "")</f>
        <v/>
      </c>
      <c r="J1103" s="4" t="str">
        <f>IF(AND(F1103&lt;&gt;"", H1103&lt;&gt;""), WORKDAY(F1103, H1103, FESTIVOS!A$1:A$55), "")</f>
        <v/>
      </c>
      <c r="K1103" s="3"/>
      <c r="L1103" s="3" t="str">
        <f t="shared" ca="1" si="56"/>
        <v/>
      </c>
      <c r="M1103" s="3" t="str">
        <f t="shared" ca="1" si="57"/>
        <v/>
      </c>
      <c r="N1103" s="3"/>
      <c r="O1103" s="3"/>
      <c r="P1103" s="4" t="str">
        <f>IF(OR(O1103="", J1103=""), "", NETWORKDAYS(J1103, O1103,#REF!))</f>
        <v/>
      </c>
    </row>
    <row r="1104" spans="1:16" ht="15.75" x14ac:dyDescent="0.25">
      <c r="A1104" s="3"/>
      <c r="B1104" s="18"/>
      <c r="C1104" s="18"/>
      <c r="D1104" s="18"/>
      <c r="E1104" s="16"/>
      <c r="F1104" s="17"/>
      <c r="G1104" s="3"/>
      <c r="H1104" s="3" t="str">
        <f t="shared" si="55"/>
        <v/>
      </c>
      <c r="I1104" s="3" t="str">
        <f ca="1">IF(AND(F1104&lt;&gt;"", J1104&lt;&gt;""), NETWORKDAYS(TODAY(), J1104-1, FESTIVOS!A$1:A$55), "")</f>
        <v/>
      </c>
      <c r="J1104" s="4" t="str">
        <f>IF(AND(F1104&lt;&gt;"", H1104&lt;&gt;""), WORKDAY(F1104, H1104, FESTIVOS!A$1:A$55), "")</f>
        <v/>
      </c>
      <c r="K1104" s="3"/>
      <c r="L1104" s="3" t="str">
        <f t="shared" ca="1" si="56"/>
        <v/>
      </c>
      <c r="M1104" s="3" t="str">
        <f t="shared" ca="1" si="57"/>
        <v/>
      </c>
      <c r="N1104" s="3"/>
      <c r="O1104" s="3"/>
      <c r="P1104" s="4" t="str">
        <f>IF(OR(O1104="", J1104=""), "", NETWORKDAYS(J1104, O1104,#REF!))</f>
        <v/>
      </c>
    </row>
    <row r="1105" spans="1:16" ht="15.75" x14ac:dyDescent="0.25">
      <c r="A1105" s="3"/>
      <c r="B1105" s="18"/>
      <c r="C1105" s="18"/>
      <c r="D1105" s="18"/>
      <c r="E1105" s="16"/>
      <c r="F1105" s="17"/>
      <c r="G1105" s="3"/>
      <c r="H1105" s="3" t="str">
        <f t="shared" si="55"/>
        <v/>
      </c>
      <c r="I1105" s="3" t="str">
        <f ca="1">IF(AND(F1105&lt;&gt;"", J1105&lt;&gt;""), NETWORKDAYS(TODAY(), J1105-1, FESTIVOS!A$1:A$55), "")</f>
        <v/>
      </c>
      <c r="J1105" s="4" t="str">
        <f>IF(AND(F1105&lt;&gt;"", H1105&lt;&gt;""), WORKDAY(F1105, H1105, FESTIVOS!A$1:A$55), "")</f>
        <v/>
      </c>
      <c r="K1105" s="3"/>
      <c r="L1105" s="3" t="str">
        <f t="shared" ca="1" si="56"/>
        <v/>
      </c>
      <c r="M1105" s="3" t="str">
        <f t="shared" ca="1" si="57"/>
        <v/>
      </c>
      <c r="N1105" s="3"/>
      <c r="O1105" s="3"/>
      <c r="P1105" s="4" t="str">
        <f>IF(OR(O1105="", J1105=""), "", NETWORKDAYS(J1105, O1105,#REF!))</f>
        <v/>
      </c>
    </row>
    <row r="1106" spans="1:16" ht="15.75" x14ac:dyDescent="0.25">
      <c r="A1106" s="3"/>
      <c r="B1106" s="18"/>
      <c r="C1106" s="18"/>
      <c r="D1106" s="18"/>
      <c r="E1106" s="16"/>
      <c r="F1106" s="17"/>
      <c r="G1106" s="3"/>
      <c r="H1106" s="3" t="str">
        <f t="shared" si="55"/>
        <v/>
      </c>
      <c r="I1106" s="3" t="str">
        <f ca="1">IF(AND(F1106&lt;&gt;"", J1106&lt;&gt;""), NETWORKDAYS(TODAY(), J1106-1, FESTIVOS!A$1:A$55), "")</f>
        <v/>
      </c>
      <c r="J1106" s="4" t="str">
        <f>IF(AND(F1106&lt;&gt;"", H1106&lt;&gt;""), WORKDAY(F1106, H1106, FESTIVOS!A$1:A$55), "")</f>
        <v/>
      </c>
      <c r="K1106" s="3"/>
      <c r="L1106" s="3" t="str">
        <f t="shared" ca="1" si="56"/>
        <v/>
      </c>
      <c r="M1106" s="3" t="str">
        <f t="shared" ca="1" si="57"/>
        <v/>
      </c>
      <c r="N1106" s="3"/>
      <c r="O1106" s="3"/>
      <c r="P1106" s="4" t="str">
        <f>IF(OR(O1106="", J1106=""), "", NETWORKDAYS(J1106, O1106,#REF!))</f>
        <v/>
      </c>
    </row>
    <row r="1107" spans="1:16" ht="15.75" x14ac:dyDescent="0.25">
      <c r="A1107" s="3"/>
      <c r="B1107" s="18"/>
      <c r="C1107" s="18"/>
      <c r="D1107" s="18"/>
      <c r="E1107" s="16"/>
      <c r="F1107" s="17"/>
      <c r="G1107" s="3"/>
      <c r="H1107" s="3" t="str">
        <f t="shared" si="55"/>
        <v/>
      </c>
      <c r="I1107" s="3" t="str">
        <f ca="1">IF(AND(F1107&lt;&gt;"", J1107&lt;&gt;""), NETWORKDAYS(TODAY(), J1107-1, FESTIVOS!A$1:A$55), "")</f>
        <v/>
      </c>
      <c r="J1107" s="4" t="str">
        <f>IF(AND(F1107&lt;&gt;"", H1107&lt;&gt;""), WORKDAY(F1107, H1107, FESTIVOS!A$1:A$55), "")</f>
        <v/>
      </c>
      <c r="K1107" s="3"/>
      <c r="L1107" s="3" t="str">
        <f t="shared" ca="1" si="56"/>
        <v/>
      </c>
      <c r="M1107" s="3" t="str">
        <f t="shared" ca="1" si="57"/>
        <v/>
      </c>
      <c r="N1107" s="3"/>
      <c r="O1107" s="3"/>
      <c r="P1107" s="4" t="str">
        <f>IF(OR(O1107="", J1107=""), "", NETWORKDAYS(J1107, O1107,#REF!))</f>
        <v/>
      </c>
    </row>
    <row r="1108" spans="1:16" ht="15.75" x14ac:dyDescent="0.25">
      <c r="A1108" s="3"/>
      <c r="B1108" s="18"/>
      <c r="C1108" s="18"/>
      <c r="D1108" s="18"/>
      <c r="E1108" s="16"/>
      <c r="F1108" s="17"/>
      <c r="G1108" s="3"/>
      <c r="H1108" s="3" t="str">
        <f t="shared" si="55"/>
        <v/>
      </c>
      <c r="I1108" s="3" t="str">
        <f ca="1">IF(AND(F1108&lt;&gt;"", J1108&lt;&gt;""), NETWORKDAYS(TODAY(), J1108-1, FESTIVOS!A$1:A$55), "")</f>
        <v/>
      </c>
      <c r="J1108" s="4" t="str">
        <f>IF(AND(F1108&lt;&gt;"", H1108&lt;&gt;""), WORKDAY(F1108, H1108, FESTIVOS!A$1:A$55), "")</f>
        <v/>
      </c>
      <c r="K1108" s="3"/>
      <c r="L1108" s="3" t="str">
        <f t="shared" ca="1" si="56"/>
        <v/>
      </c>
      <c r="M1108" s="3" t="str">
        <f t="shared" ca="1" si="57"/>
        <v/>
      </c>
      <c r="N1108" s="3"/>
      <c r="O1108" s="3"/>
      <c r="P1108" s="4" t="str">
        <f>IF(OR(O1108="", J1108=""), "", NETWORKDAYS(J1108, O1108,#REF!))</f>
        <v/>
      </c>
    </row>
    <row r="1109" spans="1:16" ht="15.75" x14ac:dyDescent="0.25">
      <c r="A1109" s="3"/>
      <c r="B1109" s="18"/>
      <c r="C1109" s="18"/>
      <c r="D1109" s="18"/>
      <c r="E1109" s="16"/>
      <c r="F1109" s="17"/>
      <c r="G1109" s="3"/>
      <c r="H1109" s="3" t="str">
        <f t="shared" si="55"/>
        <v/>
      </c>
      <c r="I1109" s="3" t="str">
        <f ca="1">IF(AND(F1109&lt;&gt;"", J1109&lt;&gt;""), NETWORKDAYS(TODAY(), J1109-1, FESTIVOS!A$1:A$55), "")</f>
        <v/>
      </c>
      <c r="J1109" s="4" t="str">
        <f>IF(AND(F1109&lt;&gt;"", H1109&lt;&gt;""), WORKDAY(F1109, H1109, FESTIVOS!A$1:A$55), "")</f>
        <v/>
      </c>
      <c r="K1109" s="3"/>
      <c r="L1109" s="3" t="str">
        <f t="shared" ca="1" si="56"/>
        <v/>
      </c>
      <c r="M1109" s="3" t="str">
        <f t="shared" ca="1" si="57"/>
        <v/>
      </c>
      <c r="N1109" s="3"/>
      <c r="O1109" s="3"/>
      <c r="P1109" s="4" t="str">
        <f>IF(OR(O1109="", J1109=""), "", NETWORKDAYS(J1109, O1109,#REF!))</f>
        <v/>
      </c>
    </row>
    <row r="1110" spans="1:16" ht="15.75" x14ac:dyDescent="0.25">
      <c r="A1110" s="3"/>
      <c r="B1110" s="18"/>
      <c r="C1110" s="18"/>
      <c r="D1110" s="18"/>
      <c r="E1110" s="16"/>
      <c r="F1110" s="17"/>
      <c r="G1110" s="3"/>
      <c r="H1110" s="3" t="str">
        <f t="shared" si="55"/>
        <v/>
      </c>
      <c r="I1110" s="3" t="str">
        <f ca="1">IF(AND(F1110&lt;&gt;"", J1110&lt;&gt;""), NETWORKDAYS(TODAY(), J1110-1, FESTIVOS!A$1:A$55), "")</f>
        <v/>
      </c>
      <c r="J1110" s="4" t="str">
        <f>IF(AND(F1110&lt;&gt;"", H1110&lt;&gt;""), WORKDAY(F1110, H1110, FESTIVOS!A$1:A$55), "")</f>
        <v/>
      </c>
      <c r="K1110" s="3"/>
      <c r="L1110" s="3" t="str">
        <f t="shared" ca="1" si="56"/>
        <v/>
      </c>
      <c r="M1110" s="3" t="str">
        <f t="shared" ca="1" si="57"/>
        <v/>
      </c>
      <c r="N1110" s="3"/>
      <c r="O1110" s="3"/>
      <c r="P1110" s="4" t="str">
        <f>IF(OR(O1110="", J1110=""), "", NETWORKDAYS(J1110, O1110,#REF!))</f>
        <v/>
      </c>
    </row>
    <row r="1111" spans="1:16" ht="15.75" x14ac:dyDescent="0.25">
      <c r="A1111" s="3"/>
      <c r="B1111" s="18"/>
      <c r="C1111" s="18"/>
      <c r="D1111" s="18"/>
      <c r="E1111" s="16"/>
      <c r="F1111" s="17"/>
      <c r="G1111" s="3"/>
      <c r="H1111" s="3" t="str">
        <f t="shared" si="55"/>
        <v/>
      </c>
      <c r="I1111" s="3" t="str">
        <f ca="1">IF(AND(F1111&lt;&gt;"", J1111&lt;&gt;""), NETWORKDAYS(TODAY(), J1111-1, FESTIVOS!A$1:A$55), "")</f>
        <v/>
      </c>
      <c r="J1111" s="4" t="str">
        <f>IF(AND(F1111&lt;&gt;"", H1111&lt;&gt;""), WORKDAY(F1111, H1111, FESTIVOS!A$1:A$55), "")</f>
        <v/>
      </c>
      <c r="K1111" s="3"/>
      <c r="L1111" s="3" t="str">
        <f t="shared" ca="1" si="56"/>
        <v/>
      </c>
      <c r="M1111" s="3" t="str">
        <f t="shared" ca="1" si="57"/>
        <v/>
      </c>
      <c r="N1111" s="3"/>
      <c r="O1111" s="3"/>
      <c r="P1111" s="4" t="str">
        <f>IF(OR(O1111="", J1111=""), "", NETWORKDAYS(J1111, O1111,#REF!))</f>
        <v/>
      </c>
    </row>
    <row r="1112" spans="1:16" ht="15.75" x14ac:dyDescent="0.25">
      <c r="A1112" s="3"/>
      <c r="B1112" s="18"/>
      <c r="C1112" s="18"/>
      <c r="D1112" s="18"/>
      <c r="E1112" s="16"/>
      <c r="F1112" s="17"/>
      <c r="G1112" s="3"/>
      <c r="H1112" s="3" t="str">
        <f t="shared" si="55"/>
        <v/>
      </c>
      <c r="I1112" s="3" t="str">
        <f ca="1">IF(AND(F1112&lt;&gt;"", J1112&lt;&gt;""), NETWORKDAYS(TODAY(), J1112-1, FESTIVOS!A$1:A$55), "")</f>
        <v/>
      </c>
      <c r="J1112" s="4" t="str">
        <f>IF(AND(F1112&lt;&gt;"", H1112&lt;&gt;""), WORKDAY(F1112, H1112, FESTIVOS!A$1:A$55), "")</f>
        <v/>
      </c>
      <c r="K1112" s="3"/>
      <c r="L1112" s="3" t="str">
        <f t="shared" ca="1" si="56"/>
        <v/>
      </c>
      <c r="M1112" s="3" t="str">
        <f t="shared" ca="1" si="57"/>
        <v/>
      </c>
      <c r="N1112" s="3"/>
      <c r="O1112" s="3"/>
      <c r="P1112" s="4" t="str">
        <f>IF(OR(O1112="", J1112=""), "", NETWORKDAYS(J1112, O1112,#REF!))</f>
        <v/>
      </c>
    </row>
    <row r="1113" spans="1:16" ht="15.75" x14ac:dyDescent="0.25">
      <c r="A1113" s="3"/>
      <c r="B1113" s="18"/>
      <c r="C1113" s="18"/>
      <c r="D1113" s="18"/>
      <c r="E1113" s="16"/>
      <c r="F1113" s="17"/>
      <c r="G1113" s="3"/>
      <c r="H1113" s="3" t="str">
        <f t="shared" si="55"/>
        <v/>
      </c>
      <c r="I1113" s="3" t="str">
        <f ca="1">IF(AND(F1113&lt;&gt;"", J1113&lt;&gt;""), NETWORKDAYS(TODAY(), J1113-1, FESTIVOS!A$1:A$55), "")</f>
        <v/>
      </c>
      <c r="J1113" s="4" t="str">
        <f>IF(AND(F1113&lt;&gt;"", H1113&lt;&gt;""), WORKDAY(F1113, H1113, FESTIVOS!A$1:A$55), "")</f>
        <v/>
      </c>
      <c r="K1113" s="3"/>
      <c r="L1113" s="3" t="str">
        <f t="shared" ca="1" si="56"/>
        <v/>
      </c>
      <c r="M1113" s="3" t="str">
        <f t="shared" ca="1" si="57"/>
        <v/>
      </c>
      <c r="N1113" s="3"/>
      <c r="O1113" s="3"/>
      <c r="P1113" s="4" t="str">
        <f>IF(OR(O1113="", J1113=""), "", NETWORKDAYS(J1113, O1113,#REF!))</f>
        <v/>
      </c>
    </row>
    <row r="1114" spans="1:16" ht="15.75" x14ac:dyDescent="0.25">
      <c r="A1114" s="3"/>
      <c r="B1114" s="18"/>
      <c r="C1114" s="18"/>
      <c r="D1114" s="18"/>
      <c r="E1114" s="16"/>
      <c r="F1114" s="17"/>
      <c r="G1114" s="3"/>
      <c r="H1114" s="3" t="str">
        <f t="shared" si="55"/>
        <v/>
      </c>
      <c r="I1114" s="3" t="str">
        <f ca="1">IF(AND(F1114&lt;&gt;"", J1114&lt;&gt;""), NETWORKDAYS(TODAY(), J1114-1, FESTIVOS!A$1:A$55), "")</f>
        <v/>
      </c>
      <c r="J1114" s="4" t="str">
        <f>IF(AND(F1114&lt;&gt;"", H1114&lt;&gt;""), WORKDAY(F1114, H1114, FESTIVOS!A$1:A$55), "")</f>
        <v/>
      </c>
      <c r="K1114" s="3"/>
      <c r="L1114" s="3" t="str">
        <f t="shared" ca="1" si="56"/>
        <v/>
      </c>
      <c r="M1114" s="3" t="str">
        <f t="shared" ca="1" si="57"/>
        <v/>
      </c>
      <c r="N1114" s="3"/>
      <c r="O1114" s="3"/>
      <c r="P1114" s="4" t="str">
        <f>IF(OR(O1114="", J1114=""), "", NETWORKDAYS(J1114, O1114,#REF!))</f>
        <v/>
      </c>
    </row>
    <row r="1115" spans="1:16" ht="15.75" x14ac:dyDescent="0.25">
      <c r="A1115" s="3"/>
      <c r="B1115" s="18"/>
      <c r="C1115" s="18"/>
      <c r="D1115" s="18"/>
      <c r="E1115" s="16"/>
      <c r="F1115" s="17"/>
      <c r="G1115" s="3"/>
      <c r="H1115" s="3" t="str">
        <f t="shared" si="55"/>
        <v/>
      </c>
      <c r="I1115" s="3" t="str">
        <f ca="1">IF(AND(F1115&lt;&gt;"", J1115&lt;&gt;""), NETWORKDAYS(TODAY(), J1115-1, FESTIVOS!A$1:A$55), "")</f>
        <v/>
      </c>
      <c r="J1115" s="4" t="str">
        <f>IF(AND(F1115&lt;&gt;"", H1115&lt;&gt;""), WORKDAY(F1115, H1115, FESTIVOS!A$1:A$55), "")</f>
        <v/>
      </c>
      <c r="K1115" s="3"/>
      <c r="L1115" s="3" t="str">
        <f t="shared" ca="1" si="56"/>
        <v/>
      </c>
      <c r="M1115" s="3" t="str">
        <f t="shared" ca="1" si="57"/>
        <v/>
      </c>
      <c r="N1115" s="3"/>
      <c r="O1115" s="3"/>
      <c r="P1115" s="4" t="str">
        <f>IF(OR(O1115="", J1115=""), "", NETWORKDAYS(J1115, O1115,#REF!))</f>
        <v/>
      </c>
    </row>
    <row r="1116" spans="1:16" ht="15.75" x14ac:dyDescent="0.25">
      <c r="A1116" s="3"/>
      <c r="B1116" s="18"/>
      <c r="C1116" s="18"/>
      <c r="D1116" s="18"/>
      <c r="E1116" s="16"/>
      <c r="F1116" s="17"/>
      <c r="G1116" s="3"/>
      <c r="H1116" s="3" t="str">
        <f t="shared" si="55"/>
        <v/>
      </c>
      <c r="I1116" s="3" t="str">
        <f ca="1">IF(AND(F1116&lt;&gt;"", J1116&lt;&gt;""), NETWORKDAYS(TODAY(), J1116-1, FESTIVOS!A$1:A$55), "")</f>
        <v/>
      </c>
      <c r="J1116" s="4" t="str">
        <f>IF(AND(F1116&lt;&gt;"", H1116&lt;&gt;""), WORKDAY(F1116, H1116, FESTIVOS!A$1:A$55), "")</f>
        <v/>
      </c>
      <c r="K1116" s="3"/>
      <c r="L1116" s="3" t="str">
        <f t="shared" ca="1" si="56"/>
        <v/>
      </c>
      <c r="M1116" s="3" t="str">
        <f t="shared" ca="1" si="57"/>
        <v/>
      </c>
      <c r="N1116" s="3"/>
      <c r="O1116" s="3"/>
      <c r="P1116" s="4" t="str">
        <f>IF(OR(O1116="", J1116=""), "", NETWORKDAYS(J1116, O1116,#REF!))</f>
        <v/>
      </c>
    </row>
    <row r="1117" spans="1:16" ht="15.75" x14ac:dyDescent="0.25">
      <c r="A1117" s="3"/>
      <c r="B1117" s="18"/>
      <c r="C1117" s="18"/>
      <c r="D1117" s="18"/>
      <c r="E1117" s="16"/>
      <c r="F1117" s="17"/>
      <c r="G1117" s="3"/>
      <c r="H1117" s="3" t="str">
        <f t="shared" si="55"/>
        <v/>
      </c>
      <c r="I1117" s="3" t="str">
        <f ca="1">IF(AND(F1117&lt;&gt;"", J1117&lt;&gt;""), NETWORKDAYS(TODAY(), J1117-1, FESTIVOS!A$1:A$55), "")</f>
        <v/>
      </c>
      <c r="J1117" s="4" t="str">
        <f>IF(AND(F1117&lt;&gt;"", H1117&lt;&gt;""), WORKDAY(F1117, H1117, FESTIVOS!A$1:A$55), "")</f>
        <v/>
      </c>
      <c r="K1117" s="3"/>
      <c r="L1117" s="3" t="str">
        <f t="shared" ca="1" si="56"/>
        <v/>
      </c>
      <c r="M1117" s="3" t="str">
        <f t="shared" ca="1" si="57"/>
        <v/>
      </c>
      <c r="N1117" s="3"/>
      <c r="O1117" s="3"/>
      <c r="P1117" s="4" t="str">
        <f>IF(OR(O1117="", J1117=""), "", NETWORKDAYS(J1117, O1117,#REF!))</f>
        <v/>
      </c>
    </row>
    <row r="1118" spans="1:16" ht="15.75" x14ac:dyDescent="0.25">
      <c r="A1118" s="3"/>
      <c r="B1118" s="18"/>
      <c r="C1118" s="18"/>
      <c r="D1118" s="18"/>
      <c r="E1118" s="16"/>
      <c r="F1118" s="17"/>
      <c r="G1118" s="3"/>
      <c r="H1118" s="3" t="str">
        <f t="shared" si="55"/>
        <v/>
      </c>
      <c r="I1118" s="3" t="str">
        <f ca="1">IF(AND(F1118&lt;&gt;"", J1118&lt;&gt;""), NETWORKDAYS(TODAY(), J1118-1, FESTIVOS!A$1:A$55), "")</f>
        <v/>
      </c>
      <c r="J1118" s="4" t="str">
        <f>IF(AND(F1118&lt;&gt;"", H1118&lt;&gt;""), WORKDAY(F1118, H1118, FESTIVOS!A$1:A$55), "")</f>
        <v/>
      </c>
      <c r="K1118" s="3"/>
      <c r="L1118" s="3" t="str">
        <f t="shared" ca="1" si="56"/>
        <v/>
      </c>
      <c r="M1118" s="3" t="str">
        <f t="shared" ca="1" si="57"/>
        <v/>
      </c>
      <c r="N1118" s="3"/>
      <c r="O1118" s="3"/>
      <c r="P1118" s="4" t="str">
        <f>IF(OR(O1118="", J1118=""), "", NETWORKDAYS(J1118, O1118,#REF!))</f>
        <v/>
      </c>
    </row>
    <row r="1119" spans="1:16" ht="15.75" x14ac:dyDescent="0.25">
      <c r="A1119" s="3"/>
      <c r="B1119" s="18"/>
      <c r="C1119" s="18"/>
      <c r="D1119" s="18"/>
      <c r="E1119" s="16"/>
      <c r="F1119" s="17"/>
      <c r="G1119" s="3"/>
      <c r="H1119" s="3" t="str">
        <f t="shared" si="55"/>
        <v/>
      </c>
      <c r="I1119" s="3" t="str">
        <f ca="1">IF(AND(F1119&lt;&gt;"", J1119&lt;&gt;""), NETWORKDAYS(TODAY(), J1119-1, FESTIVOS!A$1:A$55), "")</f>
        <v/>
      </c>
      <c r="J1119" s="4" t="str">
        <f>IF(AND(F1119&lt;&gt;"", H1119&lt;&gt;""), WORKDAY(F1119, H1119, FESTIVOS!A$1:A$55), "")</f>
        <v/>
      </c>
      <c r="K1119" s="3"/>
      <c r="L1119" s="3" t="str">
        <f t="shared" ca="1" si="56"/>
        <v/>
      </c>
      <c r="M1119" s="3" t="str">
        <f t="shared" ca="1" si="57"/>
        <v/>
      </c>
      <c r="N1119" s="3"/>
      <c r="O1119" s="3"/>
      <c r="P1119" s="4" t="str">
        <f>IF(OR(O1119="", J1119=""), "", NETWORKDAYS(J1119, O1119,#REF!))</f>
        <v/>
      </c>
    </row>
    <row r="1120" spans="1:16" ht="15.75" x14ac:dyDescent="0.25">
      <c r="A1120" s="3"/>
      <c r="B1120" s="18"/>
      <c r="C1120" s="18"/>
      <c r="D1120" s="18"/>
      <c r="E1120" s="16"/>
      <c r="F1120" s="17"/>
      <c r="G1120" s="3"/>
      <c r="H1120" s="3" t="str">
        <f t="shared" si="55"/>
        <v/>
      </c>
      <c r="I1120" s="3" t="str">
        <f ca="1">IF(AND(F1120&lt;&gt;"", J1120&lt;&gt;""), NETWORKDAYS(TODAY(), J1120-1, FESTIVOS!A$1:A$55), "")</f>
        <v/>
      </c>
      <c r="J1120" s="4" t="str">
        <f>IF(AND(F1120&lt;&gt;"", H1120&lt;&gt;""), WORKDAY(F1120, H1120, FESTIVOS!A$1:A$55), "")</f>
        <v/>
      </c>
      <c r="K1120" s="3"/>
      <c r="L1120" s="3" t="str">
        <f t="shared" ca="1" si="56"/>
        <v/>
      </c>
      <c r="M1120" s="3" t="str">
        <f t="shared" ca="1" si="57"/>
        <v/>
      </c>
      <c r="N1120" s="3"/>
      <c r="O1120" s="3"/>
      <c r="P1120" s="4" t="str">
        <f>IF(OR(O1120="", J1120=""), "", NETWORKDAYS(J1120, O1120,#REF!))</f>
        <v/>
      </c>
    </row>
    <row r="1121" spans="1:16" ht="15.75" x14ac:dyDescent="0.25">
      <c r="A1121" s="3"/>
      <c r="B1121" s="18"/>
      <c r="C1121" s="18"/>
      <c r="D1121" s="18"/>
      <c r="E1121" s="16"/>
      <c r="F1121" s="17"/>
      <c r="G1121" s="3"/>
      <c r="H1121" s="3" t="str">
        <f t="shared" si="55"/>
        <v/>
      </c>
      <c r="I1121" s="3" t="str">
        <f ca="1">IF(AND(F1121&lt;&gt;"", J1121&lt;&gt;""), NETWORKDAYS(TODAY(), J1121-1, FESTIVOS!A$1:A$55), "")</f>
        <v/>
      </c>
      <c r="J1121" s="4" t="str">
        <f>IF(AND(F1121&lt;&gt;"", H1121&lt;&gt;""), WORKDAY(F1121, H1121, FESTIVOS!A$1:A$55), "")</f>
        <v/>
      </c>
      <c r="K1121" s="3"/>
      <c r="L1121" s="3" t="str">
        <f t="shared" ca="1" si="56"/>
        <v/>
      </c>
      <c r="M1121" s="3" t="str">
        <f t="shared" ca="1" si="57"/>
        <v/>
      </c>
      <c r="N1121" s="3"/>
      <c r="O1121" s="3"/>
      <c r="P1121" s="4" t="str">
        <f>IF(OR(O1121="", J1121=""), "", NETWORKDAYS(J1121, O1121,#REF!))</f>
        <v/>
      </c>
    </row>
    <row r="1122" spans="1:16" ht="15.75" x14ac:dyDescent="0.25">
      <c r="B1122" s="18"/>
      <c r="C1122" s="18"/>
      <c r="D1122" s="18"/>
      <c r="E1122" s="16"/>
      <c r="F1122" s="17"/>
      <c r="G1122" s="3"/>
      <c r="H1122" s="3" t="str">
        <f t="shared" si="55"/>
        <v/>
      </c>
      <c r="I1122" s="3" t="str">
        <f ca="1">IF(AND(F1122&lt;&gt;"", J1122&lt;&gt;""), NETWORKDAYS(TODAY(), J1122-1, FESTIVOS!A$1:A$55), "")</f>
        <v/>
      </c>
      <c r="J1122" s="4" t="str">
        <f>IF(AND(F1122&lt;&gt;"", H1122&lt;&gt;""), WORKDAY(F1122, H1122, FESTIVOS!A$1:A$55), "")</f>
        <v/>
      </c>
      <c r="K1122" s="3"/>
      <c r="L1122" s="3" t="str">
        <f t="shared" ca="1" si="56"/>
        <v/>
      </c>
      <c r="M1122" s="3" t="str">
        <f t="shared" ca="1" si="57"/>
        <v/>
      </c>
    </row>
    <row r="1123" spans="1:16" ht="15.75" x14ac:dyDescent="0.25">
      <c r="B1123" s="18"/>
      <c r="C1123" s="18"/>
      <c r="D1123" s="18"/>
      <c r="E1123" s="16"/>
      <c r="F1123" s="17"/>
      <c r="G1123" s="3"/>
      <c r="H1123" s="3" t="str">
        <f t="shared" si="55"/>
        <v/>
      </c>
      <c r="I1123" s="3" t="str">
        <f ca="1">IF(AND(F1123&lt;&gt;"", J1123&lt;&gt;""), NETWORKDAYS(TODAY(), J1123-1, FESTIVOS!A$1:A$55), "")</f>
        <v/>
      </c>
      <c r="J1123" s="4" t="str">
        <f>IF(AND(F1123&lt;&gt;"", H1123&lt;&gt;""), WORKDAY(F1123, H1123, FESTIVOS!A$1:A$55), "")</f>
        <v/>
      </c>
      <c r="K1123" s="3"/>
      <c r="L1123" s="3" t="str">
        <f t="shared" ca="1" si="56"/>
        <v/>
      </c>
      <c r="M1123" s="3" t="str">
        <f t="shared" ca="1" si="57"/>
        <v/>
      </c>
    </row>
    <row r="1124" spans="1:16" ht="15.75" x14ac:dyDescent="0.25">
      <c r="B1124" s="18"/>
      <c r="C1124" s="18"/>
      <c r="D1124" s="18"/>
      <c r="E1124" s="16"/>
      <c r="F1124" s="17"/>
      <c r="G1124" s="3"/>
      <c r="H1124" s="3" t="str">
        <f t="shared" si="55"/>
        <v/>
      </c>
      <c r="I1124" s="3" t="str">
        <f ca="1">IF(AND(F1124&lt;&gt;"", J1124&lt;&gt;""), NETWORKDAYS(TODAY(), J1124-1, FESTIVOS!A$1:A$55), "")</f>
        <v/>
      </c>
      <c r="J1124" s="4" t="str">
        <f>IF(AND(F1124&lt;&gt;"", H1124&lt;&gt;""), WORKDAY(F1124, H1124, FESTIVOS!A$1:A$55), "")</f>
        <v/>
      </c>
      <c r="K1124" s="3"/>
      <c r="L1124" s="3" t="str">
        <f t="shared" ca="1" si="56"/>
        <v/>
      </c>
      <c r="M1124" s="3" t="str">
        <f t="shared" ca="1" si="57"/>
        <v/>
      </c>
    </row>
    <row r="1125" spans="1:16" ht="15.75" x14ac:dyDescent="0.25">
      <c r="B1125" s="18"/>
      <c r="C1125" s="18"/>
      <c r="D1125" s="18"/>
      <c r="E1125" s="16"/>
      <c r="F1125" s="17"/>
      <c r="G1125" s="3"/>
      <c r="H1125" s="3" t="str">
        <f t="shared" si="55"/>
        <v/>
      </c>
      <c r="I1125" s="3" t="str">
        <f ca="1">IF(AND(F1125&lt;&gt;"", J1125&lt;&gt;""), NETWORKDAYS(TODAY(), J1125-1, FESTIVOS!A$1:A$55), "")</f>
        <v/>
      </c>
      <c r="J1125" s="4" t="str">
        <f>IF(AND(F1125&lt;&gt;"", H1125&lt;&gt;""), WORKDAY(F1125, H1125, FESTIVOS!A$1:A$55), "")</f>
        <v/>
      </c>
      <c r="K1125" s="3"/>
      <c r="L1125" s="3" t="str">
        <f t="shared" ca="1" si="56"/>
        <v/>
      </c>
      <c r="M1125" s="3" t="str">
        <f t="shared" ca="1" si="57"/>
        <v/>
      </c>
    </row>
    <row r="1126" spans="1:16" ht="15.75" x14ac:dyDescent="0.25">
      <c r="B1126" s="18"/>
      <c r="C1126" s="18"/>
      <c r="D1126" s="18"/>
      <c r="E1126" s="16"/>
      <c r="F1126" s="17"/>
      <c r="G1126" s="3"/>
      <c r="H1126" s="3" t="str">
        <f t="shared" si="55"/>
        <v/>
      </c>
      <c r="I1126" s="3" t="str">
        <f ca="1">IF(AND(F1126&lt;&gt;"", J1126&lt;&gt;""), NETWORKDAYS(TODAY(), J1126-1, FESTIVOS!A$1:A$55), "")</f>
        <v/>
      </c>
      <c r="J1126" s="4" t="str">
        <f>IF(AND(F1126&lt;&gt;"", H1126&lt;&gt;""), WORKDAY(F1126, H1126, FESTIVOS!A$1:A$55), "")</f>
        <v/>
      </c>
      <c r="K1126" s="3"/>
      <c r="L1126" s="3" t="str">
        <f t="shared" ca="1" si="56"/>
        <v/>
      </c>
      <c r="M1126" s="3" t="str">
        <f t="shared" ca="1" si="57"/>
        <v/>
      </c>
    </row>
    <row r="1127" spans="1:16" ht="15.75" x14ac:dyDescent="0.25">
      <c r="B1127" s="18"/>
      <c r="C1127" s="18"/>
      <c r="D1127" s="18"/>
      <c r="E1127" s="16"/>
      <c r="F1127" s="17"/>
      <c r="G1127" s="3"/>
      <c r="H1127" s="3" t="str">
        <f t="shared" si="55"/>
        <v/>
      </c>
      <c r="I1127" s="3" t="str">
        <f ca="1">IF(AND(F1127&lt;&gt;"", J1127&lt;&gt;""), NETWORKDAYS(TODAY(), J1127-1, FESTIVOS!A$1:A$55), "")</f>
        <v/>
      </c>
      <c r="J1127" s="4" t="str">
        <f>IF(AND(F1127&lt;&gt;"", H1127&lt;&gt;""), WORKDAY(F1127, H1127, FESTIVOS!A$1:A$55), "")</f>
        <v/>
      </c>
      <c r="K1127" s="3"/>
      <c r="L1127" s="3" t="str">
        <f t="shared" ca="1" si="56"/>
        <v/>
      </c>
      <c r="M1127" s="3" t="str">
        <f t="shared" ca="1" si="57"/>
        <v/>
      </c>
    </row>
    <row r="1128" spans="1:16" ht="15.75" x14ac:dyDescent="0.25">
      <c r="B1128" s="18"/>
      <c r="C1128" s="18"/>
      <c r="D1128" s="18"/>
      <c r="E1128" s="16"/>
      <c r="F1128" s="17"/>
      <c r="G1128" s="3"/>
      <c r="H1128" s="3" t="str">
        <f t="shared" si="55"/>
        <v/>
      </c>
      <c r="I1128" s="3" t="str">
        <f ca="1">IF(AND(F1128&lt;&gt;"", J1128&lt;&gt;""), NETWORKDAYS(TODAY(), J1128-1, FESTIVOS!A$1:A$55), "")</f>
        <v/>
      </c>
      <c r="J1128" s="4" t="str">
        <f>IF(AND(F1128&lt;&gt;"", H1128&lt;&gt;""), WORKDAY(F1128, H1128, FESTIVOS!A$1:A$55), "")</f>
        <v/>
      </c>
      <c r="K1128" s="3"/>
      <c r="L1128" s="3" t="str">
        <f t="shared" ca="1" si="56"/>
        <v/>
      </c>
      <c r="M1128" s="3" t="str">
        <f t="shared" ca="1" si="57"/>
        <v/>
      </c>
    </row>
    <row r="1129" spans="1:16" ht="15.75" x14ac:dyDescent="0.25">
      <c r="B1129" s="18"/>
      <c r="C1129" s="18"/>
      <c r="D1129" s="18"/>
      <c r="E1129" s="16"/>
      <c r="F1129" s="17"/>
      <c r="G1129" s="3"/>
      <c r="H1129" s="3" t="str">
        <f t="shared" si="55"/>
        <v/>
      </c>
      <c r="I1129" s="3" t="str">
        <f ca="1">IF(AND(F1129&lt;&gt;"", J1129&lt;&gt;""), NETWORKDAYS(TODAY(), J1129-1, FESTIVOS!A$1:A$55), "")</f>
        <v/>
      </c>
      <c r="J1129" s="4" t="str">
        <f>IF(AND(F1129&lt;&gt;"", H1129&lt;&gt;""), WORKDAY(F1129, H1129, FESTIVOS!A$1:A$55), "")</f>
        <v/>
      </c>
      <c r="K1129" s="3"/>
      <c r="L1129" s="3" t="str">
        <f t="shared" ca="1" si="56"/>
        <v/>
      </c>
      <c r="M1129" s="3" t="str">
        <f t="shared" ca="1" si="57"/>
        <v/>
      </c>
    </row>
    <row r="1130" spans="1:16" ht="15.75" x14ac:dyDescent="0.25">
      <c r="B1130" s="18"/>
      <c r="C1130" s="18"/>
      <c r="D1130" s="18"/>
      <c r="E1130" s="16"/>
      <c r="F1130" s="17"/>
      <c r="G1130" s="3"/>
      <c r="H1130" s="3" t="str">
        <f t="shared" si="55"/>
        <v/>
      </c>
      <c r="I1130" s="3" t="str">
        <f ca="1">IF(AND(F1130&lt;&gt;"", J1130&lt;&gt;""), NETWORKDAYS(TODAY(), J1130-1, FESTIVOS!A$1:A$55), "")</f>
        <v/>
      </c>
      <c r="J1130" s="4" t="str">
        <f>IF(AND(F1130&lt;&gt;"", H1130&lt;&gt;""), WORKDAY(F1130, H1130, FESTIVOS!A$1:A$55), "")</f>
        <v/>
      </c>
      <c r="K1130" s="3"/>
      <c r="L1130" s="3" t="str">
        <f t="shared" ca="1" si="56"/>
        <v/>
      </c>
      <c r="M1130" s="3" t="str">
        <f t="shared" ca="1" si="57"/>
        <v/>
      </c>
    </row>
    <row r="1131" spans="1:16" ht="15.75" x14ac:dyDescent="0.25">
      <c r="B1131" s="18"/>
      <c r="C1131" s="18"/>
      <c r="D1131" s="18"/>
      <c r="E1131" s="16"/>
      <c r="F1131" s="17"/>
      <c r="G1131" s="3"/>
      <c r="H1131" s="3" t="str">
        <f t="shared" si="55"/>
        <v/>
      </c>
      <c r="I1131" s="3" t="str">
        <f ca="1">IF(AND(F1131&lt;&gt;"", J1131&lt;&gt;""), NETWORKDAYS(TODAY(), J1131-1, FESTIVOS!A$1:A$55), "")</f>
        <v/>
      </c>
      <c r="J1131" s="4" t="str">
        <f>IF(AND(F1131&lt;&gt;"", H1131&lt;&gt;""), WORKDAY(F1131, H1131, FESTIVOS!A$1:A$55), "")</f>
        <v/>
      </c>
      <c r="K1131" s="3"/>
      <c r="L1131" s="3" t="str">
        <f t="shared" ca="1" si="56"/>
        <v/>
      </c>
      <c r="M1131" s="3" t="str">
        <f t="shared" ca="1" si="57"/>
        <v/>
      </c>
    </row>
    <row r="1132" spans="1:16" ht="15.75" x14ac:dyDescent="0.25">
      <c r="B1132" s="18"/>
      <c r="C1132" s="18"/>
      <c r="D1132" s="18"/>
      <c r="E1132" s="16"/>
      <c r="F1132" s="17"/>
      <c r="G1132" s="3"/>
      <c r="H1132" s="3" t="str">
        <f t="shared" si="55"/>
        <v/>
      </c>
      <c r="I1132" s="3" t="str">
        <f ca="1">IF(AND(F1132&lt;&gt;"", J1132&lt;&gt;""), NETWORKDAYS(TODAY(), J1132-1, FESTIVOS!A$1:A$55), "")</f>
        <v/>
      </c>
      <c r="J1132" s="4" t="str">
        <f>IF(AND(F1132&lt;&gt;"", H1132&lt;&gt;""), WORKDAY(F1132, H1132, FESTIVOS!A$1:A$55), "")</f>
        <v/>
      </c>
      <c r="K1132" s="3"/>
      <c r="L1132" s="3" t="str">
        <f t="shared" ca="1" si="56"/>
        <v/>
      </c>
      <c r="M1132" s="3" t="str">
        <f t="shared" ca="1" si="57"/>
        <v/>
      </c>
    </row>
    <row r="1133" spans="1:16" ht="15.75" x14ac:dyDescent="0.25">
      <c r="B1133" s="18"/>
      <c r="C1133" s="18"/>
      <c r="D1133" s="18"/>
      <c r="E1133" s="16"/>
      <c r="F1133" s="17"/>
      <c r="G1133" s="3"/>
      <c r="H1133" s="3" t="str">
        <f t="shared" si="55"/>
        <v/>
      </c>
      <c r="I1133" s="3" t="str">
        <f ca="1">IF(AND(F1133&lt;&gt;"", J1133&lt;&gt;""), NETWORKDAYS(TODAY(), J1133-1, FESTIVOS!A$1:A$55), "")</f>
        <v/>
      </c>
      <c r="J1133" s="4" t="str">
        <f>IF(AND(F1133&lt;&gt;"", H1133&lt;&gt;""), WORKDAY(F1133, H1133, FESTIVOS!A$1:A$55), "")</f>
        <v/>
      </c>
      <c r="K1133" s="3"/>
      <c r="L1133" s="3" t="str">
        <f t="shared" ca="1" si="56"/>
        <v/>
      </c>
      <c r="M1133" s="3" t="str">
        <f t="shared" ca="1" si="57"/>
        <v/>
      </c>
    </row>
    <row r="1134" spans="1:16" ht="15.75" x14ac:dyDescent="0.25">
      <c r="B1134" s="18"/>
      <c r="C1134" s="18"/>
      <c r="D1134" s="18"/>
      <c r="E1134" s="16"/>
      <c r="F1134" s="17"/>
      <c r="G1134" s="3"/>
      <c r="H1134" s="3" t="str">
        <f t="shared" si="55"/>
        <v/>
      </c>
      <c r="I1134" s="3" t="str">
        <f ca="1">IF(AND(F1134&lt;&gt;"", J1134&lt;&gt;""), NETWORKDAYS(TODAY(), J1134-1, FESTIVOS!A$1:A$55), "")</f>
        <v/>
      </c>
      <c r="J1134" s="4" t="str">
        <f>IF(AND(F1134&lt;&gt;"", H1134&lt;&gt;""), WORKDAY(F1134, H1134, FESTIVOS!A$1:A$55), "")</f>
        <v/>
      </c>
      <c r="K1134" s="3"/>
      <c r="L1134" s="3" t="str">
        <f t="shared" ca="1" si="56"/>
        <v/>
      </c>
      <c r="M1134" s="3" t="str">
        <f t="shared" ca="1" si="57"/>
        <v/>
      </c>
    </row>
    <row r="1135" spans="1:16" ht="15.75" x14ac:dyDescent="0.25">
      <c r="B1135" s="18"/>
      <c r="C1135" s="18"/>
      <c r="D1135" s="18"/>
      <c r="E1135" s="16"/>
      <c r="F1135" s="17"/>
      <c r="G1135" s="3"/>
      <c r="H1135" s="3" t="str">
        <f t="shared" si="55"/>
        <v/>
      </c>
      <c r="I1135" s="3" t="str">
        <f ca="1">IF(AND(F1135&lt;&gt;"", J1135&lt;&gt;""), NETWORKDAYS(TODAY(), J1135-1, FESTIVOS!A$1:A$55), "")</f>
        <v/>
      </c>
      <c r="J1135" s="4" t="str">
        <f>IF(AND(F1135&lt;&gt;"", H1135&lt;&gt;""), WORKDAY(F1135, H1135, FESTIVOS!A$1:A$55), "")</f>
        <v/>
      </c>
      <c r="K1135" s="3"/>
      <c r="L1135" s="3" t="str">
        <f t="shared" ca="1" si="56"/>
        <v/>
      </c>
      <c r="M1135" s="3" t="str">
        <f t="shared" ca="1" si="57"/>
        <v/>
      </c>
    </row>
    <row r="1136" spans="1:16" ht="15.75" x14ac:dyDescent="0.25">
      <c r="B1136" s="18"/>
      <c r="C1136" s="18"/>
      <c r="D1136" s="18"/>
      <c r="E1136" s="16"/>
      <c r="F1136" s="17"/>
      <c r="G1136" s="3"/>
      <c r="H1136" s="3" t="str">
        <f t="shared" si="55"/>
        <v/>
      </c>
      <c r="I1136" s="3" t="str">
        <f ca="1">IF(AND(F1136&lt;&gt;"", J1136&lt;&gt;""), NETWORKDAYS(TODAY(), J1136-1, FESTIVOS!A$1:A$55), "")</f>
        <v/>
      </c>
      <c r="J1136" s="4" t="str">
        <f>IF(AND(F1136&lt;&gt;"", H1136&lt;&gt;""), WORKDAY(F1136, H1136, FESTIVOS!A$1:A$55), "")</f>
        <v/>
      </c>
      <c r="K1136" s="3"/>
      <c r="L1136" s="3" t="str">
        <f t="shared" ca="1" si="56"/>
        <v/>
      </c>
      <c r="M1136" s="3" t="str">
        <f t="shared" ca="1" si="57"/>
        <v/>
      </c>
    </row>
    <row r="1137" spans="2:13" ht="15.75" x14ac:dyDescent="0.25">
      <c r="B1137" s="18"/>
      <c r="C1137" s="18"/>
      <c r="D1137" s="18"/>
      <c r="E1137" s="16"/>
      <c r="F1137" s="17"/>
      <c r="G1137" s="3"/>
      <c r="H1137" s="3" t="str">
        <f t="shared" si="55"/>
        <v/>
      </c>
      <c r="I1137" s="3" t="str">
        <f ca="1">IF(AND(F1137&lt;&gt;"", J1137&lt;&gt;""), NETWORKDAYS(TODAY(), J1137-1, FESTIVOS!A$1:A$55), "")</f>
        <v/>
      </c>
      <c r="J1137" s="4" t="str">
        <f>IF(AND(F1137&lt;&gt;"", H1137&lt;&gt;""), WORKDAY(F1137, H1137, FESTIVOS!A$1:A$55), "")</f>
        <v/>
      </c>
      <c r="K1137" s="3"/>
      <c r="L1137" s="3" t="str">
        <f t="shared" ca="1" si="56"/>
        <v/>
      </c>
      <c r="M1137" s="3" t="str">
        <f t="shared" ca="1" si="57"/>
        <v/>
      </c>
    </row>
    <row r="1138" spans="2:13" ht="15.75" x14ac:dyDescent="0.25">
      <c r="B1138" s="18"/>
      <c r="C1138" s="18"/>
      <c r="D1138" s="18"/>
      <c r="E1138" s="16"/>
      <c r="F1138" s="17"/>
      <c r="G1138" s="3"/>
      <c r="H1138" s="3" t="str">
        <f t="shared" si="55"/>
        <v/>
      </c>
      <c r="I1138" s="3" t="str">
        <f ca="1">IF(AND(F1138&lt;&gt;"", J1138&lt;&gt;""), NETWORKDAYS(TODAY(), J1138-1, FESTIVOS!A$1:A$55), "")</f>
        <v/>
      </c>
      <c r="J1138" s="4" t="str">
        <f>IF(AND(F1138&lt;&gt;"", H1138&lt;&gt;""), WORKDAY(F1138, H1138, FESTIVOS!A$1:A$55), "")</f>
        <v/>
      </c>
      <c r="K1138" s="3"/>
      <c r="L1138" s="3" t="str">
        <f t="shared" ca="1" si="56"/>
        <v/>
      </c>
      <c r="M1138" s="3" t="str">
        <f t="shared" ca="1" si="57"/>
        <v/>
      </c>
    </row>
    <row r="1139" spans="2:13" ht="15.75" x14ac:dyDescent="0.25">
      <c r="B1139" s="18"/>
      <c r="C1139" s="18"/>
      <c r="D1139" s="18"/>
      <c r="E1139" s="16"/>
      <c r="F1139" s="17"/>
      <c r="G1139" s="3"/>
      <c r="H1139" s="3" t="str">
        <f t="shared" si="55"/>
        <v/>
      </c>
      <c r="I1139" s="3" t="str">
        <f ca="1">IF(AND(F1139&lt;&gt;"", J1139&lt;&gt;""), NETWORKDAYS(TODAY(), J1139-1, FESTIVOS!A$1:A$55), "")</f>
        <v/>
      </c>
      <c r="J1139" s="4" t="str">
        <f>IF(AND(F1139&lt;&gt;"", H1139&lt;&gt;""), WORKDAY(F1139, H1139, FESTIVOS!A$1:A$55), "")</f>
        <v/>
      </c>
      <c r="K1139" s="3"/>
      <c r="L1139" s="3" t="str">
        <f t="shared" ca="1" si="56"/>
        <v/>
      </c>
      <c r="M1139" s="3" t="str">
        <f t="shared" ca="1" si="57"/>
        <v/>
      </c>
    </row>
    <row r="1140" spans="2:13" ht="15.75" x14ac:dyDescent="0.25">
      <c r="B1140" s="18"/>
      <c r="C1140" s="18"/>
      <c r="D1140" s="18"/>
      <c r="E1140" s="16"/>
      <c r="F1140" s="17"/>
      <c r="G1140" s="3"/>
      <c r="H1140" s="3" t="str">
        <f t="shared" si="55"/>
        <v/>
      </c>
      <c r="I1140" s="3" t="str">
        <f ca="1">IF(AND(F1140&lt;&gt;"", J1140&lt;&gt;""), NETWORKDAYS(TODAY(), J1140-1, FESTIVOS!A$1:A$55), "")</f>
        <v/>
      </c>
      <c r="J1140" s="4" t="str">
        <f>IF(AND(F1140&lt;&gt;"", H1140&lt;&gt;""), WORKDAY(F1140, H1140, FESTIVOS!A$1:A$55), "")</f>
        <v/>
      </c>
      <c r="K1140" s="3"/>
      <c r="L1140" s="3" t="str">
        <f t="shared" ca="1" si="56"/>
        <v/>
      </c>
      <c r="M1140" s="3" t="str">
        <f t="shared" ca="1" si="57"/>
        <v/>
      </c>
    </row>
    <row r="1141" spans="2:13" ht="15.75" x14ac:dyDescent="0.25">
      <c r="B1141" s="18"/>
      <c r="C1141" s="18"/>
      <c r="D1141" s="18"/>
      <c r="E1141" s="16"/>
      <c r="F1141" s="17"/>
      <c r="G1141" s="3"/>
      <c r="H1141" s="3" t="str">
        <f t="shared" si="55"/>
        <v/>
      </c>
      <c r="I1141" s="3" t="str">
        <f ca="1">IF(AND(F1141&lt;&gt;"", J1141&lt;&gt;""), NETWORKDAYS(TODAY(), J1141-1, FESTIVOS!A$1:A$55), "")</f>
        <v/>
      </c>
      <c r="J1141" s="4" t="str">
        <f>IF(AND(F1141&lt;&gt;"", H1141&lt;&gt;""), WORKDAY(F1141, H1141, FESTIVOS!A$1:A$55), "")</f>
        <v/>
      </c>
      <c r="K1141" s="3"/>
      <c r="L1141" s="3" t="str">
        <f t="shared" ca="1" si="56"/>
        <v/>
      </c>
      <c r="M1141" s="3" t="str">
        <f t="shared" ca="1" si="57"/>
        <v/>
      </c>
    </row>
    <row r="1142" spans="2:13" ht="15.75" x14ac:dyDescent="0.25">
      <c r="B1142" s="18"/>
      <c r="C1142" s="18"/>
      <c r="D1142" s="18"/>
      <c r="E1142" s="16"/>
      <c r="F1142" s="17"/>
      <c r="G1142" s="3"/>
      <c r="H1142" s="3" t="str">
        <f t="shared" ref="H1142:H1205" si="58">IF(A1142="INFORMACIÓN O DOCUMENTOS", 10, IF(A1142="CONSULTA", 30, IF(A1142="FACTURACIÓN Y COBROS", 15, IF(A1142="VINCULACIÓN Y DESVINCULACIÓN", 15, IF(A1142="NO ES DE NUESTRA COMPETENCIA", 5, IF(A1142="OTRO", 15, ""))))))</f>
        <v/>
      </c>
      <c r="I1142" s="3" t="str">
        <f ca="1">IF(AND(F1142&lt;&gt;"", J1142&lt;&gt;""), NETWORKDAYS(TODAY(), J1142-1, FESTIVOS!A$1:A$55), "")</f>
        <v/>
      </c>
      <c r="J1142" s="4" t="str">
        <f>IF(AND(F1142&lt;&gt;"", H1142&lt;&gt;""), WORKDAY(F1142, H1142, FESTIVOS!A$1:A$55), "")</f>
        <v/>
      </c>
      <c r="K1142" s="3"/>
      <c r="L1142" s="3" t="str">
        <f t="shared" ref="L1142:L1205" ca="1" si="59">IF(I1142="", "", MAX(0, I1142 - (TODAY() - TODAY())))</f>
        <v/>
      </c>
      <c r="M1142" s="3" t="str">
        <f t="shared" ref="M1142:M1205" ca="1" si="60">IF(OR(I1142="", H1142=""), "", IF(I1142&lt;0, "Vencido", IF(I1142&gt;(H1142/2), "Supere la mitad", "Bajo la mitad")))</f>
        <v/>
      </c>
    </row>
    <row r="1143" spans="2:13" ht="15.75" x14ac:dyDescent="0.25">
      <c r="B1143" s="18"/>
      <c r="C1143" s="18"/>
      <c r="D1143" s="18"/>
      <c r="E1143" s="16"/>
      <c r="F1143" s="17"/>
      <c r="G1143" s="3"/>
      <c r="H1143" s="3" t="str">
        <f t="shared" si="58"/>
        <v/>
      </c>
      <c r="I1143" s="3" t="str">
        <f ca="1">IF(AND(F1143&lt;&gt;"", J1143&lt;&gt;""), NETWORKDAYS(TODAY(), J1143-1, FESTIVOS!A$1:A$55), "")</f>
        <v/>
      </c>
      <c r="J1143" s="4" t="str">
        <f>IF(AND(F1143&lt;&gt;"", H1143&lt;&gt;""), WORKDAY(F1143, H1143, FESTIVOS!A$1:A$55), "")</f>
        <v/>
      </c>
      <c r="K1143" s="3"/>
      <c r="L1143" s="3" t="str">
        <f t="shared" ca="1" si="59"/>
        <v/>
      </c>
      <c r="M1143" s="3" t="str">
        <f t="shared" ca="1" si="60"/>
        <v/>
      </c>
    </row>
    <row r="1144" spans="2:13" ht="15.75" x14ac:dyDescent="0.25">
      <c r="B1144" s="18"/>
      <c r="C1144" s="18"/>
      <c r="D1144" s="18"/>
      <c r="E1144" s="16"/>
      <c r="F1144" s="17"/>
      <c r="G1144" s="3"/>
      <c r="H1144" s="3" t="str">
        <f t="shared" si="58"/>
        <v/>
      </c>
      <c r="I1144" s="3" t="str">
        <f ca="1">IF(AND(F1144&lt;&gt;"", J1144&lt;&gt;""), NETWORKDAYS(TODAY(), J1144-1, FESTIVOS!A$1:A$55), "")</f>
        <v/>
      </c>
      <c r="J1144" s="4" t="str">
        <f>IF(AND(F1144&lt;&gt;"", H1144&lt;&gt;""), WORKDAY(F1144, H1144, FESTIVOS!A$1:A$55), "")</f>
        <v/>
      </c>
      <c r="K1144" s="3"/>
      <c r="L1144" s="3" t="str">
        <f t="shared" ca="1" si="59"/>
        <v/>
      </c>
      <c r="M1144" s="3" t="str">
        <f t="shared" ca="1" si="60"/>
        <v/>
      </c>
    </row>
    <row r="1145" spans="2:13" ht="15.75" x14ac:dyDescent="0.25">
      <c r="B1145" s="18"/>
      <c r="C1145" s="18"/>
      <c r="D1145" s="18"/>
      <c r="E1145" s="16"/>
      <c r="F1145" s="17"/>
      <c r="G1145" s="3"/>
      <c r="H1145" s="3" t="str">
        <f t="shared" si="58"/>
        <v/>
      </c>
      <c r="I1145" s="3" t="str">
        <f ca="1">IF(AND(F1145&lt;&gt;"", J1145&lt;&gt;""), NETWORKDAYS(TODAY(), J1145-1, FESTIVOS!A$1:A$55), "")</f>
        <v/>
      </c>
      <c r="J1145" s="4" t="str">
        <f>IF(AND(F1145&lt;&gt;"", H1145&lt;&gt;""), WORKDAY(F1145, H1145, FESTIVOS!A$1:A$55), "")</f>
        <v/>
      </c>
      <c r="K1145" s="3"/>
      <c r="L1145" s="3" t="str">
        <f t="shared" ca="1" si="59"/>
        <v/>
      </c>
      <c r="M1145" s="3" t="str">
        <f t="shared" ca="1" si="60"/>
        <v/>
      </c>
    </row>
    <row r="1146" spans="2:13" ht="15.75" x14ac:dyDescent="0.25">
      <c r="B1146" s="18"/>
      <c r="C1146" s="18"/>
      <c r="D1146" s="18"/>
      <c r="E1146" s="16"/>
      <c r="F1146" s="17"/>
      <c r="G1146" s="3"/>
      <c r="H1146" s="3" t="str">
        <f t="shared" si="58"/>
        <v/>
      </c>
      <c r="I1146" s="3" t="str">
        <f ca="1">IF(AND(F1146&lt;&gt;"", J1146&lt;&gt;""), NETWORKDAYS(TODAY(), J1146-1, FESTIVOS!A$1:A$55), "")</f>
        <v/>
      </c>
      <c r="J1146" s="4" t="str">
        <f>IF(AND(F1146&lt;&gt;"", H1146&lt;&gt;""), WORKDAY(F1146, H1146, FESTIVOS!A$1:A$55), "")</f>
        <v/>
      </c>
      <c r="K1146" s="3"/>
      <c r="L1146" s="3" t="str">
        <f t="shared" ca="1" si="59"/>
        <v/>
      </c>
      <c r="M1146" s="3" t="str">
        <f t="shared" ca="1" si="60"/>
        <v/>
      </c>
    </row>
    <row r="1147" spans="2:13" ht="15.75" x14ac:dyDescent="0.25">
      <c r="B1147" s="18"/>
      <c r="C1147" s="18"/>
      <c r="D1147" s="18"/>
      <c r="E1147" s="16"/>
      <c r="F1147" s="17"/>
      <c r="G1147" s="3"/>
      <c r="H1147" s="3" t="str">
        <f t="shared" si="58"/>
        <v/>
      </c>
      <c r="I1147" s="3" t="str">
        <f ca="1">IF(AND(F1147&lt;&gt;"", J1147&lt;&gt;""), NETWORKDAYS(TODAY(), J1147-1, FESTIVOS!A$1:A$55), "")</f>
        <v/>
      </c>
      <c r="J1147" s="4" t="str">
        <f>IF(AND(F1147&lt;&gt;"", H1147&lt;&gt;""), WORKDAY(F1147, H1147, FESTIVOS!A$1:A$55), "")</f>
        <v/>
      </c>
      <c r="K1147" s="3"/>
      <c r="L1147" s="3" t="str">
        <f t="shared" ca="1" si="59"/>
        <v/>
      </c>
      <c r="M1147" s="3" t="str">
        <f t="shared" ca="1" si="60"/>
        <v/>
      </c>
    </row>
    <row r="1148" spans="2:13" ht="15.75" x14ac:dyDescent="0.25">
      <c r="B1148" s="18"/>
      <c r="C1148" s="18"/>
      <c r="D1148" s="18"/>
      <c r="E1148" s="16"/>
      <c r="F1148" s="17"/>
      <c r="G1148" s="3"/>
      <c r="H1148" s="3" t="str">
        <f t="shared" si="58"/>
        <v/>
      </c>
      <c r="I1148" s="3" t="str">
        <f ca="1">IF(AND(F1148&lt;&gt;"", J1148&lt;&gt;""), NETWORKDAYS(TODAY(), J1148-1, FESTIVOS!A$1:A$55), "")</f>
        <v/>
      </c>
      <c r="J1148" s="4" t="str">
        <f>IF(AND(F1148&lt;&gt;"", H1148&lt;&gt;""), WORKDAY(F1148, H1148, FESTIVOS!A$1:A$55), "")</f>
        <v/>
      </c>
      <c r="K1148" s="3"/>
      <c r="L1148" s="3" t="str">
        <f t="shared" ca="1" si="59"/>
        <v/>
      </c>
      <c r="M1148" s="3" t="str">
        <f t="shared" ca="1" si="60"/>
        <v/>
      </c>
    </row>
    <row r="1149" spans="2:13" ht="15.75" x14ac:dyDescent="0.25">
      <c r="B1149" s="18"/>
      <c r="C1149" s="18"/>
      <c r="D1149" s="18"/>
      <c r="E1149" s="16"/>
      <c r="F1149" s="17"/>
      <c r="G1149" s="3"/>
      <c r="H1149" s="3" t="str">
        <f t="shared" si="58"/>
        <v/>
      </c>
      <c r="I1149" s="3" t="str">
        <f ca="1">IF(AND(F1149&lt;&gt;"", J1149&lt;&gt;""), NETWORKDAYS(TODAY(), J1149-1, FESTIVOS!A$1:A$55), "")</f>
        <v/>
      </c>
      <c r="J1149" s="4" t="str">
        <f>IF(AND(F1149&lt;&gt;"", H1149&lt;&gt;""), WORKDAY(F1149, H1149, FESTIVOS!A$1:A$55), "")</f>
        <v/>
      </c>
      <c r="K1149" s="3"/>
      <c r="L1149" s="3" t="str">
        <f t="shared" ca="1" si="59"/>
        <v/>
      </c>
      <c r="M1149" s="3" t="str">
        <f t="shared" ca="1" si="60"/>
        <v/>
      </c>
    </row>
    <row r="1150" spans="2:13" ht="15.75" x14ac:dyDescent="0.25">
      <c r="B1150" s="18"/>
      <c r="C1150" s="18"/>
      <c r="D1150" s="18"/>
      <c r="E1150" s="16"/>
      <c r="F1150" s="17"/>
      <c r="G1150" s="3"/>
      <c r="H1150" s="3" t="str">
        <f t="shared" si="58"/>
        <v/>
      </c>
      <c r="I1150" s="3" t="str">
        <f ca="1">IF(AND(F1150&lt;&gt;"", J1150&lt;&gt;""), NETWORKDAYS(TODAY(), J1150-1, FESTIVOS!A$1:A$55), "")</f>
        <v/>
      </c>
      <c r="J1150" s="4" t="str">
        <f>IF(AND(F1150&lt;&gt;"", H1150&lt;&gt;""), WORKDAY(F1150, H1150, FESTIVOS!A$1:A$55), "")</f>
        <v/>
      </c>
      <c r="K1150" s="3"/>
      <c r="L1150" s="3" t="str">
        <f t="shared" ca="1" si="59"/>
        <v/>
      </c>
      <c r="M1150" s="3" t="str">
        <f t="shared" ca="1" si="60"/>
        <v/>
      </c>
    </row>
    <row r="1151" spans="2:13" ht="15.75" x14ac:dyDescent="0.25">
      <c r="B1151" s="18"/>
      <c r="C1151" s="18"/>
      <c r="D1151" s="18"/>
      <c r="E1151" s="16"/>
      <c r="F1151" s="17"/>
      <c r="G1151" s="3"/>
      <c r="H1151" s="3" t="str">
        <f t="shared" si="58"/>
        <v/>
      </c>
      <c r="I1151" s="3" t="str">
        <f ca="1">IF(AND(F1151&lt;&gt;"", J1151&lt;&gt;""), NETWORKDAYS(TODAY(), J1151-1, FESTIVOS!A$1:A$55), "")</f>
        <v/>
      </c>
      <c r="J1151" s="4" t="str">
        <f>IF(AND(F1151&lt;&gt;"", H1151&lt;&gt;""), WORKDAY(F1151, H1151, FESTIVOS!A$1:A$55), "")</f>
        <v/>
      </c>
      <c r="K1151" s="3"/>
      <c r="L1151" s="3" t="str">
        <f t="shared" ca="1" si="59"/>
        <v/>
      </c>
      <c r="M1151" s="3" t="str">
        <f t="shared" ca="1" si="60"/>
        <v/>
      </c>
    </row>
    <row r="1152" spans="2:13" ht="15.75" x14ac:dyDescent="0.25">
      <c r="B1152" s="18"/>
      <c r="C1152" s="18"/>
      <c r="D1152" s="18"/>
      <c r="E1152" s="16"/>
      <c r="F1152" s="17"/>
      <c r="G1152" s="3"/>
      <c r="H1152" s="3" t="str">
        <f t="shared" si="58"/>
        <v/>
      </c>
      <c r="I1152" s="3" t="str">
        <f ca="1">IF(AND(F1152&lt;&gt;"", J1152&lt;&gt;""), NETWORKDAYS(TODAY(), J1152-1, FESTIVOS!A$1:A$55), "")</f>
        <v/>
      </c>
      <c r="J1152" s="4" t="str">
        <f>IF(AND(F1152&lt;&gt;"", H1152&lt;&gt;""), WORKDAY(F1152, H1152, FESTIVOS!A$1:A$55), "")</f>
        <v/>
      </c>
      <c r="K1152" s="3"/>
      <c r="L1152" s="3" t="str">
        <f t="shared" ca="1" si="59"/>
        <v/>
      </c>
      <c r="M1152" s="3" t="str">
        <f t="shared" ca="1" si="60"/>
        <v/>
      </c>
    </row>
    <row r="1153" spans="2:13" ht="15.75" x14ac:dyDescent="0.25">
      <c r="B1153" s="18"/>
      <c r="C1153" s="18"/>
      <c r="D1153" s="18"/>
      <c r="E1153" s="16"/>
      <c r="F1153" s="17"/>
      <c r="G1153" s="3"/>
      <c r="H1153" s="3" t="str">
        <f t="shared" si="58"/>
        <v/>
      </c>
      <c r="I1153" s="3" t="str">
        <f ca="1">IF(AND(F1153&lt;&gt;"", J1153&lt;&gt;""), NETWORKDAYS(TODAY(), J1153-1, FESTIVOS!A$1:A$55), "")</f>
        <v/>
      </c>
      <c r="J1153" s="4" t="str">
        <f>IF(AND(F1153&lt;&gt;"", H1153&lt;&gt;""), WORKDAY(F1153, H1153, FESTIVOS!A$1:A$55), "")</f>
        <v/>
      </c>
      <c r="K1153" s="3"/>
      <c r="L1153" s="3" t="str">
        <f t="shared" ca="1" si="59"/>
        <v/>
      </c>
      <c r="M1153" s="3" t="str">
        <f t="shared" ca="1" si="60"/>
        <v/>
      </c>
    </row>
    <row r="1154" spans="2:13" ht="15.75" x14ac:dyDescent="0.25">
      <c r="B1154" s="18"/>
      <c r="C1154" s="18"/>
      <c r="D1154" s="18"/>
      <c r="E1154" s="16"/>
      <c r="F1154" s="17"/>
      <c r="G1154" s="3"/>
      <c r="H1154" s="3" t="str">
        <f t="shared" si="58"/>
        <v/>
      </c>
      <c r="I1154" s="3" t="str">
        <f ca="1">IF(AND(F1154&lt;&gt;"", J1154&lt;&gt;""), NETWORKDAYS(TODAY(), J1154-1, FESTIVOS!A$1:A$55), "")</f>
        <v/>
      </c>
      <c r="J1154" s="4" t="str">
        <f>IF(AND(F1154&lt;&gt;"", H1154&lt;&gt;""), WORKDAY(F1154, H1154, FESTIVOS!A$1:A$55), "")</f>
        <v/>
      </c>
      <c r="K1154" s="3"/>
      <c r="L1154" s="3" t="str">
        <f t="shared" ca="1" si="59"/>
        <v/>
      </c>
      <c r="M1154" s="3" t="str">
        <f t="shared" ca="1" si="60"/>
        <v/>
      </c>
    </row>
    <row r="1155" spans="2:13" ht="15.75" x14ac:dyDescent="0.25">
      <c r="B1155" s="18"/>
      <c r="C1155" s="18"/>
      <c r="D1155" s="18"/>
      <c r="E1155" s="16"/>
      <c r="F1155" s="17"/>
      <c r="G1155" s="3"/>
      <c r="H1155" s="3" t="str">
        <f t="shared" si="58"/>
        <v/>
      </c>
      <c r="I1155" s="3" t="str">
        <f ca="1">IF(AND(F1155&lt;&gt;"", J1155&lt;&gt;""), NETWORKDAYS(TODAY(), J1155-1, FESTIVOS!A$1:A$55), "")</f>
        <v/>
      </c>
      <c r="J1155" s="4" t="str">
        <f>IF(AND(F1155&lt;&gt;"", H1155&lt;&gt;""), WORKDAY(F1155, H1155, FESTIVOS!A$1:A$55), "")</f>
        <v/>
      </c>
      <c r="K1155" s="3"/>
      <c r="L1155" s="3" t="str">
        <f t="shared" ca="1" si="59"/>
        <v/>
      </c>
      <c r="M1155" s="3" t="str">
        <f t="shared" ca="1" si="60"/>
        <v/>
      </c>
    </row>
    <row r="1156" spans="2:13" ht="15.75" x14ac:dyDescent="0.25">
      <c r="B1156" s="18"/>
      <c r="C1156" s="18"/>
      <c r="D1156" s="18"/>
      <c r="E1156" s="16"/>
      <c r="F1156" s="17"/>
      <c r="G1156" s="3"/>
      <c r="H1156" s="3" t="str">
        <f t="shared" si="58"/>
        <v/>
      </c>
      <c r="I1156" s="3" t="str">
        <f ca="1">IF(AND(F1156&lt;&gt;"", J1156&lt;&gt;""), NETWORKDAYS(TODAY(), J1156-1, FESTIVOS!A$1:A$55), "")</f>
        <v/>
      </c>
      <c r="J1156" s="4" t="str">
        <f>IF(AND(F1156&lt;&gt;"", H1156&lt;&gt;""), WORKDAY(F1156, H1156, FESTIVOS!A$1:A$55), "")</f>
        <v/>
      </c>
      <c r="K1156" s="3"/>
      <c r="L1156" s="3" t="str">
        <f t="shared" ca="1" si="59"/>
        <v/>
      </c>
      <c r="M1156" s="3" t="str">
        <f t="shared" ca="1" si="60"/>
        <v/>
      </c>
    </row>
    <row r="1157" spans="2:13" ht="15.75" x14ac:dyDescent="0.25">
      <c r="B1157" s="18"/>
      <c r="C1157" s="18"/>
      <c r="D1157" s="18"/>
      <c r="E1157" s="16"/>
      <c r="F1157" s="17"/>
      <c r="G1157" s="3"/>
      <c r="H1157" s="3" t="str">
        <f t="shared" si="58"/>
        <v/>
      </c>
      <c r="I1157" s="3" t="str">
        <f ca="1">IF(AND(F1157&lt;&gt;"", J1157&lt;&gt;""), NETWORKDAYS(TODAY(), J1157-1, FESTIVOS!A$1:A$55), "")</f>
        <v/>
      </c>
      <c r="J1157" s="4" t="str">
        <f>IF(AND(F1157&lt;&gt;"", H1157&lt;&gt;""), WORKDAY(F1157, H1157, FESTIVOS!A$1:A$55), "")</f>
        <v/>
      </c>
      <c r="K1157" s="3"/>
      <c r="L1157" s="3" t="str">
        <f t="shared" ca="1" si="59"/>
        <v/>
      </c>
      <c r="M1157" s="3" t="str">
        <f t="shared" ca="1" si="60"/>
        <v/>
      </c>
    </row>
    <row r="1158" spans="2:13" ht="15.75" x14ac:dyDescent="0.25">
      <c r="B1158" s="18"/>
      <c r="C1158" s="18"/>
      <c r="D1158" s="18"/>
      <c r="E1158" s="16"/>
      <c r="F1158" s="17"/>
      <c r="G1158" s="3"/>
      <c r="H1158" s="3" t="str">
        <f t="shared" si="58"/>
        <v/>
      </c>
      <c r="I1158" s="3" t="str">
        <f ca="1">IF(AND(F1158&lt;&gt;"", J1158&lt;&gt;""), NETWORKDAYS(TODAY(), J1158-1, FESTIVOS!A$1:A$55), "")</f>
        <v/>
      </c>
      <c r="J1158" s="4" t="str">
        <f>IF(AND(F1158&lt;&gt;"", H1158&lt;&gt;""), WORKDAY(F1158, H1158, FESTIVOS!A$1:A$55), "")</f>
        <v/>
      </c>
      <c r="K1158" s="3"/>
      <c r="L1158" s="3" t="str">
        <f t="shared" ca="1" si="59"/>
        <v/>
      </c>
      <c r="M1158" s="3" t="str">
        <f t="shared" ca="1" si="60"/>
        <v/>
      </c>
    </row>
    <row r="1159" spans="2:13" ht="15.75" x14ac:dyDescent="0.25">
      <c r="B1159" s="18"/>
      <c r="C1159" s="18"/>
      <c r="D1159" s="18"/>
      <c r="E1159" s="16"/>
      <c r="F1159" s="17"/>
      <c r="G1159" s="3"/>
      <c r="H1159" s="3" t="str">
        <f t="shared" si="58"/>
        <v/>
      </c>
      <c r="I1159" s="3" t="str">
        <f ca="1">IF(AND(F1159&lt;&gt;"", J1159&lt;&gt;""), NETWORKDAYS(TODAY(), J1159-1, FESTIVOS!A$1:A$55), "")</f>
        <v/>
      </c>
      <c r="J1159" s="4" t="str">
        <f>IF(AND(F1159&lt;&gt;"", H1159&lt;&gt;""), WORKDAY(F1159, H1159, FESTIVOS!A$1:A$55), "")</f>
        <v/>
      </c>
      <c r="K1159" s="3"/>
      <c r="L1159" s="3" t="str">
        <f t="shared" ca="1" si="59"/>
        <v/>
      </c>
      <c r="M1159" s="3" t="str">
        <f t="shared" ca="1" si="60"/>
        <v/>
      </c>
    </row>
    <row r="1160" spans="2:13" ht="15.75" x14ac:dyDescent="0.25">
      <c r="B1160" s="18"/>
      <c r="C1160" s="18"/>
      <c r="D1160" s="18"/>
      <c r="E1160" s="16"/>
      <c r="F1160" s="17"/>
      <c r="G1160" s="3"/>
      <c r="H1160" s="3" t="str">
        <f t="shared" si="58"/>
        <v/>
      </c>
      <c r="I1160" s="3" t="str">
        <f ca="1">IF(AND(F1160&lt;&gt;"", J1160&lt;&gt;""), NETWORKDAYS(TODAY(), J1160-1, FESTIVOS!A$1:A$55), "")</f>
        <v/>
      </c>
      <c r="J1160" s="4" t="str">
        <f>IF(AND(F1160&lt;&gt;"", H1160&lt;&gt;""), WORKDAY(F1160, H1160, FESTIVOS!A$1:A$55), "")</f>
        <v/>
      </c>
      <c r="K1160" s="3"/>
      <c r="L1160" s="3" t="str">
        <f t="shared" ca="1" si="59"/>
        <v/>
      </c>
      <c r="M1160" s="3" t="str">
        <f t="shared" ca="1" si="60"/>
        <v/>
      </c>
    </row>
    <row r="1161" spans="2:13" ht="15.75" x14ac:dyDescent="0.25">
      <c r="B1161" s="18"/>
      <c r="C1161" s="18"/>
      <c r="D1161" s="18"/>
      <c r="E1161" s="16"/>
      <c r="F1161" s="17"/>
      <c r="G1161" s="3"/>
      <c r="H1161" s="3" t="str">
        <f t="shared" si="58"/>
        <v/>
      </c>
      <c r="I1161" s="3" t="str">
        <f ca="1">IF(AND(F1161&lt;&gt;"", J1161&lt;&gt;""), NETWORKDAYS(TODAY(), J1161-1, FESTIVOS!A$1:A$55), "")</f>
        <v/>
      </c>
      <c r="J1161" s="4" t="str">
        <f>IF(AND(F1161&lt;&gt;"", H1161&lt;&gt;""), WORKDAY(F1161, H1161, FESTIVOS!A$1:A$55), "")</f>
        <v/>
      </c>
      <c r="K1161" s="3"/>
      <c r="L1161" s="3" t="str">
        <f t="shared" ca="1" si="59"/>
        <v/>
      </c>
      <c r="M1161" s="3" t="str">
        <f t="shared" ca="1" si="60"/>
        <v/>
      </c>
    </row>
    <row r="1162" spans="2:13" ht="15.75" x14ac:dyDescent="0.25">
      <c r="B1162" s="18"/>
      <c r="C1162" s="18"/>
      <c r="D1162" s="18"/>
      <c r="E1162" s="16"/>
      <c r="F1162" s="17"/>
      <c r="G1162" s="3"/>
      <c r="H1162" s="3" t="str">
        <f t="shared" si="58"/>
        <v/>
      </c>
      <c r="I1162" s="3" t="str">
        <f ca="1">IF(AND(F1162&lt;&gt;"", J1162&lt;&gt;""), NETWORKDAYS(TODAY(), J1162-1, FESTIVOS!A$1:A$55), "")</f>
        <v/>
      </c>
      <c r="J1162" s="4" t="str">
        <f>IF(AND(F1162&lt;&gt;"", H1162&lt;&gt;""), WORKDAY(F1162, H1162, FESTIVOS!A$1:A$55), "")</f>
        <v/>
      </c>
      <c r="K1162" s="3"/>
      <c r="L1162" s="3" t="str">
        <f t="shared" ca="1" si="59"/>
        <v/>
      </c>
      <c r="M1162" s="3" t="str">
        <f t="shared" ca="1" si="60"/>
        <v/>
      </c>
    </row>
    <row r="1163" spans="2:13" ht="15.75" x14ac:dyDescent="0.25">
      <c r="B1163" s="18"/>
      <c r="C1163" s="18"/>
      <c r="D1163" s="18"/>
      <c r="E1163" s="16"/>
      <c r="F1163" s="17"/>
      <c r="G1163" s="3"/>
      <c r="H1163" s="3" t="str">
        <f t="shared" si="58"/>
        <v/>
      </c>
      <c r="I1163" s="3" t="str">
        <f ca="1">IF(AND(F1163&lt;&gt;"", J1163&lt;&gt;""), NETWORKDAYS(TODAY(), J1163-1, FESTIVOS!A$1:A$55), "")</f>
        <v/>
      </c>
      <c r="J1163" s="4" t="str">
        <f>IF(AND(F1163&lt;&gt;"", H1163&lt;&gt;""), WORKDAY(F1163, H1163, FESTIVOS!A$1:A$55), "")</f>
        <v/>
      </c>
      <c r="K1163" s="3"/>
      <c r="L1163" s="3" t="str">
        <f t="shared" ca="1" si="59"/>
        <v/>
      </c>
      <c r="M1163" s="3" t="str">
        <f t="shared" ca="1" si="60"/>
        <v/>
      </c>
    </row>
    <row r="1164" spans="2:13" ht="15.75" x14ac:dyDescent="0.25">
      <c r="B1164" s="18"/>
      <c r="C1164" s="18"/>
      <c r="D1164" s="18"/>
      <c r="E1164" s="16"/>
      <c r="F1164" s="17"/>
      <c r="G1164" s="3"/>
      <c r="H1164" s="3" t="str">
        <f t="shared" si="58"/>
        <v/>
      </c>
      <c r="I1164" s="3" t="str">
        <f ca="1">IF(AND(F1164&lt;&gt;"", J1164&lt;&gt;""), NETWORKDAYS(TODAY(), J1164-1, FESTIVOS!A$1:A$55), "")</f>
        <v/>
      </c>
      <c r="J1164" s="4" t="str">
        <f>IF(AND(F1164&lt;&gt;"", H1164&lt;&gt;""), WORKDAY(F1164, H1164, FESTIVOS!A$1:A$55), "")</f>
        <v/>
      </c>
      <c r="K1164" s="3"/>
      <c r="L1164" s="3" t="str">
        <f t="shared" ca="1" si="59"/>
        <v/>
      </c>
      <c r="M1164" s="3" t="str">
        <f t="shared" ca="1" si="60"/>
        <v/>
      </c>
    </row>
    <row r="1165" spans="2:13" ht="15.75" x14ac:dyDescent="0.25">
      <c r="B1165" s="18"/>
      <c r="C1165" s="18"/>
      <c r="D1165" s="18"/>
      <c r="E1165" s="16"/>
      <c r="F1165" s="17"/>
      <c r="G1165" s="3"/>
      <c r="H1165" s="3" t="str">
        <f t="shared" si="58"/>
        <v/>
      </c>
      <c r="I1165" s="3" t="str">
        <f ca="1">IF(AND(F1165&lt;&gt;"", J1165&lt;&gt;""), NETWORKDAYS(TODAY(), J1165-1, FESTIVOS!A$1:A$55), "")</f>
        <v/>
      </c>
      <c r="J1165" s="4" t="str">
        <f>IF(AND(F1165&lt;&gt;"", H1165&lt;&gt;""), WORKDAY(F1165, H1165, FESTIVOS!A$1:A$55), "")</f>
        <v/>
      </c>
      <c r="K1165" s="3"/>
      <c r="L1165" s="3" t="str">
        <f t="shared" ca="1" si="59"/>
        <v/>
      </c>
      <c r="M1165" s="3" t="str">
        <f t="shared" ca="1" si="60"/>
        <v/>
      </c>
    </row>
    <row r="1166" spans="2:13" ht="15.75" x14ac:dyDescent="0.25">
      <c r="B1166" s="18"/>
      <c r="C1166" s="18"/>
      <c r="D1166" s="18"/>
      <c r="E1166" s="16"/>
      <c r="F1166" s="17"/>
      <c r="G1166" s="3"/>
      <c r="H1166" s="3" t="str">
        <f t="shared" si="58"/>
        <v/>
      </c>
      <c r="I1166" s="3" t="str">
        <f ca="1">IF(AND(F1166&lt;&gt;"", J1166&lt;&gt;""), NETWORKDAYS(TODAY(), J1166-1, FESTIVOS!A$1:A$55), "")</f>
        <v/>
      </c>
      <c r="J1166" s="4" t="str">
        <f>IF(AND(F1166&lt;&gt;"", H1166&lt;&gt;""), WORKDAY(F1166, H1166, FESTIVOS!A$1:A$55), "")</f>
        <v/>
      </c>
      <c r="K1166" s="3"/>
      <c r="L1166" s="3" t="str">
        <f t="shared" ca="1" si="59"/>
        <v/>
      </c>
      <c r="M1166" s="3" t="str">
        <f t="shared" ca="1" si="60"/>
        <v/>
      </c>
    </row>
    <row r="1167" spans="2:13" ht="15.75" x14ac:dyDescent="0.25">
      <c r="B1167" s="18"/>
      <c r="C1167" s="18"/>
      <c r="D1167" s="18"/>
      <c r="E1167" s="16"/>
      <c r="F1167" s="17"/>
      <c r="G1167" s="3"/>
      <c r="H1167" s="3" t="str">
        <f t="shared" si="58"/>
        <v/>
      </c>
      <c r="I1167" s="3" t="str">
        <f ca="1">IF(AND(F1167&lt;&gt;"", J1167&lt;&gt;""), NETWORKDAYS(TODAY(), J1167-1, FESTIVOS!A$1:A$55), "")</f>
        <v/>
      </c>
      <c r="J1167" s="4" t="str">
        <f>IF(AND(F1167&lt;&gt;"", H1167&lt;&gt;""), WORKDAY(F1167, H1167, FESTIVOS!A$1:A$55), "")</f>
        <v/>
      </c>
      <c r="K1167" s="3"/>
      <c r="L1167" s="3" t="str">
        <f t="shared" ca="1" si="59"/>
        <v/>
      </c>
      <c r="M1167" s="3" t="str">
        <f t="shared" ca="1" si="60"/>
        <v/>
      </c>
    </row>
    <row r="1168" spans="2:13" ht="15.75" x14ac:dyDescent="0.25">
      <c r="B1168" s="18"/>
      <c r="C1168" s="18"/>
      <c r="D1168" s="18"/>
      <c r="E1168" s="16"/>
      <c r="F1168" s="17"/>
      <c r="G1168" s="3"/>
      <c r="H1168" s="3" t="str">
        <f t="shared" si="58"/>
        <v/>
      </c>
      <c r="I1168" s="3" t="str">
        <f ca="1">IF(AND(F1168&lt;&gt;"", J1168&lt;&gt;""), NETWORKDAYS(TODAY(), J1168-1, FESTIVOS!A$1:A$55), "")</f>
        <v/>
      </c>
      <c r="J1168" s="4" t="str">
        <f>IF(AND(F1168&lt;&gt;"", H1168&lt;&gt;""), WORKDAY(F1168, H1168, FESTIVOS!A$1:A$55), "")</f>
        <v/>
      </c>
      <c r="K1168" s="3"/>
      <c r="L1168" s="3" t="str">
        <f t="shared" ca="1" si="59"/>
        <v/>
      </c>
      <c r="M1168" s="3" t="str">
        <f t="shared" ca="1" si="60"/>
        <v/>
      </c>
    </row>
    <row r="1169" spans="2:13" ht="15.75" x14ac:dyDescent="0.25">
      <c r="B1169" s="18"/>
      <c r="C1169" s="18"/>
      <c r="D1169" s="18"/>
      <c r="E1169" s="16"/>
      <c r="F1169" s="17"/>
      <c r="G1169" s="3"/>
      <c r="H1169" s="3" t="str">
        <f t="shared" si="58"/>
        <v/>
      </c>
      <c r="I1169" s="3" t="str">
        <f ca="1">IF(AND(F1169&lt;&gt;"", J1169&lt;&gt;""), NETWORKDAYS(TODAY(), J1169-1, FESTIVOS!A$1:A$55), "")</f>
        <v/>
      </c>
      <c r="J1169" s="4" t="str">
        <f>IF(AND(F1169&lt;&gt;"", H1169&lt;&gt;""), WORKDAY(F1169, H1169, FESTIVOS!A$1:A$55), "")</f>
        <v/>
      </c>
      <c r="K1169" s="3"/>
      <c r="L1169" s="3" t="str">
        <f t="shared" ca="1" si="59"/>
        <v/>
      </c>
      <c r="M1169" s="3" t="str">
        <f t="shared" ca="1" si="60"/>
        <v/>
      </c>
    </row>
    <row r="1170" spans="2:13" ht="15.75" x14ac:dyDescent="0.25">
      <c r="B1170" s="18"/>
      <c r="C1170" s="18"/>
      <c r="D1170" s="18"/>
      <c r="E1170" s="16"/>
      <c r="F1170" s="17"/>
      <c r="G1170" s="3"/>
      <c r="H1170" s="3" t="str">
        <f t="shared" si="58"/>
        <v/>
      </c>
      <c r="I1170" s="3" t="str">
        <f ca="1">IF(AND(F1170&lt;&gt;"", J1170&lt;&gt;""), NETWORKDAYS(TODAY(), J1170-1, FESTIVOS!A$1:A$55), "")</f>
        <v/>
      </c>
      <c r="J1170" s="4" t="str">
        <f>IF(AND(F1170&lt;&gt;"", H1170&lt;&gt;""), WORKDAY(F1170, H1170, FESTIVOS!A$1:A$55), "")</f>
        <v/>
      </c>
      <c r="K1170" s="3"/>
      <c r="L1170" s="3" t="str">
        <f t="shared" ca="1" si="59"/>
        <v/>
      </c>
      <c r="M1170" s="3" t="str">
        <f t="shared" ca="1" si="60"/>
        <v/>
      </c>
    </row>
    <row r="1171" spans="2:13" ht="15.75" x14ac:dyDescent="0.25">
      <c r="B1171" s="18"/>
      <c r="C1171" s="18"/>
      <c r="D1171" s="18"/>
      <c r="E1171" s="16"/>
      <c r="F1171" s="17"/>
      <c r="G1171" s="3"/>
      <c r="H1171" s="3" t="str">
        <f t="shared" si="58"/>
        <v/>
      </c>
      <c r="I1171" s="3" t="str">
        <f ca="1">IF(AND(F1171&lt;&gt;"", J1171&lt;&gt;""), NETWORKDAYS(TODAY(), J1171-1, FESTIVOS!A$1:A$55), "")</f>
        <v/>
      </c>
      <c r="J1171" s="4" t="str">
        <f>IF(AND(F1171&lt;&gt;"", H1171&lt;&gt;""), WORKDAY(F1171, H1171, FESTIVOS!A$1:A$55), "")</f>
        <v/>
      </c>
      <c r="K1171" s="3"/>
      <c r="L1171" s="3" t="str">
        <f t="shared" ca="1" si="59"/>
        <v/>
      </c>
      <c r="M1171" s="3" t="str">
        <f t="shared" ca="1" si="60"/>
        <v/>
      </c>
    </row>
    <row r="1172" spans="2:13" ht="15.75" x14ac:dyDescent="0.25">
      <c r="B1172" s="18"/>
      <c r="C1172" s="18"/>
      <c r="D1172" s="18"/>
      <c r="E1172" s="16"/>
      <c r="F1172" s="17"/>
      <c r="G1172" s="3"/>
      <c r="H1172" s="3" t="str">
        <f t="shared" si="58"/>
        <v/>
      </c>
      <c r="I1172" s="3" t="str">
        <f ca="1">IF(AND(F1172&lt;&gt;"", J1172&lt;&gt;""), NETWORKDAYS(TODAY(), J1172-1, FESTIVOS!A$1:A$55), "")</f>
        <v/>
      </c>
      <c r="J1172" s="4" t="str">
        <f>IF(AND(F1172&lt;&gt;"", H1172&lt;&gt;""), WORKDAY(F1172, H1172, FESTIVOS!A$1:A$55), "")</f>
        <v/>
      </c>
      <c r="K1172" s="3"/>
      <c r="L1172" s="3" t="str">
        <f t="shared" ca="1" si="59"/>
        <v/>
      </c>
      <c r="M1172" s="3" t="str">
        <f t="shared" ca="1" si="60"/>
        <v/>
      </c>
    </row>
    <row r="1173" spans="2:13" ht="15.75" x14ac:dyDescent="0.25">
      <c r="B1173" s="18"/>
      <c r="C1173" s="18"/>
      <c r="D1173" s="18"/>
      <c r="E1173" s="16"/>
      <c r="F1173" s="17"/>
      <c r="G1173" s="3"/>
      <c r="H1173" s="3" t="str">
        <f t="shared" si="58"/>
        <v/>
      </c>
      <c r="I1173" s="3" t="str">
        <f ca="1">IF(AND(F1173&lt;&gt;"", J1173&lt;&gt;""), NETWORKDAYS(TODAY(), J1173-1, FESTIVOS!A$1:A$55), "")</f>
        <v/>
      </c>
      <c r="J1173" s="4" t="str">
        <f>IF(AND(F1173&lt;&gt;"", H1173&lt;&gt;""), WORKDAY(F1173, H1173, FESTIVOS!A$1:A$55), "")</f>
        <v/>
      </c>
      <c r="K1173" s="3"/>
      <c r="L1173" s="3" t="str">
        <f t="shared" ca="1" si="59"/>
        <v/>
      </c>
      <c r="M1173" s="3" t="str">
        <f t="shared" ca="1" si="60"/>
        <v/>
      </c>
    </row>
    <row r="1174" spans="2:13" ht="15.75" x14ac:dyDescent="0.25">
      <c r="B1174" s="18"/>
      <c r="C1174" s="18"/>
      <c r="D1174" s="18"/>
      <c r="E1174" s="16"/>
      <c r="F1174" s="17"/>
      <c r="G1174" s="3"/>
      <c r="H1174" s="3" t="str">
        <f t="shared" si="58"/>
        <v/>
      </c>
      <c r="I1174" s="3" t="str">
        <f ca="1">IF(AND(F1174&lt;&gt;"", J1174&lt;&gt;""), NETWORKDAYS(TODAY(), J1174-1, FESTIVOS!A$1:A$55), "")</f>
        <v/>
      </c>
      <c r="J1174" s="4" t="str">
        <f>IF(AND(F1174&lt;&gt;"", H1174&lt;&gt;""), WORKDAY(F1174, H1174, FESTIVOS!A$1:A$55), "")</f>
        <v/>
      </c>
      <c r="K1174" s="3"/>
      <c r="L1174" s="3" t="str">
        <f t="shared" ca="1" si="59"/>
        <v/>
      </c>
      <c r="M1174" s="3" t="str">
        <f t="shared" ca="1" si="60"/>
        <v/>
      </c>
    </row>
    <row r="1175" spans="2:13" ht="15.75" x14ac:dyDescent="0.25">
      <c r="B1175" s="18"/>
      <c r="C1175" s="18"/>
      <c r="D1175" s="18"/>
      <c r="E1175" s="16"/>
      <c r="F1175" s="17"/>
      <c r="G1175" s="3"/>
      <c r="H1175" s="3" t="str">
        <f t="shared" si="58"/>
        <v/>
      </c>
      <c r="I1175" s="3" t="str">
        <f ca="1">IF(AND(F1175&lt;&gt;"", J1175&lt;&gt;""), NETWORKDAYS(TODAY(), J1175-1, FESTIVOS!A$1:A$55), "")</f>
        <v/>
      </c>
      <c r="J1175" s="4" t="str">
        <f>IF(AND(F1175&lt;&gt;"", H1175&lt;&gt;""), WORKDAY(F1175, H1175, FESTIVOS!A$1:A$55), "")</f>
        <v/>
      </c>
      <c r="K1175" s="3"/>
      <c r="L1175" s="3" t="str">
        <f t="shared" ca="1" si="59"/>
        <v/>
      </c>
      <c r="M1175" s="3" t="str">
        <f t="shared" ca="1" si="60"/>
        <v/>
      </c>
    </row>
    <row r="1176" spans="2:13" ht="15.75" x14ac:dyDescent="0.25">
      <c r="B1176" s="18"/>
      <c r="C1176" s="18"/>
      <c r="D1176" s="18"/>
      <c r="E1176" s="16"/>
      <c r="F1176" s="17"/>
      <c r="G1176" s="3"/>
      <c r="H1176" s="3" t="str">
        <f t="shared" si="58"/>
        <v/>
      </c>
      <c r="I1176" s="3" t="str">
        <f ca="1">IF(AND(F1176&lt;&gt;"", J1176&lt;&gt;""), NETWORKDAYS(TODAY(), J1176-1, FESTIVOS!A$1:A$55), "")</f>
        <v/>
      </c>
      <c r="J1176" s="4" t="str">
        <f>IF(AND(F1176&lt;&gt;"", H1176&lt;&gt;""), WORKDAY(F1176, H1176, FESTIVOS!A$1:A$55), "")</f>
        <v/>
      </c>
      <c r="K1176" s="3"/>
      <c r="L1176" s="3" t="str">
        <f t="shared" ca="1" si="59"/>
        <v/>
      </c>
      <c r="M1176" s="3" t="str">
        <f t="shared" ca="1" si="60"/>
        <v/>
      </c>
    </row>
    <row r="1177" spans="2:13" ht="15.75" x14ac:dyDescent="0.25">
      <c r="B1177" s="18"/>
      <c r="C1177" s="18"/>
      <c r="D1177" s="18"/>
      <c r="E1177" s="16"/>
      <c r="F1177" s="17"/>
      <c r="G1177" s="3"/>
      <c r="H1177" s="3" t="str">
        <f t="shared" si="58"/>
        <v/>
      </c>
      <c r="I1177" s="3" t="str">
        <f ca="1">IF(AND(F1177&lt;&gt;"", J1177&lt;&gt;""), NETWORKDAYS(TODAY(), J1177-1, FESTIVOS!A$1:A$55), "")</f>
        <v/>
      </c>
      <c r="J1177" s="4" t="str">
        <f>IF(AND(F1177&lt;&gt;"", H1177&lt;&gt;""), WORKDAY(F1177, H1177, FESTIVOS!A$1:A$55), "")</f>
        <v/>
      </c>
      <c r="K1177" s="3"/>
      <c r="L1177" s="3" t="str">
        <f t="shared" ca="1" si="59"/>
        <v/>
      </c>
      <c r="M1177" s="3" t="str">
        <f t="shared" ca="1" si="60"/>
        <v/>
      </c>
    </row>
    <row r="1178" spans="2:13" ht="15.75" x14ac:dyDescent="0.25">
      <c r="B1178" s="18"/>
      <c r="C1178" s="18"/>
      <c r="D1178" s="18"/>
      <c r="E1178" s="16"/>
      <c r="F1178" s="17"/>
      <c r="G1178" s="3"/>
      <c r="H1178" s="3" t="str">
        <f t="shared" si="58"/>
        <v/>
      </c>
      <c r="I1178" s="3" t="str">
        <f ca="1">IF(AND(F1178&lt;&gt;"", J1178&lt;&gt;""), NETWORKDAYS(TODAY(), J1178-1, FESTIVOS!A$1:A$55), "")</f>
        <v/>
      </c>
      <c r="J1178" s="4" t="str">
        <f>IF(AND(F1178&lt;&gt;"", H1178&lt;&gt;""), WORKDAY(F1178, H1178, FESTIVOS!A$1:A$55), "")</f>
        <v/>
      </c>
      <c r="K1178" s="3"/>
      <c r="L1178" s="3" t="str">
        <f t="shared" ca="1" si="59"/>
        <v/>
      </c>
      <c r="M1178" s="3" t="str">
        <f t="shared" ca="1" si="60"/>
        <v/>
      </c>
    </row>
    <row r="1179" spans="2:13" ht="15.75" x14ac:dyDescent="0.25">
      <c r="B1179" s="18"/>
      <c r="C1179" s="18"/>
      <c r="D1179" s="18"/>
      <c r="E1179" s="16"/>
      <c r="F1179" s="17"/>
      <c r="G1179" s="3"/>
      <c r="H1179" s="3" t="str">
        <f t="shared" si="58"/>
        <v/>
      </c>
      <c r="I1179" s="3" t="str">
        <f ca="1">IF(AND(F1179&lt;&gt;"", J1179&lt;&gt;""), NETWORKDAYS(TODAY(), J1179-1, FESTIVOS!A$1:A$55), "")</f>
        <v/>
      </c>
      <c r="J1179" s="4" t="str">
        <f>IF(AND(F1179&lt;&gt;"", H1179&lt;&gt;""), WORKDAY(F1179, H1179, FESTIVOS!A$1:A$55), "")</f>
        <v/>
      </c>
      <c r="K1179" s="3"/>
      <c r="L1179" s="3" t="str">
        <f t="shared" ca="1" si="59"/>
        <v/>
      </c>
      <c r="M1179" s="3" t="str">
        <f t="shared" ca="1" si="60"/>
        <v/>
      </c>
    </row>
    <row r="1180" spans="2:13" ht="15.75" x14ac:dyDescent="0.25">
      <c r="B1180" s="18"/>
      <c r="C1180" s="18"/>
      <c r="D1180" s="18"/>
      <c r="E1180" s="16"/>
      <c r="F1180" s="17"/>
      <c r="G1180" s="3"/>
      <c r="H1180" s="3" t="str">
        <f t="shared" si="58"/>
        <v/>
      </c>
      <c r="I1180" s="3" t="str">
        <f ca="1">IF(AND(F1180&lt;&gt;"", J1180&lt;&gt;""), NETWORKDAYS(TODAY(), J1180-1, FESTIVOS!A$1:A$55), "")</f>
        <v/>
      </c>
      <c r="J1180" s="4" t="str">
        <f>IF(AND(F1180&lt;&gt;"", H1180&lt;&gt;""), WORKDAY(F1180, H1180, FESTIVOS!A$1:A$55), "")</f>
        <v/>
      </c>
      <c r="K1180" s="3"/>
      <c r="L1180" s="3" t="str">
        <f t="shared" ca="1" si="59"/>
        <v/>
      </c>
      <c r="M1180" s="3" t="str">
        <f t="shared" ca="1" si="60"/>
        <v/>
      </c>
    </row>
    <row r="1181" spans="2:13" ht="15.75" x14ac:dyDescent="0.25">
      <c r="B1181" s="18"/>
      <c r="C1181" s="18"/>
      <c r="D1181" s="18"/>
      <c r="E1181" s="16"/>
      <c r="F1181" s="17"/>
      <c r="G1181" s="3"/>
      <c r="H1181" s="3" t="str">
        <f t="shared" si="58"/>
        <v/>
      </c>
      <c r="I1181" s="3" t="str">
        <f ca="1">IF(AND(F1181&lt;&gt;"", J1181&lt;&gt;""), NETWORKDAYS(TODAY(), J1181-1, FESTIVOS!A$1:A$55), "")</f>
        <v/>
      </c>
      <c r="J1181" s="4" t="str">
        <f>IF(AND(F1181&lt;&gt;"", H1181&lt;&gt;""), WORKDAY(F1181, H1181, FESTIVOS!A$1:A$55), "")</f>
        <v/>
      </c>
      <c r="K1181" s="3"/>
      <c r="L1181" s="3" t="str">
        <f t="shared" ca="1" si="59"/>
        <v/>
      </c>
      <c r="M1181" s="3" t="str">
        <f t="shared" ca="1" si="60"/>
        <v/>
      </c>
    </row>
    <row r="1182" spans="2:13" ht="15.75" x14ac:dyDescent="0.25">
      <c r="B1182" s="18"/>
      <c r="C1182" s="18"/>
      <c r="D1182" s="18"/>
      <c r="E1182" s="16"/>
      <c r="F1182" s="17"/>
      <c r="G1182" s="3"/>
      <c r="H1182" s="3" t="str">
        <f t="shared" si="58"/>
        <v/>
      </c>
      <c r="I1182" s="3" t="str">
        <f ca="1">IF(AND(F1182&lt;&gt;"", J1182&lt;&gt;""), NETWORKDAYS(TODAY(), J1182-1, FESTIVOS!A$1:A$55), "")</f>
        <v/>
      </c>
      <c r="J1182" s="4" t="str">
        <f>IF(AND(F1182&lt;&gt;"", H1182&lt;&gt;""), WORKDAY(F1182, H1182, FESTIVOS!A$1:A$55), "")</f>
        <v/>
      </c>
      <c r="K1182" s="3"/>
      <c r="L1182" s="3" t="str">
        <f t="shared" ca="1" si="59"/>
        <v/>
      </c>
      <c r="M1182" s="3" t="str">
        <f t="shared" ca="1" si="60"/>
        <v/>
      </c>
    </row>
    <row r="1183" spans="2:13" ht="15.75" x14ac:dyDescent="0.25">
      <c r="B1183" s="18"/>
      <c r="C1183" s="18"/>
      <c r="D1183" s="18"/>
      <c r="E1183" s="16"/>
      <c r="F1183" s="17"/>
      <c r="G1183" s="3"/>
      <c r="H1183" s="3" t="str">
        <f t="shared" si="58"/>
        <v/>
      </c>
      <c r="I1183" s="3" t="str">
        <f ca="1">IF(AND(F1183&lt;&gt;"", J1183&lt;&gt;""), NETWORKDAYS(TODAY(), J1183-1, FESTIVOS!A$1:A$55), "")</f>
        <v/>
      </c>
      <c r="J1183" s="4" t="str">
        <f>IF(AND(F1183&lt;&gt;"", H1183&lt;&gt;""), WORKDAY(F1183, H1183, FESTIVOS!A$1:A$55), "")</f>
        <v/>
      </c>
      <c r="K1183" s="3"/>
      <c r="L1183" s="3" t="str">
        <f t="shared" ca="1" si="59"/>
        <v/>
      </c>
      <c r="M1183" s="3" t="str">
        <f t="shared" ca="1" si="60"/>
        <v/>
      </c>
    </row>
    <row r="1184" spans="2:13" ht="15.75" x14ac:dyDescent="0.25">
      <c r="B1184" s="18"/>
      <c r="C1184" s="18"/>
      <c r="D1184" s="18"/>
      <c r="E1184" s="16"/>
      <c r="F1184" s="17"/>
      <c r="G1184" s="3"/>
      <c r="H1184" s="3" t="str">
        <f t="shared" si="58"/>
        <v/>
      </c>
      <c r="I1184" s="3" t="str">
        <f ca="1">IF(AND(F1184&lt;&gt;"", J1184&lt;&gt;""), NETWORKDAYS(TODAY(), J1184-1, FESTIVOS!A$1:A$55), "")</f>
        <v/>
      </c>
      <c r="J1184" s="4" t="str">
        <f>IF(AND(F1184&lt;&gt;"", H1184&lt;&gt;""), WORKDAY(F1184, H1184, FESTIVOS!A$1:A$55), "")</f>
        <v/>
      </c>
      <c r="K1184" s="3"/>
      <c r="L1184" s="3" t="str">
        <f t="shared" ca="1" si="59"/>
        <v/>
      </c>
      <c r="M1184" s="3" t="str">
        <f t="shared" ca="1" si="60"/>
        <v/>
      </c>
    </row>
    <row r="1185" spans="2:13" ht="15.75" x14ac:dyDescent="0.25">
      <c r="B1185" s="18"/>
      <c r="C1185" s="18"/>
      <c r="D1185" s="18"/>
      <c r="E1185" s="16"/>
      <c r="F1185" s="17"/>
      <c r="G1185" s="3"/>
      <c r="H1185" s="3" t="str">
        <f t="shared" si="58"/>
        <v/>
      </c>
      <c r="I1185" s="3" t="str">
        <f ca="1">IF(AND(F1185&lt;&gt;"", J1185&lt;&gt;""), NETWORKDAYS(TODAY(), J1185-1, FESTIVOS!A$1:A$55), "")</f>
        <v/>
      </c>
      <c r="J1185" s="4" t="str">
        <f>IF(AND(F1185&lt;&gt;"", H1185&lt;&gt;""), WORKDAY(F1185, H1185, FESTIVOS!A$1:A$55), "")</f>
        <v/>
      </c>
      <c r="K1185" s="3"/>
      <c r="L1185" s="3" t="str">
        <f t="shared" ca="1" si="59"/>
        <v/>
      </c>
      <c r="M1185" s="3" t="str">
        <f t="shared" ca="1" si="60"/>
        <v/>
      </c>
    </row>
    <row r="1186" spans="2:13" ht="15.75" x14ac:dyDescent="0.25">
      <c r="B1186" s="18"/>
      <c r="C1186" s="18"/>
      <c r="D1186" s="18"/>
      <c r="E1186" s="16"/>
      <c r="F1186" s="17"/>
      <c r="G1186" s="3"/>
      <c r="H1186" s="3" t="str">
        <f t="shared" si="58"/>
        <v/>
      </c>
      <c r="I1186" s="3" t="str">
        <f ca="1">IF(AND(F1186&lt;&gt;"", J1186&lt;&gt;""), NETWORKDAYS(TODAY(), J1186-1, FESTIVOS!A$1:A$55), "")</f>
        <v/>
      </c>
      <c r="J1186" s="4" t="str">
        <f>IF(AND(F1186&lt;&gt;"", H1186&lt;&gt;""), WORKDAY(F1186, H1186, FESTIVOS!A$1:A$55), "")</f>
        <v/>
      </c>
      <c r="K1186" s="3"/>
      <c r="L1186" s="3" t="str">
        <f t="shared" ca="1" si="59"/>
        <v/>
      </c>
      <c r="M1186" s="3" t="str">
        <f t="shared" ca="1" si="60"/>
        <v/>
      </c>
    </row>
    <row r="1187" spans="2:13" ht="15.75" x14ac:dyDescent="0.25">
      <c r="B1187" s="18"/>
      <c r="C1187" s="18"/>
      <c r="D1187" s="18"/>
      <c r="E1187" s="16"/>
      <c r="F1187" s="17"/>
      <c r="G1187" s="3"/>
      <c r="H1187" s="3" t="str">
        <f t="shared" si="58"/>
        <v/>
      </c>
      <c r="I1187" s="3" t="str">
        <f ca="1">IF(AND(F1187&lt;&gt;"", J1187&lt;&gt;""), NETWORKDAYS(TODAY(), J1187-1, FESTIVOS!A$1:A$55), "")</f>
        <v/>
      </c>
      <c r="J1187" s="4" t="str">
        <f>IF(AND(F1187&lt;&gt;"", H1187&lt;&gt;""), WORKDAY(F1187, H1187, FESTIVOS!A$1:A$55), "")</f>
        <v/>
      </c>
      <c r="K1187" s="3"/>
      <c r="L1187" s="3" t="str">
        <f t="shared" ca="1" si="59"/>
        <v/>
      </c>
      <c r="M1187" s="3" t="str">
        <f t="shared" ca="1" si="60"/>
        <v/>
      </c>
    </row>
    <row r="1188" spans="2:13" ht="15.75" x14ac:dyDescent="0.25">
      <c r="B1188" s="18"/>
      <c r="C1188" s="18"/>
      <c r="D1188" s="18"/>
      <c r="E1188" s="16"/>
      <c r="F1188" s="17"/>
      <c r="G1188" s="3"/>
      <c r="H1188" s="3" t="str">
        <f t="shared" si="58"/>
        <v/>
      </c>
      <c r="I1188" s="3" t="str">
        <f ca="1">IF(AND(F1188&lt;&gt;"", J1188&lt;&gt;""), NETWORKDAYS(TODAY(), J1188-1, FESTIVOS!A$1:A$55), "")</f>
        <v/>
      </c>
      <c r="J1188" s="4" t="str">
        <f>IF(AND(F1188&lt;&gt;"", H1188&lt;&gt;""), WORKDAY(F1188, H1188, FESTIVOS!A$1:A$55), "")</f>
        <v/>
      </c>
      <c r="K1188" s="3"/>
      <c r="L1188" s="3" t="str">
        <f t="shared" ca="1" si="59"/>
        <v/>
      </c>
      <c r="M1188" s="3" t="str">
        <f t="shared" ca="1" si="60"/>
        <v/>
      </c>
    </row>
    <row r="1189" spans="2:13" ht="15.75" x14ac:dyDescent="0.25">
      <c r="B1189" s="18"/>
      <c r="C1189" s="18"/>
      <c r="D1189" s="18"/>
      <c r="E1189" s="16"/>
      <c r="F1189" s="17"/>
      <c r="G1189" s="3"/>
      <c r="H1189" s="3" t="str">
        <f t="shared" si="58"/>
        <v/>
      </c>
      <c r="I1189" s="3" t="str">
        <f ca="1">IF(AND(F1189&lt;&gt;"", J1189&lt;&gt;""), NETWORKDAYS(TODAY(), J1189-1, FESTIVOS!A$1:A$55), "")</f>
        <v/>
      </c>
      <c r="J1189" s="4" t="str">
        <f>IF(AND(F1189&lt;&gt;"", H1189&lt;&gt;""), WORKDAY(F1189, H1189, FESTIVOS!A$1:A$55), "")</f>
        <v/>
      </c>
      <c r="K1189" s="3"/>
      <c r="L1189" s="3" t="str">
        <f t="shared" ca="1" si="59"/>
        <v/>
      </c>
      <c r="M1189" s="3" t="str">
        <f t="shared" ca="1" si="60"/>
        <v/>
      </c>
    </row>
    <row r="1190" spans="2:13" ht="15.75" x14ac:dyDescent="0.25">
      <c r="B1190" s="18"/>
      <c r="C1190" s="18"/>
      <c r="D1190" s="18"/>
      <c r="E1190" s="16"/>
      <c r="F1190" s="17"/>
      <c r="G1190" s="3"/>
      <c r="H1190" s="3" t="str">
        <f t="shared" si="58"/>
        <v/>
      </c>
      <c r="I1190" s="3" t="str">
        <f ca="1">IF(AND(F1190&lt;&gt;"", J1190&lt;&gt;""), NETWORKDAYS(TODAY(), J1190-1, FESTIVOS!A$1:A$55), "")</f>
        <v/>
      </c>
      <c r="J1190" s="4" t="str">
        <f>IF(AND(F1190&lt;&gt;"", H1190&lt;&gt;""), WORKDAY(F1190, H1190, FESTIVOS!A$1:A$55), "")</f>
        <v/>
      </c>
      <c r="K1190" s="3"/>
      <c r="L1190" s="3" t="str">
        <f t="shared" ca="1" si="59"/>
        <v/>
      </c>
      <c r="M1190" s="3" t="str">
        <f t="shared" ca="1" si="60"/>
        <v/>
      </c>
    </row>
    <row r="1191" spans="2:13" ht="15.75" x14ac:dyDescent="0.25">
      <c r="B1191" s="18"/>
      <c r="C1191" s="18"/>
      <c r="D1191" s="18"/>
      <c r="E1191" s="16"/>
      <c r="F1191" s="17"/>
      <c r="G1191" s="3"/>
      <c r="H1191" s="3" t="str">
        <f t="shared" si="58"/>
        <v/>
      </c>
      <c r="I1191" s="3" t="str">
        <f ca="1">IF(AND(F1191&lt;&gt;"", J1191&lt;&gt;""), NETWORKDAYS(TODAY(), J1191-1, FESTIVOS!A$1:A$55), "")</f>
        <v/>
      </c>
      <c r="J1191" s="4" t="str">
        <f>IF(AND(F1191&lt;&gt;"", H1191&lt;&gt;""), WORKDAY(F1191, H1191, FESTIVOS!A$1:A$55), "")</f>
        <v/>
      </c>
      <c r="K1191" s="3"/>
      <c r="L1191" s="3" t="str">
        <f t="shared" ca="1" si="59"/>
        <v/>
      </c>
      <c r="M1191" s="3" t="str">
        <f t="shared" ca="1" si="60"/>
        <v/>
      </c>
    </row>
    <row r="1192" spans="2:13" ht="15.75" x14ac:dyDescent="0.25">
      <c r="B1192" s="18"/>
      <c r="C1192" s="18"/>
      <c r="D1192" s="18"/>
      <c r="E1192" s="16"/>
      <c r="F1192" s="17"/>
      <c r="G1192" s="3"/>
      <c r="H1192" s="3" t="str">
        <f t="shared" si="58"/>
        <v/>
      </c>
      <c r="I1192" s="3" t="str">
        <f ca="1">IF(AND(F1192&lt;&gt;"", J1192&lt;&gt;""), NETWORKDAYS(TODAY(), J1192-1, FESTIVOS!A$1:A$55), "")</f>
        <v/>
      </c>
      <c r="J1192" s="4" t="str">
        <f>IF(AND(F1192&lt;&gt;"", H1192&lt;&gt;""), WORKDAY(F1192, H1192, FESTIVOS!A$1:A$55), "")</f>
        <v/>
      </c>
      <c r="K1192" s="3"/>
      <c r="L1192" s="3" t="str">
        <f t="shared" ca="1" si="59"/>
        <v/>
      </c>
      <c r="M1192" s="3" t="str">
        <f t="shared" ca="1" si="60"/>
        <v/>
      </c>
    </row>
    <row r="1193" spans="2:13" ht="15.75" x14ac:dyDescent="0.25">
      <c r="B1193" s="18"/>
      <c r="C1193" s="18"/>
      <c r="D1193" s="18"/>
      <c r="E1193" s="16"/>
      <c r="F1193" s="17"/>
      <c r="G1193" s="3"/>
      <c r="H1193" s="3" t="str">
        <f t="shared" si="58"/>
        <v/>
      </c>
      <c r="I1193" s="3" t="str">
        <f ca="1">IF(AND(F1193&lt;&gt;"", J1193&lt;&gt;""), NETWORKDAYS(TODAY(), J1193-1, FESTIVOS!A$1:A$55), "")</f>
        <v/>
      </c>
      <c r="J1193" s="4" t="str">
        <f>IF(AND(F1193&lt;&gt;"", H1193&lt;&gt;""), WORKDAY(F1193, H1193, FESTIVOS!A$1:A$55), "")</f>
        <v/>
      </c>
      <c r="K1193" s="3"/>
      <c r="L1193" s="3" t="str">
        <f t="shared" ca="1" si="59"/>
        <v/>
      </c>
      <c r="M1193" s="3" t="str">
        <f t="shared" ca="1" si="60"/>
        <v/>
      </c>
    </row>
    <row r="1194" spans="2:13" ht="15.75" x14ac:dyDescent="0.25">
      <c r="B1194" s="18"/>
      <c r="C1194" s="18"/>
      <c r="D1194" s="18"/>
      <c r="E1194" s="16"/>
      <c r="F1194" s="17"/>
      <c r="G1194" s="3"/>
      <c r="H1194" s="3" t="str">
        <f t="shared" si="58"/>
        <v/>
      </c>
      <c r="I1194" s="3" t="str">
        <f ca="1">IF(AND(F1194&lt;&gt;"", J1194&lt;&gt;""), NETWORKDAYS(TODAY(), J1194-1, FESTIVOS!A$1:A$55), "")</f>
        <v/>
      </c>
      <c r="J1194" s="4" t="str">
        <f>IF(AND(F1194&lt;&gt;"", H1194&lt;&gt;""), WORKDAY(F1194, H1194, FESTIVOS!A$1:A$55), "")</f>
        <v/>
      </c>
      <c r="K1194" s="3"/>
      <c r="L1194" s="3" t="str">
        <f t="shared" ca="1" si="59"/>
        <v/>
      </c>
      <c r="M1194" s="3" t="str">
        <f t="shared" ca="1" si="60"/>
        <v/>
      </c>
    </row>
    <row r="1195" spans="2:13" ht="15.75" x14ac:dyDescent="0.25">
      <c r="B1195" s="18"/>
      <c r="C1195" s="18"/>
      <c r="D1195" s="18"/>
      <c r="E1195" s="16"/>
      <c r="F1195" s="17"/>
      <c r="G1195" s="3"/>
      <c r="H1195" s="3" t="str">
        <f t="shared" si="58"/>
        <v/>
      </c>
      <c r="I1195" s="3" t="str">
        <f ca="1">IF(AND(F1195&lt;&gt;"", J1195&lt;&gt;""), NETWORKDAYS(TODAY(), J1195-1, FESTIVOS!A$1:A$55), "")</f>
        <v/>
      </c>
      <c r="J1195" s="4" t="str">
        <f>IF(AND(F1195&lt;&gt;"", H1195&lt;&gt;""), WORKDAY(F1195, H1195, FESTIVOS!A$1:A$55), "")</f>
        <v/>
      </c>
      <c r="K1195" s="3"/>
      <c r="L1195" s="3" t="str">
        <f t="shared" ca="1" si="59"/>
        <v/>
      </c>
      <c r="M1195" s="3" t="str">
        <f t="shared" ca="1" si="60"/>
        <v/>
      </c>
    </row>
    <row r="1196" spans="2:13" ht="15.75" x14ac:dyDescent="0.25">
      <c r="B1196" s="18"/>
      <c r="C1196" s="18"/>
      <c r="D1196" s="18"/>
      <c r="E1196" s="16"/>
      <c r="F1196" s="17"/>
      <c r="G1196" s="3"/>
      <c r="H1196" s="3" t="str">
        <f t="shared" si="58"/>
        <v/>
      </c>
      <c r="I1196" s="3" t="str">
        <f ca="1">IF(AND(F1196&lt;&gt;"", J1196&lt;&gt;""), NETWORKDAYS(TODAY(), J1196-1, FESTIVOS!A$1:A$55), "")</f>
        <v/>
      </c>
      <c r="J1196" s="4" t="str">
        <f>IF(AND(F1196&lt;&gt;"", H1196&lt;&gt;""), WORKDAY(F1196, H1196, FESTIVOS!A$1:A$55), "")</f>
        <v/>
      </c>
      <c r="K1196" s="3"/>
      <c r="L1196" s="3" t="str">
        <f t="shared" ca="1" si="59"/>
        <v/>
      </c>
      <c r="M1196" s="3" t="str">
        <f t="shared" ca="1" si="60"/>
        <v/>
      </c>
    </row>
    <row r="1197" spans="2:13" ht="15.75" x14ac:dyDescent="0.25">
      <c r="B1197" s="18"/>
      <c r="C1197" s="18"/>
      <c r="D1197" s="18"/>
      <c r="E1197" s="16"/>
      <c r="F1197" s="17"/>
      <c r="G1197" s="3"/>
      <c r="H1197" s="3" t="str">
        <f t="shared" si="58"/>
        <v/>
      </c>
      <c r="I1197" s="3" t="str">
        <f ca="1">IF(AND(F1197&lt;&gt;"", J1197&lt;&gt;""), NETWORKDAYS(TODAY(), J1197-1, FESTIVOS!A$1:A$55), "")</f>
        <v/>
      </c>
      <c r="J1197" s="4" t="str">
        <f>IF(AND(F1197&lt;&gt;"", H1197&lt;&gt;""), WORKDAY(F1197, H1197, FESTIVOS!A$1:A$55), "")</f>
        <v/>
      </c>
      <c r="K1197" s="3"/>
      <c r="L1197" s="3" t="str">
        <f t="shared" ca="1" si="59"/>
        <v/>
      </c>
      <c r="M1197" s="3" t="str">
        <f t="shared" ca="1" si="60"/>
        <v/>
      </c>
    </row>
    <row r="1198" spans="2:13" ht="15.75" x14ac:dyDescent="0.25">
      <c r="B1198" s="18"/>
      <c r="C1198" s="18"/>
      <c r="D1198" s="18"/>
      <c r="E1198" s="16"/>
      <c r="F1198" s="17"/>
      <c r="G1198" s="3"/>
      <c r="H1198" s="3" t="str">
        <f t="shared" si="58"/>
        <v/>
      </c>
      <c r="I1198" s="3" t="str">
        <f ca="1">IF(AND(F1198&lt;&gt;"", J1198&lt;&gt;""), NETWORKDAYS(TODAY(), J1198-1, FESTIVOS!A$1:A$55), "")</f>
        <v/>
      </c>
      <c r="J1198" s="4" t="str">
        <f>IF(AND(F1198&lt;&gt;"", H1198&lt;&gt;""), WORKDAY(F1198, H1198, FESTIVOS!A$1:A$55), "")</f>
        <v/>
      </c>
      <c r="K1198" s="3"/>
      <c r="L1198" s="3" t="str">
        <f t="shared" ca="1" si="59"/>
        <v/>
      </c>
      <c r="M1198" s="3" t="str">
        <f t="shared" ca="1" si="60"/>
        <v/>
      </c>
    </row>
    <row r="1199" spans="2:13" ht="15.75" x14ac:dyDescent="0.25">
      <c r="B1199" s="18"/>
      <c r="C1199" s="18"/>
      <c r="D1199" s="18"/>
      <c r="E1199" s="16"/>
      <c r="F1199" s="17"/>
      <c r="G1199" s="3"/>
      <c r="H1199" s="3" t="str">
        <f t="shared" si="58"/>
        <v/>
      </c>
      <c r="I1199" s="3" t="str">
        <f ca="1">IF(AND(F1199&lt;&gt;"", J1199&lt;&gt;""), NETWORKDAYS(TODAY(), J1199-1, FESTIVOS!A$1:A$55), "")</f>
        <v/>
      </c>
      <c r="J1199" s="4" t="str">
        <f>IF(AND(F1199&lt;&gt;"", H1199&lt;&gt;""), WORKDAY(F1199, H1199, FESTIVOS!A$1:A$55), "")</f>
        <v/>
      </c>
      <c r="K1199" s="3"/>
      <c r="L1199" s="3" t="str">
        <f t="shared" ca="1" si="59"/>
        <v/>
      </c>
      <c r="M1199" s="3" t="str">
        <f t="shared" ca="1" si="60"/>
        <v/>
      </c>
    </row>
    <row r="1200" spans="2:13" ht="15.75" x14ac:dyDescent="0.25">
      <c r="B1200" s="18"/>
      <c r="C1200" s="18"/>
      <c r="D1200" s="18"/>
      <c r="E1200" s="16"/>
      <c r="F1200" s="17"/>
      <c r="G1200" s="3"/>
      <c r="H1200" s="3" t="str">
        <f t="shared" si="58"/>
        <v/>
      </c>
      <c r="I1200" s="3" t="str">
        <f ca="1">IF(AND(F1200&lt;&gt;"", J1200&lt;&gt;""), NETWORKDAYS(TODAY(), J1200-1, FESTIVOS!A$1:A$55), "")</f>
        <v/>
      </c>
      <c r="J1200" s="4" t="str">
        <f>IF(AND(F1200&lt;&gt;"", H1200&lt;&gt;""), WORKDAY(F1200, H1200, FESTIVOS!A$1:A$55), "")</f>
        <v/>
      </c>
      <c r="K1200" s="3"/>
      <c r="L1200" s="3" t="str">
        <f t="shared" ca="1" si="59"/>
        <v/>
      </c>
      <c r="M1200" s="3" t="str">
        <f t="shared" ca="1" si="60"/>
        <v/>
      </c>
    </row>
    <row r="1201" spans="2:13" ht="15.75" x14ac:dyDescent="0.25">
      <c r="B1201" s="18"/>
      <c r="C1201" s="18"/>
      <c r="D1201" s="18"/>
      <c r="E1201" s="16"/>
      <c r="F1201" s="17"/>
      <c r="G1201" s="3"/>
      <c r="H1201" s="3" t="str">
        <f t="shared" si="58"/>
        <v/>
      </c>
      <c r="I1201" s="3" t="str">
        <f ca="1">IF(AND(F1201&lt;&gt;"", J1201&lt;&gt;""), NETWORKDAYS(TODAY(), J1201-1, FESTIVOS!A$1:A$55), "")</f>
        <v/>
      </c>
      <c r="J1201" s="4" t="str">
        <f>IF(AND(F1201&lt;&gt;"", H1201&lt;&gt;""), WORKDAY(F1201, H1201, FESTIVOS!A$1:A$55), "")</f>
        <v/>
      </c>
      <c r="K1201" s="3"/>
      <c r="L1201" s="3" t="str">
        <f t="shared" ca="1" si="59"/>
        <v/>
      </c>
      <c r="M1201" s="3" t="str">
        <f t="shared" ca="1" si="60"/>
        <v/>
      </c>
    </row>
    <row r="1202" spans="2:13" ht="15.75" x14ac:dyDescent="0.25">
      <c r="B1202" s="18"/>
      <c r="C1202" s="18"/>
      <c r="D1202" s="18"/>
      <c r="E1202" s="16"/>
      <c r="F1202" s="17"/>
      <c r="G1202" s="3"/>
      <c r="H1202" s="3" t="str">
        <f t="shared" si="58"/>
        <v/>
      </c>
      <c r="I1202" s="3" t="str">
        <f ca="1">IF(AND(F1202&lt;&gt;"", J1202&lt;&gt;""), NETWORKDAYS(TODAY(), J1202-1, FESTIVOS!A$1:A$55), "")</f>
        <v/>
      </c>
      <c r="J1202" s="4" t="str">
        <f>IF(AND(F1202&lt;&gt;"", H1202&lt;&gt;""), WORKDAY(F1202, H1202, FESTIVOS!A$1:A$55), "")</f>
        <v/>
      </c>
      <c r="K1202" s="3"/>
      <c r="L1202" s="3" t="str">
        <f t="shared" ca="1" si="59"/>
        <v/>
      </c>
      <c r="M1202" s="3" t="str">
        <f t="shared" ca="1" si="60"/>
        <v/>
      </c>
    </row>
    <row r="1203" spans="2:13" ht="15.75" x14ac:dyDescent="0.25">
      <c r="B1203" s="18"/>
      <c r="C1203" s="18"/>
      <c r="D1203" s="18"/>
      <c r="E1203" s="16"/>
      <c r="F1203" s="17"/>
      <c r="G1203" s="3"/>
      <c r="H1203" s="3" t="str">
        <f t="shared" si="58"/>
        <v/>
      </c>
      <c r="I1203" s="3" t="str">
        <f ca="1">IF(AND(F1203&lt;&gt;"", J1203&lt;&gt;""), NETWORKDAYS(TODAY(), J1203-1, FESTIVOS!A$1:A$55), "")</f>
        <v/>
      </c>
      <c r="J1203" s="4" t="str">
        <f>IF(AND(F1203&lt;&gt;"", H1203&lt;&gt;""), WORKDAY(F1203, H1203, FESTIVOS!A$1:A$55), "")</f>
        <v/>
      </c>
      <c r="K1203" s="3"/>
      <c r="L1203" s="3" t="str">
        <f t="shared" ca="1" si="59"/>
        <v/>
      </c>
      <c r="M1203" s="3" t="str">
        <f t="shared" ca="1" si="60"/>
        <v/>
      </c>
    </row>
    <row r="1204" spans="2:13" ht="15.75" x14ac:dyDescent="0.25">
      <c r="B1204" s="18"/>
      <c r="C1204" s="18"/>
      <c r="D1204" s="18"/>
      <c r="E1204" s="16"/>
      <c r="F1204" s="17"/>
      <c r="G1204" s="3"/>
      <c r="H1204" s="3" t="str">
        <f t="shared" si="58"/>
        <v/>
      </c>
      <c r="I1204" s="3" t="str">
        <f ca="1">IF(AND(F1204&lt;&gt;"", J1204&lt;&gt;""), NETWORKDAYS(TODAY(), J1204-1, FESTIVOS!A$1:A$55), "")</f>
        <v/>
      </c>
      <c r="J1204" s="4" t="str">
        <f>IF(AND(F1204&lt;&gt;"", H1204&lt;&gt;""), WORKDAY(F1204, H1204, FESTIVOS!A$1:A$55), "")</f>
        <v/>
      </c>
      <c r="K1204" s="3"/>
      <c r="L1204" s="3" t="str">
        <f t="shared" ca="1" si="59"/>
        <v/>
      </c>
      <c r="M1204" s="3" t="str">
        <f t="shared" ca="1" si="60"/>
        <v/>
      </c>
    </row>
    <row r="1205" spans="2:13" ht="15.75" x14ac:dyDescent="0.25">
      <c r="B1205" s="18"/>
      <c r="C1205" s="18"/>
      <c r="D1205" s="18"/>
      <c r="E1205" s="16"/>
      <c r="F1205" s="17"/>
      <c r="G1205" s="3"/>
      <c r="H1205" s="3" t="str">
        <f t="shared" si="58"/>
        <v/>
      </c>
      <c r="I1205" s="3" t="str">
        <f ca="1">IF(AND(F1205&lt;&gt;"", J1205&lt;&gt;""), NETWORKDAYS(TODAY(), J1205-1, FESTIVOS!A$1:A$55), "")</f>
        <v/>
      </c>
      <c r="J1205" s="4" t="str">
        <f>IF(AND(F1205&lt;&gt;"", H1205&lt;&gt;""), WORKDAY(F1205, H1205, FESTIVOS!A$1:A$55), "")</f>
        <v/>
      </c>
      <c r="K1205" s="3"/>
      <c r="L1205" s="3" t="str">
        <f t="shared" ca="1" si="59"/>
        <v/>
      </c>
      <c r="M1205" s="3" t="str">
        <f t="shared" ca="1" si="60"/>
        <v/>
      </c>
    </row>
    <row r="1206" spans="2:13" ht="15.75" x14ac:dyDescent="0.25">
      <c r="B1206" s="18"/>
      <c r="C1206" s="18"/>
      <c r="D1206" s="18"/>
      <c r="E1206" s="16"/>
      <c r="F1206" s="17"/>
      <c r="G1206" s="3"/>
      <c r="H1206" s="3" t="str">
        <f t="shared" ref="H1206:H1242" si="61">IF(A1206="INFORMACIÓN O DOCUMENTOS", 10, IF(A1206="CONSULTA", 30, IF(A1206="FACTURACIÓN Y COBROS", 15, IF(A1206="VINCULACIÓN Y DESVINCULACIÓN", 15, IF(A1206="NO ES DE NUESTRA COMPETENCIA", 5, IF(A1206="OTRO", 15, ""))))))</f>
        <v/>
      </c>
      <c r="I1206" s="3" t="str">
        <f ca="1">IF(AND(F1206&lt;&gt;"", J1206&lt;&gt;""), NETWORKDAYS(TODAY(), J1206-1, FESTIVOS!A$1:A$55), "")</f>
        <v/>
      </c>
      <c r="J1206" s="4" t="str">
        <f>IF(AND(F1206&lt;&gt;"", H1206&lt;&gt;""), WORKDAY(F1206, H1206, FESTIVOS!A$1:A$55), "")</f>
        <v/>
      </c>
      <c r="K1206" s="3"/>
      <c r="L1206" s="3" t="str">
        <f t="shared" ref="L1206:L1242" ca="1" si="62">IF(I1206="", "", MAX(0, I1206 - (TODAY() - TODAY())))</f>
        <v/>
      </c>
      <c r="M1206" s="3" t="str">
        <f t="shared" ref="M1206:M1242" ca="1" si="63">IF(OR(I1206="", H1206=""), "", IF(I1206&lt;0, "Vencido", IF(I1206&gt;(H1206/2), "Supere la mitad", "Bajo la mitad")))</f>
        <v/>
      </c>
    </row>
    <row r="1207" spans="2:13" ht="15.75" x14ac:dyDescent="0.25">
      <c r="B1207" s="18"/>
      <c r="C1207" s="18"/>
      <c r="D1207" s="18"/>
      <c r="E1207" s="16"/>
      <c r="F1207" s="17"/>
      <c r="G1207" s="3"/>
      <c r="H1207" s="3" t="str">
        <f t="shared" si="61"/>
        <v/>
      </c>
      <c r="I1207" s="3" t="str">
        <f ca="1">IF(AND(F1207&lt;&gt;"", J1207&lt;&gt;""), NETWORKDAYS(TODAY(), J1207-1, FESTIVOS!A$1:A$55), "")</f>
        <v/>
      </c>
      <c r="J1207" s="4" t="str">
        <f>IF(AND(F1207&lt;&gt;"", H1207&lt;&gt;""), WORKDAY(F1207, H1207, FESTIVOS!A$1:A$55), "")</f>
        <v/>
      </c>
      <c r="K1207" s="3"/>
      <c r="L1207" s="3" t="str">
        <f t="shared" ca="1" si="62"/>
        <v/>
      </c>
      <c r="M1207" s="3" t="str">
        <f t="shared" ca="1" si="63"/>
        <v/>
      </c>
    </row>
    <row r="1208" spans="2:13" ht="15.75" x14ac:dyDescent="0.25">
      <c r="B1208" s="18"/>
      <c r="C1208" s="18"/>
      <c r="D1208" s="18"/>
      <c r="E1208" s="16"/>
      <c r="F1208" s="17"/>
      <c r="G1208" s="3"/>
      <c r="H1208" s="3" t="str">
        <f t="shared" si="61"/>
        <v/>
      </c>
      <c r="I1208" s="3" t="str">
        <f ca="1">IF(AND(F1208&lt;&gt;"", J1208&lt;&gt;""), NETWORKDAYS(TODAY(), J1208-1, FESTIVOS!A$1:A$55), "")</f>
        <v/>
      </c>
      <c r="J1208" s="4" t="str">
        <f>IF(AND(F1208&lt;&gt;"", H1208&lt;&gt;""), WORKDAY(F1208, H1208, FESTIVOS!A$1:A$55), "")</f>
        <v/>
      </c>
      <c r="K1208" s="3"/>
      <c r="L1208" s="3" t="str">
        <f t="shared" ca="1" si="62"/>
        <v/>
      </c>
      <c r="M1208" s="3" t="str">
        <f t="shared" ca="1" si="63"/>
        <v/>
      </c>
    </row>
    <row r="1209" spans="2:13" ht="15.75" x14ac:dyDescent="0.25">
      <c r="B1209" s="18"/>
      <c r="C1209" s="18"/>
      <c r="D1209" s="18"/>
      <c r="E1209" s="16"/>
      <c r="F1209" s="17"/>
      <c r="G1209" s="3"/>
      <c r="H1209" s="3" t="str">
        <f t="shared" si="61"/>
        <v/>
      </c>
      <c r="I1209" s="3" t="str">
        <f ca="1">IF(AND(F1209&lt;&gt;"", J1209&lt;&gt;""), NETWORKDAYS(TODAY(), J1209-1, FESTIVOS!A$1:A$55), "")</f>
        <v/>
      </c>
      <c r="J1209" s="4" t="str">
        <f>IF(AND(F1209&lt;&gt;"", H1209&lt;&gt;""), WORKDAY(F1209, H1209, FESTIVOS!A$1:A$55), "")</f>
        <v/>
      </c>
      <c r="K1209" s="3"/>
      <c r="L1209" s="3" t="str">
        <f t="shared" ca="1" si="62"/>
        <v/>
      </c>
      <c r="M1209" s="3" t="str">
        <f t="shared" ca="1" si="63"/>
        <v/>
      </c>
    </row>
    <row r="1210" spans="2:13" ht="15.75" x14ac:dyDescent="0.25">
      <c r="B1210" s="18"/>
      <c r="C1210" s="18"/>
      <c r="D1210" s="18"/>
      <c r="E1210" s="16"/>
      <c r="F1210" s="17"/>
      <c r="G1210" s="3"/>
      <c r="H1210" s="3" t="str">
        <f t="shared" si="61"/>
        <v/>
      </c>
      <c r="I1210" s="3" t="str">
        <f ca="1">IF(AND(F1210&lt;&gt;"", J1210&lt;&gt;""), NETWORKDAYS(TODAY(), J1210-1, FESTIVOS!A$1:A$55), "")</f>
        <v/>
      </c>
      <c r="J1210" s="4" t="str">
        <f>IF(AND(F1210&lt;&gt;"", H1210&lt;&gt;""), WORKDAY(F1210, H1210, FESTIVOS!A$1:A$55), "")</f>
        <v/>
      </c>
      <c r="K1210" s="3"/>
      <c r="L1210" s="3" t="str">
        <f t="shared" ca="1" si="62"/>
        <v/>
      </c>
      <c r="M1210" s="3" t="str">
        <f t="shared" ca="1" si="63"/>
        <v/>
      </c>
    </row>
    <row r="1211" spans="2:13" ht="15.75" x14ac:dyDescent="0.25">
      <c r="B1211" s="18"/>
      <c r="C1211" s="18"/>
      <c r="D1211" s="18"/>
      <c r="E1211" s="16"/>
      <c r="F1211" s="17"/>
      <c r="G1211" s="3"/>
      <c r="H1211" s="3" t="str">
        <f t="shared" si="61"/>
        <v/>
      </c>
      <c r="I1211" s="3" t="str">
        <f ca="1">IF(AND(F1211&lt;&gt;"", J1211&lt;&gt;""), NETWORKDAYS(TODAY(), J1211-1, FESTIVOS!A$1:A$55), "")</f>
        <v/>
      </c>
      <c r="J1211" s="4" t="str">
        <f>IF(AND(F1211&lt;&gt;"", H1211&lt;&gt;""), WORKDAY(F1211, H1211, FESTIVOS!A$1:A$55), "")</f>
        <v/>
      </c>
      <c r="K1211" s="3"/>
      <c r="L1211" s="3" t="str">
        <f t="shared" ca="1" si="62"/>
        <v/>
      </c>
      <c r="M1211" s="3" t="str">
        <f t="shared" ca="1" si="63"/>
        <v/>
      </c>
    </row>
    <row r="1212" spans="2:13" ht="15.75" x14ac:dyDescent="0.25">
      <c r="B1212" s="18"/>
      <c r="C1212" s="18"/>
      <c r="D1212" s="18"/>
      <c r="E1212" s="16"/>
      <c r="F1212" s="17"/>
      <c r="G1212" s="3"/>
      <c r="H1212" s="3" t="str">
        <f t="shared" si="61"/>
        <v/>
      </c>
      <c r="I1212" s="3" t="str">
        <f ca="1">IF(AND(F1212&lt;&gt;"", J1212&lt;&gt;""), NETWORKDAYS(TODAY(), J1212-1, FESTIVOS!A$1:A$55), "")</f>
        <v/>
      </c>
      <c r="J1212" s="4" t="str">
        <f>IF(AND(F1212&lt;&gt;"", H1212&lt;&gt;""), WORKDAY(F1212, H1212, FESTIVOS!A$1:A$55), "")</f>
        <v/>
      </c>
      <c r="K1212" s="3"/>
      <c r="L1212" s="3" t="str">
        <f t="shared" ca="1" si="62"/>
        <v/>
      </c>
      <c r="M1212" s="3" t="str">
        <f t="shared" ca="1" si="63"/>
        <v/>
      </c>
    </row>
    <row r="1213" spans="2:13" ht="15.75" x14ac:dyDescent="0.25">
      <c r="B1213" s="18"/>
      <c r="C1213" s="18"/>
      <c r="D1213" s="18"/>
      <c r="E1213" s="16"/>
      <c r="F1213" s="17"/>
      <c r="G1213" s="3"/>
      <c r="H1213" s="3" t="str">
        <f t="shared" si="61"/>
        <v/>
      </c>
      <c r="I1213" s="3" t="str">
        <f ca="1">IF(AND(F1213&lt;&gt;"", J1213&lt;&gt;""), NETWORKDAYS(TODAY(), J1213-1, FESTIVOS!A$1:A$55), "")</f>
        <v/>
      </c>
      <c r="J1213" s="4" t="str">
        <f>IF(AND(F1213&lt;&gt;"", H1213&lt;&gt;""), WORKDAY(F1213, H1213, FESTIVOS!A$1:A$55), "")</f>
        <v/>
      </c>
      <c r="K1213" s="3"/>
      <c r="L1213" s="3" t="str">
        <f t="shared" ca="1" si="62"/>
        <v/>
      </c>
      <c r="M1213" s="3" t="str">
        <f t="shared" ca="1" si="63"/>
        <v/>
      </c>
    </row>
    <row r="1214" spans="2:13" ht="15.75" x14ac:dyDescent="0.25">
      <c r="B1214" s="18"/>
      <c r="C1214" s="18"/>
      <c r="D1214" s="18"/>
      <c r="E1214" s="16"/>
      <c r="F1214" s="17"/>
      <c r="G1214" s="3"/>
      <c r="H1214" s="3" t="str">
        <f t="shared" si="61"/>
        <v/>
      </c>
      <c r="I1214" s="3" t="str">
        <f ca="1">IF(AND(F1214&lt;&gt;"", J1214&lt;&gt;""), NETWORKDAYS(TODAY(), J1214-1, FESTIVOS!A$1:A$55), "")</f>
        <v/>
      </c>
      <c r="J1214" s="4" t="str">
        <f>IF(AND(F1214&lt;&gt;"", H1214&lt;&gt;""), WORKDAY(F1214, H1214, FESTIVOS!A$1:A$55), "")</f>
        <v/>
      </c>
      <c r="K1214" s="3"/>
      <c r="L1214" s="3" t="str">
        <f t="shared" ca="1" si="62"/>
        <v/>
      </c>
      <c r="M1214" s="3" t="str">
        <f t="shared" ca="1" si="63"/>
        <v/>
      </c>
    </row>
    <row r="1215" spans="2:13" ht="15.75" x14ac:dyDescent="0.25">
      <c r="B1215" s="18"/>
      <c r="C1215" s="18"/>
      <c r="D1215" s="18"/>
      <c r="E1215" s="16"/>
      <c r="F1215" s="17"/>
      <c r="G1215" s="3"/>
      <c r="H1215" s="3" t="str">
        <f t="shared" si="61"/>
        <v/>
      </c>
      <c r="I1215" s="3" t="str">
        <f ca="1">IF(AND(F1215&lt;&gt;"", J1215&lt;&gt;""), NETWORKDAYS(TODAY(), J1215-1, FESTIVOS!A$1:A$55), "")</f>
        <v/>
      </c>
      <c r="J1215" s="4" t="str">
        <f>IF(AND(F1215&lt;&gt;"", H1215&lt;&gt;""), WORKDAY(F1215, H1215, FESTIVOS!A$1:A$55), "")</f>
        <v/>
      </c>
      <c r="K1215" s="3"/>
      <c r="L1215" s="3" t="str">
        <f t="shared" ca="1" si="62"/>
        <v/>
      </c>
      <c r="M1215" s="3" t="str">
        <f t="shared" ca="1" si="63"/>
        <v/>
      </c>
    </row>
    <row r="1216" spans="2:13" ht="15.75" x14ac:dyDescent="0.25">
      <c r="B1216" s="18"/>
      <c r="C1216" s="18"/>
      <c r="D1216" s="18"/>
      <c r="E1216" s="16"/>
      <c r="F1216" s="17"/>
      <c r="G1216" s="3"/>
      <c r="H1216" s="3" t="str">
        <f t="shared" si="61"/>
        <v/>
      </c>
      <c r="I1216" s="3" t="str">
        <f ca="1">IF(AND(F1216&lt;&gt;"", J1216&lt;&gt;""), NETWORKDAYS(TODAY(), J1216-1, FESTIVOS!A$1:A$55), "")</f>
        <v/>
      </c>
      <c r="J1216" s="4" t="str">
        <f>IF(AND(F1216&lt;&gt;"", H1216&lt;&gt;""), WORKDAY(F1216, H1216, FESTIVOS!A$1:A$55), "")</f>
        <v/>
      </c>
      <c r="K1216" s="3"/>
      <c r="L1216" s="3" t="str">
        <f t="shared" ca="1" si="62"/>
        <v/>
      </c>
      <c r="M1216" s="3" t="str">
        <f t="shared" ca="1" si="63"/>
        <v/>
      </c>
    </row>
    <row r="1217" spans="2:13" ht="15.75" x14ac:dyDescent="0.25">
      <c r="B1217" s="18"/>
      <c r="C1217" s="18"/>
      <c r="D1217" s="18"/>
      <c r="E1217" s="16"/>
      <c r="F1217" s="17"/>
      <c r="G1217" s="3"/>
      <c r="H1217" s="3" t="str">
        <f t="shared" si="61"/>
        <v/>
      </c>
      <c r="I1217" s="3" t="str">
        <f ca="1">IF(AND(F1217&lt;&gt;"", J1217&lt;&gt;""), NETWORKDAYS(TODAY(), J1217-1, FESTIVOS!A$1:A$55), "")</f>
        <v/>
      </c>
      <c r="J1217" s="4" t="str">
        <f>IF(AND(F1217&lt;&gt;"", H1217&lt;&gt;""), WORKDAY(F1217, H1217, FESTIVOS!A$1:A$55), "")</f>
        <v/>
      </c>
      <c r="K1217" s="3"/>
      <c r="L1217" s="3" t="str">
        <f t="shared" ca="1" si="62"/>
        <v/>
      </c>
      <c r="M1217" s="3" t="str">
        <f t="shared" ca="1" si="63"/>
        <v/>
      </c>
    </row>
    <row r="1218" spans="2:13" ht="15.75" x14ac:dyDescent="0.25">
      <c r="B1218" s="18"/>
      <c r="C1218" s="18"/>
      <c r="D1218" s="18"/>
      <c r="E1218" s="16"/>
      <c r="F1218" s="17"/>
      <c r="G1218" s="3"/>
      <c r="H1218" s="3" t="str">
        <f t="shared" si="61"/>
        <v/>
      </c>
      <c r="I1218" s="3" t="str">
        <f ca="1">IF(AND(F1218&lt;&gt;"", J1218&lt;&gt;""), NETWORKDAYS(TODAY(), J1218-1, FESTIVOS!A$1:A$55), "")</f>
        <v/>
      </c>
      <c r="J1218" s="4" t="str">
        <f>IF(AND(F1218&lt;&gt;"", H1218&lt;&gt;""), WORKDAY(F1218, H1218, FESTIVOS!A$1:A$55), "")</f>
        <v/>
      </c>
      <c r="K1218" s="3"/>
      <c r="L1218" s="3" t="str">
        <f t="shared" ca="1" si="62"/>
        <v/>
      </c>
      <c r="M1218" s="3" t="str">
        <f t="shared" ca="1" si="63"/>
        <v/>
      </c>
    </row>
    <row r="1219" spans="2:13" ht="15.75" x14ac:dyDescent="0.25">
      <c r="B1219" s="18"/>
      <c r="C1219" s="18"/>
      <c r="D1219" s="18"/>
      <c r="E1219" s="16"/>
      <c r="F1219" s="17"/>
      <c r="G1219" s="3"/>
      <c r="H1219" s="3" t="str">
        <f t="shared" si="61"/>
        <v/>
      </c>
      <c r="I1219" s="3" t="str">
        <f ca="1">IF(AND(F1219&lt;&gt;"", J1219&lt;&gt;""), NETWORKDAYS(TODAY(), J1219-1, FESTIVOS!A$1:A$55), "")</f>
        <v/>
      </c>
      <c r="J1219" s="4" t="str">
        <f>IF(AND(F1219&lt;&gt;"", H1219&lt;&gt;""), WORKDAY(F1219, H1219, FESTIVOS!A$1:A$55), "")</f>
        <v/>
      </c>
      <c r="K1219" s="3"/>
      <c r="L1219" s="3" t="str">
        <f t="shared" ca="1" si="62"/>
        <v/>
      </c>
      <c r="M1219" s="3" t="str">
        <f t="shared" ca="1" si="63"/>
        <v/>
      </c>
    </row>
    <row r="1220" spans="2:13" ht="15.75" x14ac:dyDescent="0.25">
      <c r="B1220" s="18"/>
      <c r="C1220" s="18"/>
      <c r="D1220" s="18"/>
      <c r="E1220" s="16"/>
      <c r="F1220" s="17"/>
      <c r="G1220" s="3"/>
      <c r="H1220" s="3" t="str">
        <f t="shared" si="61"/>
        <v/>
      </c>
      <c r="I1220" s="3" t="str">
        <f ca="1">IF(AND(F1220&lt;&gt;"", J1220&lt;&gt;""), NETWORKDAYS(TODAY(), J1220-1, FESTIVOS!A$1:A$55), "")</f>
        <v/>
      </c>
      <c r="J1220" s="4" t="str">
        <f>IF(AND(F1220&lt;&gt;"", H1220&lt;&gt;""), WORKDAY(F1220, H1220, FESTIVOS!A$1:A$55), "")</f>
        <v/>
      </c>
      <c r="K1220" s="3"/>
      <c r="L1220" s="3" t="str">
        <f t="shared" ca="1" si="62"/>
        <v/>
      </c>
      <c r="M1220" s="3" t="str">
        <f t="shared" ca="1" si="63"/>
        <v/>
      </c>
    </row>
    <row r="1221" spans="2:13" ht="15.75" x14ac:dyDescent="0.25">
      <c r="B1221" s="18"/>
      <c r="C1221" s="18"/>
      <c r="D1221" s="18"/>
      <c r="E1221" s="16"/>
      <c r="F1221" s="17"/>
      <c r="G1221" s="3"/>
      <c r="H1221" s="3" t="str">
        <f t="shared" si="61"/>
        <v/>
      </c>
      <c r="I1221" s="3" t="str">
        <f ca="1">IF(AND(F1221&lt;&gt;"", J1221&lt;&gt;""), NETWORKDAYS(TODAY(), J1221-1, FESTIVOS!A$1:A$55), "")</f>
        <v/>
      </c>
      <c r="J1221" s="4" t="str">
        <f>IF(AND(F1221&lt;&gt;"", H1221&lt;&gt;""), WORKDAY(F1221, H1221, FESTIVOS!A$1:A$55), "")</f>
        <v/>
      </c>
      <c r="K1221" s="3"/>
      <c r="L1221" s="3" t="str">
        <f t="shared" ca="1" si="62"/>
        <v/>
      </c>
      <c r="M1221" s="3" t="str">
        <f t="shared" ca="1" si="63"/>
        <v/>
      </c>
    </row>
    <row r="1222" spans="2:13" ht="15.75" x14ac:dyDescent="0.25">
      <c r="B1222" s="18"/>
      <c r="C1222" s="18"/>
      <c r="D1222" s="18"/>
      <c r="E1222" s="16"/>
      <c r="F1222" s="17"/>
      <c r="G1222" s="3"/>
      <c r="H1222" s="3" t="str">
        <f t="shared" si="61"/>
        <v/>
      </c>
      <c r="I1222" s="3" t="str">
        <f ca="1">IF(AND(F1222&lt;&gt;"", J1222&lt;&gt;""), NETWORKDAYS(TODAY(), J1222-1, FESTIVOS!A$1:A$55), "")</f>
        <v/>
      </c>
      <c r="J1222" s="4" t="str">
        <f>IF(AND(F1222&lt;&gt;"", H1222&lt;&gt;""), WORKDAY(F1222, H1222, FESTIVOS!A$1:A$55), "")</f>
        <v/>
      </c>
      <c r="K1222" s="3"/>
      <c r="L1222" s="3" t="str">
        <f t="shared" ca="1" si="62"/>
        <v/>
      </c>
      <c r="M1222" s="3" t="str">
        <f t="shared" ca="1" si="63"/>
        <v/>
      </c>
    </row>
    <row r="1223" spans="2:13" ht="15.75" x14ac:dyDescent="0.25">
      <c r="B1223" s="18"/>
      <c r="C1223" s="18"/>
      <c r="D1223" s="18"/>
      <c r="E1223" s="16"/>
      <c r="F1223" s="17"/>
      <c r="G1223" s="3"/>
      <c r="H1223" s="3" t="str">
        <f t="shared" si="61"/>
        <v/>
      </c>
      <c r="I1223" s="3" t="str">
        <f ca="1">IF(AND(F1223&lt;&gt;"", J1223&lt;&gt;""), NETWORKDAYS(TODAY(), J1223-1, FESTIVOS!A$1:A$55), "")</f>
        <v/>
      </c>
      <c r="J1223" s="4" t="str">
        <f>IF(AND(F1223&lt;&gt;"", H1223&lt;&gt;""), WORKDAY(F1223, H1223, FESTIVOS!A$1:A$55), "")</f>
        <v/>
      </c>
      <c r="K1223" s="3"/>
      <c r="L1223" s="3" t="str">
        <f t="shared" ca="1" si="62"/>
        <v/>
      </c>
      <c r="M1223" s="3" t="str">
        <f t="shared" ca="1" si="63"/>
        <v/>
      </c>
    </row>
    <row r="1224" spans="2:13" ht="15.75" x14ac:dyDescent="0.25">
      <c r="B1224" s="18"/>
      <c r="C1224" s="18"/>
      <c r="D1224" s="18"/>
      <c r="E1224" s="16"/>
      <c r="F1224" s="17"/>
      <c r="G1224" s="3"/>
      <c r="H1224" s="3" t="str">
        <f t="shared" si="61"/>
        <v/>
      </c>
      <c r="I1224" s="3" t="str">
        <f ca="1">IF(AND(F1224&lt;&gt;"", J1224&lt;&gt;""), NETWORKDAYS(TODAY(), J1224-1, FESTIVOS!A$1:A$55), "")</f>
        <v/>
      </c>
      <c r="J1224" s="4" t="str">
        <f>IF(AND(F1224&lt;&gt;"", H1224&lt;&gt;""), WORKDAY(F1224, H1224, FESTIVOS!A$1:A$55), "")</f>
        <v/>
      </c>
      <c r="K1224" s="3"/>
      <c r="L1224" s="3" t="str">
        <f t="shared" ca="1" si="62"/>
        <v/>
      </c>
      <c r="M1224" s="3" t="str">
        <f t="shared" ca="1" si="63"/>
        <v/>
      </c>
    </row>
    <row r="1225" spans="2:13" ht="15.75" x14ac:dyDescent="0.25">
      <c r="B1225" s="18"/>
      <c r="C1225" s="18"/>
      <c r="D1225" s="18"/>
      <c r="E1225" s="16"/>
      <c r="F1225" s="17"/>
      <c r="G1225" s="3"/>
      <c r="H1225" s="3" t="str">
        <f t="shared" si="61"/>
        <v/>
      </c>
      <c r="I1225" s="3" t="str">
        <f ca="1">IF(AND(F1225&lt;&gt;"", J1225&lt;&gt;""), NETWORKDAYS(TODAY(), J1225-1, FESTIVOS!A$1:A$55), "")</f>
        <v/>
      </c>
      <c r="J1225" s="4" t="str">
        <f>IF(AND(F1225&lt;&gt;"", H1225&lt;&gt;""), WORKDAY(F1225, H1225, FESTIVOS!A$1:A$55), "")</f>
        <v/>
      </c>
      <c r="K1225" s="3"/>
      <c r="L1225" s="3" t="str">
        <f t="shared" ca="1" si="62"/>
        <v/>
      </c>
      <c r="M1225" s="3" t="str">
        <f t="shared" ca="1" si="63"/>
        <v/>
      </c>
    </row>
    <row r="1226" spans="2:13" ht="15.75" x14ac:dyDescent="0.25">
      <c r="B1226" s="18"/>
      <c r="C1226" s="18"/>
      <c r="D1226" s="18"/>
      <c r="E1226" s="16"/>
      <c r="F1226" s="17"/>
      <c r="G1226" s="3"/>
      <c r="H1226" s="3" t="str">
        <f t="shared" si="61"/>
        <v/>
      </c>
      <c r="I1226" s="3" t="str">
        <f ca="1">IF(AND(F1226&lt;&gt;"", J1226&lt;&gt;""), NETWORKDAYS(TODAY(), J1226-1, FESTIVOS!A$1:A$55), "")</f>
        <v/>
      </c>
      <c r="J1226" s="4" t="str">
        <f>IF(AND(F1226&lt;&gt;"", H1226&lt;&gt;""), WORKDAY(F1226, H1226, FESTIVOS!A$1:A$55), "")</f>
        <v/>
      </c>
      <c r="K1226" s="3"/>
      <c r="L1226" s="3" t="str">
        <f t="shared" ca="1" si="62"/>
        <v/>
      </c>
      <c r="M1226" s="3" t="str">
        <f t="shared" ca="1" si="63"/>
        <v/>
      </c>
    </row>
    <row r="1227" spans="2:13" ht="15.75" x14ac:dyDescent="0.25">
      <c r="B1227" s="18"/>
      <c r="C1227" s="18"/>
      <c r="D1227" s="18"/>
      <c r="E1227" s="16"/>
      <c r="F1227" s="17"/>
      <c r="G1227" s="3"/>
      <c r="H1227" s="3" t="str">
        <f t="shared" si="61"/>
        <v/>
      </c>
      <c r="I1227" s="3" t="str">
        <f ca="1">IF(AND(F1227&lt;&gt;"", J1227&lt;&gt;""), NETWORKDAYS(TODAY(), J1227-1, FESTIVOS!A$1:A$55), "")</f>
        <v/>
      </c>
      <c r="J1227" s="4" t="str">
        <f>IF(AND(F1227&lt;&gt;"", H1227&lt;&gt;""), WORKDAY(F1227, H1227, FESTIVOS!A$1:A$55), "")</f>
        <v/>
      </c>
      <c r="K1227" s="3"/>
      <c r="L1227" s="3" t="str">
        <f t="shared" ca="1" si="62"/>
        <v/>
      </c>
      <c r="M1227" s="3" t="str">
        <f t="shared" ca="1" si="63"/>
        <v/>
      </c>
    </row>
    <row r="1228" spans="2:13" ht="15.75" x14ac:dyDescent="0.25">
      <c r="B1228" s="18"/>
      <c r="C1228" s="18"/>
      <c r="D1228" s="18"/>
      <c r="E1228" s="16"/>
      <c r="F1228" s="17"/>
      <c r="G1228" s="3"/>
      <c r="H1228" s="3" t="str">
        <f t="shared" si="61"/>
        <v/>
      </c>
      <c r="I1228" s="3" t="str">
        <f ca="1">IF(AND(F1228&lt;&gt;"", J1228&lt;&gt;""), NETWORKDAYS(TODAY(), J1228-1, FESTIVOS!A$1:A$55), "")</f>
        <v/>
      </c>
      <c r="J1228" s="4" t="str">
        <f>IF(AND(F1228&lt;&gt;"", H1228&lt;&gt;""), WORKDAY(F1228, H1228, FESTIVOS!A$1:A$55), "")</f>
        <v/>
      </c>
      <c r="K1228" s="3"/>
      <c r="L1228" s="3" t="str">
        <f t="shared" ca="1" si="62"/>
        <v/>
      </c>
      <c r="M1228" s="3" t="str">
        <f t="shared" ca="1" si="63"/>
        <v/>
      </c>
    </row>
    <row r="1229" spans="2:13" ht="15.75" x14ac:dyDescent="0.25">
      <c r="B1229" s="18"/>
      <c r="C1229" s="18"/>
      <c r="D1229" s="18"/>
      <c r="E1229" s="16"/>
      <c r="F1229" s="17"/>
      <c r="G1229" s="3"/>
      <c r="H1229" s="3" t="str">
        <f t="shared" si="61"/>
        <v/>
      </c>
      <c r="I1229" s="3" t="str">
        <f ca="1">IF(AND(F1229&lt;&gt;"", J1229&lt;&gt;""), NETWORKDAYS(TODAY(), J1229-1, FESTIVOS!A$1:A$55), "")</f>
        <v/>
      </c>
      <c r="J1229" s="4" t="str">
        <f>IF(AND(F1229&lt;&gt;"", H1229&lt;&gt;""), WORKDAY(F1229, H1229, FESTIVOS!A$1:A$55), "")</f>
        <v/>
      </c>
      <c r="K1229" s="3"/>
      <c r="L1229" s="3" t="str">
        <f t="shared" ca="1" si="62"/>
        <v/>
      </c>
      <c r="M1229" s="3" t="str">
        <f t="shared" ca="1" si="63"/>
        <v/>
      </c>
    </row>
    <row r="1230" spans="2:13" ht="15.75" x14ac:dyDescent="0.25">
      <c r="B1230" s="18"/>
      <c r="C1230" s="18"/>
      <c r="D1230" s="18"/>
      <c r="E1230" s="16"/>
      <c r="F1230" s="17"/>
      <c r="G1230" s="3"/>
      <c r="H1230" s="3" t="str">
        <f t="shared" si="61"/>
        <v/>
      </c>
      <c r="I1230" s="3" t="str">
        <f ca="1">IF(AND(F1230&lt;&gt;"", J1230&lt;&gt;""), NETWORKDAYS(TODAY(), J1230-1, FESTIVOS!A$1:A$55), "")</f>
        <v/>
      </c>
      <c r="J1230" s="4" t="str">
        <f>IF(AND(F1230&lt;&gt;"", H1230&lt;&gt;""), WORKDAY(F1230, H1230, FESTIVOS!A$1:A$55), "")</f>
        <v/>
      </c>
      <c r="K1230" s="3"/>
      <c r="L1230" s="3" t="str">
        <f t="shared" ca="1" si="62"/>
        <v/>
      </c>
      <c r="M1230" s="3" t="str">
        <f t="shared" ca="1" si="63"/>
        <v/>
      </c>
    </row>
    <row r="1231" spans="2:13" ht="15.75" x14ac:dyDescent="0.25">
      <c r="B1231" s="18"/>
      <c r="C1231" s="18"/>
      <c r="D1231" s="18"/>
      <c r="E1231" s="16"/>
      <c r="F1231" s="17"/>
      <c r="G1231" s="3"/>
      <c r="H1231" s="3" t="str">
        <f t="shared" si="61"/>
        <v/>
      </c>
      <c r="I1231" s="3" t="str">
        <f ca="1">IF(AND(F1231&lt;&gt;"", J1231&lt;&gt;""), NETWORKDAYS(TODAY(), J1231-1, FESTIVOS!A$1:A$55), "")</f>
        <v/>
      </c>
      <c r="J1231" s="4" t="str">
        <f>IF(AND(F1231&lt;&gt;"", H1231&lt;&gt;""), WORKDAY(F1231, H1231, FESTIVOS!A$1:A$55), "")</f>
        <v/>
      </c>
      <c r="K1231" s="3"/>
      <c r="L1231" s="3" t="str">
        <f t="shared" ca="1" si="62"/>
        <v/>
      </c>
      <c r="M1231" s="3" t="str">
        <f t="shared" ca="1" si="63"/>
        <v/>
      </c>
    </row>
    <row r="1232" spans="2:13" ht="15.75" x14ac:dyDescent="0.25">
      <c r="B1232" s="18"/>
      <c r="C1232" s="18"/>
      <c r="D1232" s="18"/>
      <c r="E1232" s="16"/>
      <c r="F1232" s="17"/>
      <c r="G1232" s="3"/>
      <c r="H1232" s="3" t="str">
        <f t="shared" si="61"/>
        <v/>
      </c>
      <c r="I1232" s="3" t="str">
        <f ca="1">IF(AND(F1232&lt;&gt;"", J1232&lt;&gt;""), NETWORKDAYS(TODAY(), J1232-1, FESTIVOS!A$1:A$55), "")</f>
        <v/>
      </c>
      <c r="J1232" s="4" t="str">
        <f>IF(AND(F1232&lt;&gt;"", H1232&lt;&gt;""), WORKDAY(F1232, H1232, FESTIVOS!A$1:A$55), "")</f>
        <v/>
      </c>
      <c r="K1232" s="3"/>
      <c r="L1232" s="3" t="str">
        <f t="shared" ca="1" si="62"/>
        <v/>
      </c>
      <c r="M1232" s="3" t="str">
        <f t="shared" ca="1" si="63"/>
        <v/>
      </c>
    </row>
    <row r="1233" spans="2:13" ht="15.75" x14ac:dyDescent="0.25">
      <c r="B1233" s="18"/>
      <c r="C1233" s="18"/>
      <c r="D1233" s="18"/>
      <c r="E1233" s="16"/>
      <c r="F1233" s="17"/>
      <c r="G1233" s="3"/>
      <c r="H1233" s="3" t="str">
        <f t="shared" si="61"/>
        <v/>
      </c>
      <c r="I1233" s="3" t="str">
        <f ca="1">IF(AND(F1233&lt;&gt;"", J1233&lt;&gt;""), NETWORKDAYS(TODAY(), J1233-1, FESTIVOS!A$1:A$55), "")</f>
        <v/>
      </c>
      <c r="J1233" s="4" t="str">
        <f>IF(AND(F1233&lt;&gt;"", H1233&lt;&gt;""), WORKDAY(F1233, H1233, FESTIVOS!A$1:A$55), "")</f>
        <v/>
      </c>
      <c r="K1233" s="3"/>
      <c r="L1233" s="3" t="str">
        <f t="shared" ca="1" si="62"/>
        <v/>
      </c>
      <c r="M1233" s="3" t="str">
        <f t="shared" ca="1" si="63"/>
        <v/>
      </c>
    </row>
    <row r="1234" spans="2:13" ht="15.75" x14ac:dyDescent="0.25">
      <c r="B1234" s="18"/>
      <c r="C1234" s="18"/>
      <c r="D1234" s="18"/>
      <c r="E1234" s="16"/>
      <c r="F1234" s="17"/>
      <c r="G1234" s="3"/>
      <c r="H1234" s="3" t="str">
        <f t="shared" si="61"/>
        <v/>
      </c>
      <c r="I1234" s="3" t="str">
        <f ca="1">IF(AND(F1234&lt;&gt;"", J1234&lt;&gt;""), NETWORKDAYS(TODAY(), J1234-1, FESTIVOS!A$1:A$55), "")</f>
        <v/>
      </c>
      <c r="J1234" s="4" t="str">
        <f>IF(AND(F1234&lt;&gt;"", H1234&lt;&gt;""), WORKDAY(F1234, H1234, FESTIVOS!A$1:A$55), "")</f>
        <v/>
      </c>
      <c r="K1234" s="3"/>
      <c r="L1234" s="3" t="str">
        <f t="shared" ca="1" si="62"/>
        <v/>
      </c>
      <c r="M1234" s="3" t="str">
        <f t="shared" ca="1" si="63"/>
        <v/>
      </c>
    </row>
    <row r="1235" spans="2:13" ht="15.75" x14ac:dyDescent="0.25">
      <c r="B1235" s="18"/>
      <c r="C1235" s="18"/>
      <c r="D1235" s="18"/>
      <c r="E1235" s="16"/>
      <c r="F1235" s="17"/>
      <c r="G1235" s="3"/>
      <c r="H1235" s="3" t="str">
        <f t="shared" si="61"/>
        <v/>
      </c>
      <c r="I1235" s="3" t="str">
        <f ca="1">IF(AND(F1235&lt;&gt;"", J1235&lt;&gt;""), NETWORKDAYS(TODAY(), J1235-1, FESTIVOS!A$1:A$55), "")</f>
        <v/>
      </c>
      <c r="J1235" s="4" t="str">
        <f>IF(AND(F1235&lt;&gt;"", H1235&lt;&gt;""), WORKDAY(F1235, H1235, FESTIVOS!A$1:A$55), "")</f>
        <v/>
      </c>
      <c r="K1235" s="3"/>
      <c r="L1235" s="3" t="str">
        <f t="shared" ca="1" si="62"/>
        <v/>
      </c>
      <c r="M1235" s="3" t="str">
        <f t="shared" ca="1" si="63"/>
        <v/>
      </c>
    </row>
    <row r="1236" spans="2:13" ht="15.75" x14ac:dyDescent="0.25">
      <c r="B1236" s="18"/>
      <c r="C1236" s="18"/>
      <c r="D1236" s="18"/>
      <c r="E1236" s="16"/>
      <c r="F1236" s="17"/>
      <c r="G1236" s="3"/>
      <c r="H1236" s="3" t="str">
        <f t="shared" si="61"/>
        <v/>
      </c>
      <c r="I1236" s="3" t="str">
        <f ca="1">IF(AND(F1236&lt;&gt;"", J1236&lt;&gt;""), NETWORKDAYS(TODAY(), J1236-1, FESTIVOS!A$1:A$55), "")</f>
        <v/>
      </c>
      <c r="J1236" s="4" t="str">
        <f>IF(AND(F1236&lt;&gt;"", H1236&lt;&gt;""), WORKDAY(F1236, H1236, FESTIVOS!A$1:A$55), "")</f>
        <v/>
      </c>
      <c r="K1236" s="3"/>
      <c r="L1236" s="3" t="str">
        <f t="shared" ca="1" si="62"/>
        <v/>
      </c>
      <c r="M1236" s="3" t="str">
        <f t="shared" ca="1" si="63"/>
        <v/>
      </c>
    </row>
    <row r="1237" spans="2:13" ht="15.75" x14ac:dyDescent="0.25">
      <c r="B1237" s="18"/>
      <c r="C1237" s="18"/>
      <c r="D1237" s="18"/>
      <c r="E1237" s="16"/>
      <c r="F1237" s="17"/>
      <c r="G1237" s="3"/>
      <c r="H1237" s="3" t="str">
        <f t="shared" si="61"/>
        <v/>
      </c>
      <c r="I1237" s="3" t="str">
        <f ca="1">IF(AND(F1237&lt;&gt;"", J1237&lt;&gt;""), NETWORKDAYS(TODAY(), J1237-1, FESTIVOS!A$1:A$55), "")</f>
        <v/>
      </c>
      <c r="J1237" s="4" t="str">
        <f>IF(AND(F1237&lt;&gt;"", H1237&lt;&gt;""), WORKDAY(F1237, H1237, FESTIVOS!A$1:A$55), "")</f>
        <v/>
      </c>
      <c r="K1237" s="3"/>
      <c r="L1237" s="3" t="str">
        <f t="shared" ca="1" si="62"/>
        <v/>
      </c>
      <c r="M1237" s="3" t="str">
        <f t="shared" ca="1" si="63"/>
        <v/>
      </c>
    </row>
    <row r="1238" spans="2:13" ht="15.75" x14ac:dyDescent="0.25">
      <c r="B1238" s="18"/>
      <c r="C1238" s="18"/>
      <c r="D1238" s="18"/>
      <c r="E1238" s="16"/>
      <c r="F1238" s="17"/>
      <c r="G1238" s="3"/>
      <c r="H1238" s="3" t="str">
        <f t="shared" si="61"/>
        <v/>
      </c>
      <c r="I1238" s="3" t="str">
        <f ca="1">IF(AND(F1238&lt;&gt;"", J1238&lt;&gt;""), NETWORKDAYS(TODAY(), J1238-1, FESTIVOS!A$1:A$55), "")</f>
        <v/>
      </c>
      <c r="J1238" s="4" t="str">
        <f>IF(AND(F1238&lt;&gt;"", H1238&lt;&gt;""), WORKDAY(F1238, H1238, FESTIVOS!A$1:A$55), "")</f>
        <v/>
      </c>
      <c r="K1238" s="3"/>
      <c r="L1238" s="3" t="str">
        <f t="shared" ca="1" si="62"/>
        <v/>
      </c>
      <c r="M1238" s="3" t="str">
        <f t="shared" ca="1" si="63"/>
        <v/>
      </c>
    </row>
    <row r="1239" spans="2:13" ht="15.75" x14ac:dyDescent="0.25">
      <c r="B1239" s="18"/>
      <c r="C1239" s="18"/>
      <c r="D1239" s="18"/>
      <c r="E1239" s="16"/>
      <c r="F1239" s="17"/>
      <c r="G1239" s="3"/>
      <c r="H1239" s="3" t="str">
        <f t="shared" si="61"/>
        <v/>
      </c>
      <c r="I1239" s="3" t="str">
        <f ca="1">IF(AND(F1239&lt;&gt;"", J1239&lt;&gt;""), NETWORKDAYS(TODAY(), J1239-1, FESTIVOS!A$1:A$55), "")</f>
        <v/>
      </c>
      <c r="J1239" s="4" t="str">
        <f>IF(AND(F1239&lt;&gt;"", H1239&lt;&gt;""), WORKDAY(F1239, H1239, FESTIVOS!A$1:A$55), "")</f>
        <v/>
      </c>
      <c r="K1239" s="3"/>
      <c r="L1239" s="3" t="str">
        <f t="shared" ca="1" si="62"/>
        <v/>
      </c>
      <c r="M1239" s="3" t="str">
        <f t="shared" ca="1" si="63"/>
        <v/>
      </c>
    </row>
    <row r="1240" spans="2:13" ht="15.75" x14ac:dyDescent="0.25">
      <c r="B1240" s="18"/>
      <c r="C1240" s="18"/>
      <c r="D1240" s="18"/>
      <c r="E1240" s="16"/>
      <c r="F1240" s="17"/>
      <c r="G1240" s="3"/>
      <c r="H1240" s="3" t="str">
        <f t="shared" si="61"/>
        <v/>
      </c>
      <c r="I1240" s="3" t="str">
        <f ca="1">IF(AND(F1240&lt;&gt;"", J1240&lt;&gt;""), NETWORKDAYS(TODAY(), J1240-1, FESTIVOS!A$1:A$55), "")</f>
        <v/>
      </c>
      <c r="J1240" s="4" t="str">
        <f>IF(AND(F1240&lt;&gt;"", H1240&lt;&gt;""), WORKDAY(F1240, H1240, FESTIVOS!A$1:A$55), "")</f>
        <v/>
      </c>
      <c r="K1240" s="3"/>
      <c r="L1240" s="3" t="str">
        <f t="shared" ca="1" si="62"/>
        <v/>
      </c>
      <c r="M1240" s="3" t="str">
        <f t="shared" ca="1" si="63"/>
        <v/>
      </c>
    </row>
    <row r="1241" spans="2:13" ht="15.75" x14ac:dyDescent="0.25">
      <c r="B1241" s="18"/>
      <c r="C1241" s="18"/>
      <c r="D1241" s="18"/>
      <c r="E1241" s="16"/>
      <c r="F1241" s="17"/>
      <c r="G1241" s="3"/>
      <c r="H1241" s="3" t="str">
        <f t="shared" si="61"/>
        <v/>
      </c>
      <c r="I1241" s="3" t="str">
        <f ca="1">IF(AND(F1241&lt;&gt;"", J1241&lt;&gt;""), NETWORKDAYS(TODAY(), J1241-1, FESTIVOS!A$1:A$55), "")</f>
        <v/>
      </c>
      <c r="J1241" s="4" t="str">
        <f>IF(AND(F1241&lt;&gt;"", H1241&lt;&gt;""), WORKDAY(F1241, H1241, FESTIVOS!A$1:A$55), "")</f>
        <v/>
      </c>
      <c r="K1241" s="3"/>
      <c r="L1241" s="3" t="str">
        <f t="shared" ca="1" si="62"/>
        <v/>
      </c>
      <c r="M1241" s="3" t="str">
        <f t="shared" ca="1" si="63"/>
        <v/>
      </c>
    </row>
    <row r="1242" spans="2:13" ht="15.75" x14ac:dyDescent="0.25">
      <c r="B1242" s="18"/>
      <c r="C1242" s="18"/>
      <c r="D1242" s="18"/>
      <c r="E1242" s="16"/>
      <c r="F1242" s="17"/>
      <c r="G1242" s="3"/>
      <c r="H1242" s="3" t="str">
        <f t="shared" si="61"/>
        <v/>
      </c>
      <c r="I1242" s="3" t="str">
        <f ca="1">IF(AND(F1242&lt;&gt;"", J1242&lt;&gt;""), NETWORKDAYS(TODAY(), J1242-1, FESTIVOS!A$1:A$55), "")</f>
        <v/>
      </c>
      <c r="J1242" s="4" t="str">
        <f>IF(AND(F1242&lt;&gt;"", H1242&lt;&gt;""), WORKDAY(F1242, H1242, FESTIVOS!A$1:A$55), "")</f>
        <v/>
      </c>
      <c r="K1242" s="3"/>
      <c r="L1242" s="3" t="str">
        <f t="shared" ca="1" si="62"/>
        <v/>
      </c>
      <c r="M1242" s="3" t="str">
        <f t="shared" ca="1" si="63"/>
        <v/>
      </c>
    </row>
  </sheetData>
  <autoFilter ref="A1:P1242" xr:uid="{58CA8406-0F8C-443C-A1C6-4C1E70F906F2}"/>
  <conditionalFormatting sqref="L1 O1 L1243:L1048576">
    <cfRule type="cellIs" dxfId="7" priority="5" operator="greaterThan">
      <formula>7</formula>
    </cfRule>
    <cfRule type="cellIs" dxfId="6" priority="6" operator="lessThan">
      <formula>4</formula>
    </cfRule>
    <cfRule type="cellIs" dxfId="5" priority="7" operator="lessThan">
      <formula>7</formula>
    </cfRule>
    <cfRule type="cellIs" dxfId="4" priority="8" operator="lessThan">
      <formula>6</formula>
    </cfRule>
  </conditionalFormatting>
  <conditionalFormatting sqref="M2:M1242">
    <cfRule type="colorScale" priority="16">
      <colorScale>
        <cfvo type="formula" val="$M$3"/>
        <cfvo type="formula" val="$M$2"/>
        <cfvo type="formula" val="#REF!"/>
        <color rgb="FFF8696B"/>
        <color rgb="FFFFEB84"/>
        <color rgb="FF63BE7B"/>
      </colorScale>
    </cfRule>
    <cfRule type="containsText" dxfId="3" priority="17" operator="containsText" text="supere la mitad">
      <formula>NOT(ISERROR(SEARCH("supere la mitad",M2)))</formula>
    </cfRule>
  </conditionalFormatting>
  <conditionalFormatting sqref="O1 L1:L1048576">
    <cfRule type="cellIs" dxfId="2" priority="1" operator="greaterThan">
      <formula>8</formula>
    </cfRule>
    <cfRule type="cellIs" dxfId="1" priority="2" operator="lessThan">
      <formula>3</formula>
    </cfRule>
    <cfRule type="cellIs" dxfId="0" priority="3" operator="lessThan">
      <formula>7</formula>
    </cfRule>
    <cfRule type="iconSet" priority="4">
      <iconSet iconSet="3Symbols2">
        <cfvo type="percent" val="0"/>
        <cfvo type="percent" val="33"/>
        <cfvo type="percent" val="67"/>
      </iconSet>
    </cfRule>
  </conditionalFormatting>
  <dataValidations count="3">
    <dataValidation type="list" allowBlank="1" showInputMessage="1" showErrorMessage="1" sqref="D1243:D1297 A2:A1297 B619:C1297 B427:B440 B617 B157:B185 B187:B421 C262:C421 B423:C424 C427:C442" xr:uid="{DBB154FB-5B6C-4DD1-B8F4-C4FF8DEA01AD}">
      <formula1>"INFORMACIÓN O DOCUMENTOS, CONSULTA, FACTURACIÓN Y COBROS, VINCULACIÓN Y DESVINCULACIÓN, NO ES DE NUESTRA COMPETENCIA, OTRO"</formula1>
    </dataValidation>
    <dataValidation type="list" allowBlank="1" showInputMessage="1" showErrorMessage="1" sqref="A1298:D1348" xr:uid="{E3B9C5FA-1196-4F01-9616-56254B2C9B19}">
      <formula1>"INFORMACION O DOCUMENTOS, CONSULTA , FACTURACION Y COBROS, VINCULACIÓN Y DESVINCULACIÓN, NO ES DE NUESTRA COMPETENCIA, OTRO"</formula1>
    </dataValidation>
    <dataValidation type="list" allowBlank="1" showInputMessage="1" showErrorMessage="1" sqref="G2:G1242" xr:uid="{AF92649B-FC7F-4019-985A-916BE5832493}">
      <formula1>"JURÍDICA, RESIDUOS , APROVECHAMIENTO , TECNOLOGICA ,  COMERCIAL , TALENTO HUMANO, FINANCIERA , GERENCIA , ARCHIVO , HSEQ"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46DA3-36DE-4DC5-ACE0-E417BB94604F}">
  <dimension ref="A1:A55"/>
  <sheetViews>
    <sheetView topLeftCell="A31" workbookViewId="0">
      <selection sqref="A1:A55"/>
    </sheetView>
  </sheetViews>
  <sheetFormatPr baseColWidth="10" defaultRowHeight="15" x14ac:dyDescent="0.25"/>
  <sheetData>
    <row r="1" spans="1:1" x14ac:dyDescent="0.25">
      <c r="A1" s="7">
        <v>45658</v>
      </c>
    </row>
    <row r="2" spans="1:1" x14ac:dyDescent="0.25">
      <c r="A2" s="7">
        <v>45663</v>
      </c>
    </row>
    <row r="3" spans="1:1" x14ac:dyDescent="0.25">
      <c r="A3" s="7">
        <v>45740</v>
      </c>
    </row>
    <row r="4" spans="1:1" x14ac:dyDescent="0.25">
      <c r="A4" s="7">
        <v>45764</v>
      </c>
    </row>
    <row r="5" spans="1:1" x14ac:dyDescent="0.25">
      <c r="A5" s="7">
        <v>45765</v>
      </c>
    </row>
    <row r="6" spans="1:1" x14ac:dyDescent="0.25">
      <c r="A6" s="7">
        <v>45778</v>
      </c>
    </row>
    <row r="7" spans="1:1" x14ac:dyDescent="0.25">
      <c r="A7" s="7">
        <v>45810</v>
      </c>
    </row>
    <row r="8" spans="1:1" x14ac:dyDescent="0.25">
      <c r="A8" s="7">
        <v>45831</v>
      </c>
    </row>
    <row r="9" spans="1:1" x14ac:dyDescent="0.25">
      <c r="A9" s="7">
        <v>45838</v>
      </c>
    </row>
    <row r="10" spans="1:1" x14ac:dyDescent="0.25">
      <c r="A10" s="7">
        <v>45858</v>
      </c>
    </row>
    <row r="11" spans="1:1" x14ac:dyDescent="0.25">
      <c r="A11" s="7">
        <v>45876</v>
      </c>
    </row>
    <row r="12" spans="1:1" x14ac:dyDescent="0.25">
      <c r="A12" s="7">
        <v>45887</v>
      </c>
    </row>
    <row r="13" spans="1:1" x14ac:dyDescent="0.25">
      <c r="A13" s="7">
        <v>45943</v>
      </c>
    </row>
    <row r="14" spans="1:1" x14ac:dyDescent="0.25">
      <c r="A14" s="7">
        <v>45964</v>
      </c>
    </row>
    <row r="15" spans="1:1" x14ac:dyDescent="0.25">
      <c r="A15" s="7">
        <v>45978</v>
      </c>
    </row>
    <row r="16" spans="1:1" x14ac:dyDescent="0.25">
      <c r="A16" s="7">
        <v>45999</v>
      </c>
    </row>
    <row r="17" spans="1:1" x14ac:dyDescent="0.25">
      <c r="A17" s="7">
        <v>46016</v>
      </c>
    </row>
    <row r="18" spans="1:1" x14ac:dyDescent="0.25">
      <c r="A18" s="7">
        <v>46023</v>
      </c>
    </row>
    <row r="19" spans="1:1" x14ac:dyDescent="0.25">
      <c r="A19" s="7">
        <v>46034</v>
      </c>
    </row>
    <row r="20" spans="1:1" x14ac:dyDescent="0.25">
      <c r="A20" s="7">
        <v>46104</v>
      </c>
    </row>
    <row r="21" spans="1:1" x14ac:dyDescent="0.25">
      <c r="A21" s="7">
        <v>46114</v>
      </c>
    </row>
    <row r="22" spans="1:1" x14ac:dyDescent="0.25">
      <c r="A22" s="7">
        <v>46115</v>
      </c>
    </row>
    <row r="23" spans="1:1" x14ac:dyDescent="0.25">
      <c r="A23" s="7">
        <v>46143</v>
      </c>
    </row>
    <row r="24" spans="1:1" x14ac:dyDescent="0.25">
      <c r="A24" s="7">
        <v>46160</v>
      </c>
    </row>
    <row r="25" spans="1:1" x14ac:dyDescent="0.25">
      <c r="A25" s="7">
        <v>46181</v>
      </c>
    </row>
    <row r="26" spans="1:1" x14ac:dyDescent="0.25">
      <c r="A26" s="7">
        <v>46188</v>
      </c>
    </row>
    <row r="27" spans="1:1" x14ac:dyDescent="0.25">
      <c r="A27" s="7">
        <v>46202</v>
      </c>
    </row>
    <row r="28" spans="1:1" x14ac:dyDescent="0.25">
      <c r="A28" s="7">
        <v>46223</v>
      </c>
    </row>
    <row r="29" spans="1:1" x14ac:dyDescent="0.25">
      <c r="A29" s="7">
        <v>46241</v>
      </c>
    </row>
    <row r="30" spans="1:1" x14ac:dyDescent="0.25">
      <c r="A30" s="7">
        <v>46251</v>
      </c>
    </row>
    <row r="31" spans="1:1" x14ac:dyDescent="0.25">
      <c r="A31" s="7">
        <v>46307</v>
      </c>
    </row>
    <row r="32" spans="1:1" x14ac:dyDescent="0.25">
      <c r="A32" s="7">
        <v>46328</v>
      </c>
    </row>
    <row r="33" spans="1:1" x14ac:dyDescent="0.25">
      <c r="A33" s="7">
        <v>46342</v>
      </c>
    </row>
    <row r="34" spans="1:1" x14ac:dyDescent="0.25">
      <c r="A34" s="7">
        <v>46364</v>
      </c>
    </row>
    <row r="35" spans="1:1" x14ac:dyDescent="0.25">
      <c r="A35" s="7">
        <v>46381</v>
      </c>
    </row>
    <row r="36" spans="1:1" x14ac:dyDescent="0.25">
      <c r="A36" s="7">
        <v>46388</v>
      </c>
    </row>
    <row r="37" spans="1:1" x14ac:dyDescent="0.25">
      <c r="A37" s="7">
        <v>46398</v>
      </c>
    </row>
    <row r="38" spans="1:1" x14ac:dyDescent="0.25">
      <c r="A38" s="7">
        <v>46467</v>
      </c>
    </row>
    <row r="39" spans="1:1" x14ac:dyDescent="0.25">
      <c r="A39" s="7">
        <v>46468</v>
      </c>
    </row>
    <row r="40" spans="1:1" x14ac:dyDescent="0.25">
      <c r="A40" s="7">
        <v>46471</v>
      </c>
    </row>
    <row r="41" spans="1:1" x14ac:dyDescent="0.25">
      <c r="A41" s="7">
        <v>46472</v>
      </c>
    </row>
    <row r="42" spans="1:1" x14ac:dyDescent="0.25">
      <c r="A42" s="7">
        <v>46474</v>
      </c>
    </row>
    <row r="43" spans="1:1" x14ac:dyDescent="0.25">
      <c r="A43" s="7">
        <v>46508</v>
      </c>
    </row>
    <row r="44" spans="1:1" x14ac:dyDescent="0.25">
      <c r="A44" s="7">
        <v>46517</v>
      </c>
    </row>
    <row r="45" spans="1:1" x14ac:dyDescent="0.25">
      <c r="A45" s="7">
        <v>46538</v>
      </c>
    </row>
    <row r="46" spans="1:1" x14ac:dyDescent="0.25">
      <c r="A46" s="7">
        <v>46545</v>
      </c>
    </row>
    <row r="47" spans="1:1" x14ac:dyDescent="0.25">
      <c r="A47" s="7">
        <v>46573</v>
      </c>
    </row>
    <row r="48" spans="1:1" x14ac:dyDescent="0.25">
      <c r="A48" s="7">
        <v>46588</v>
      </c>
    </row>
    <row r="49" spans="1:1" x14ac:dyDescent="0.25">
      <c r="A49" s="7">
        <v>46606</v>
      </c>
    </row>
    <row r="50" spans="1:1" x14ac:dyDescent="0.25">
      <c r="A50" s="7">
        <v>46615</v>
      </c>
    </row>
    <row r="51" spans="1:1" x14ac:dyDescent="0.25">
      <c r="A51" s="7">
        <v>46678</v>
      </c>
    </row>
    <row r="52" spans="1:1" x14ac:dyDescent="0.25">
      <c r="A52" s="7">
        <v>46692</v>
      </c>
    </row>
    <row r="53" spans="1:1" x14ac:dyDescent="0.25">
      <c r="A53" s="7">
        <v>46706</v>
      </c>
    </row>
    <row r="54" spans="1:1" x14ac:dyDescent="0.25">
      <c r="A54" s="7">
        <v>46729</v>
      </c>
    </row>
    <row r="55" spans="1:1" x14ac:dyDescent="0.25">
      <c r="A55" s="7">
        <v>46746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2026</vt:lpstr>
      <vt:lpstr>FESTIVOS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apoyojuridicaservi@outlook.com</dc:creator>
  <cp:lastModifiedBy>Gestión Tecnológica Servintegral</cp:lastModifiedBy>
  <dcterms:created xsi:type="dcterms:W3CDTF">2024-10-10T15:31:47Z</dcterms:created>
  <dcterms:modified xsi:type="dcterms:W3CDTF">2026-06-11T19:55:47Z</dcterms:modified>
</cp:coreProperties>
</file>